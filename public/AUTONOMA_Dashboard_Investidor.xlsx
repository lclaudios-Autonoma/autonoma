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F85" lockStructure="1" lockWindows="1"/>
  <bookViews>
    <workbookView visibility="visible" minimized="0" showHorizontalScroll="1" showVerticalScroll="1" showSheetTabs="1" xWindow="0" yWindow="500" windowWidth="33600" windowHeight="20500" tabRatio="500" firstSheet="0" activeTab="0" autoFilterDateGrouping="1"/>
  </bookViews>
  <sheets>
    <sheet xmlns:r="http://schemas.openxmlformats.org/officeDocument/2006/relationships" name="🚀 Dashboard Investidor" sheetId="1" state="visible" r:id="rId1"/>
    <sheet xmlns:r="http://schemas.openxmlformats.org/officeDocument/2006/relationships" name="🔧 Cenário Ativo" sheetId="2" state="visible" r:id="rId2"/>
    <sheet xmlns:r="http://schemas.openxmlformats.org/officeDocument/2006/relationships" name="🎛️ Premissas" sheetId="3" state="visible" r:id="rId3"/>
    <sheet xmlns:r="http://schemas.openxmlformats.org/officeDocument/2006/relationships" name="📊 Base Mensal" sheetId="4" state="visible" r:id="rId4"/>
    <sheet xmlns:r="http://schemas.openxmlformats.org/officeDocument/2006/relationships" name="📊 Resumo Cenários" sheetId="5" state="visible" r:id="rId5"/>
  </sheets>
  <definedNames>
    <definedName name="_xlchart.v1.0" hidden="1">'🚀 Dashboard Investidor'!$L$103:$L$105</definedName>
    <definedName name="_xlchart.v1.1" hidden="1">'🚀 Dashboard Investidor'!$M$102</definedName>
    <definedName name="_xlchart.v1.2" hidden="1">'🚀 Dashboard Investidor'!$M$103:$M$105</definedName>
    <definedName name="_xlchart.v1.3" hidden="1">'🚀 Dashboard Investidor'!$N$102</definedName>
    <definedName name="_xlchart.v1.4" hidden="1">'🚀 Dashboard Investidor'!$N$103:$N$105</definedName>
    <definedName name="_xlchart.v1.5" hidden="1">'🚀 Dashboard Investidor'!$O$102</definedName>
    <definedName name="_xlchart.v1.6" hidden="1">'🚀 Dashboard Investidor'!$O$103:$O$105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6">
    <numFmt numFmtId="164" formatCode="&quot;R$&quot;#,##0.00"/>
    <numFmt numFmtId="165" formatCode="#,##0.000"/>
    <numFmt numFmtId="166" formatCode="0.0%"/>
    <numFmt numFmtId="167" formatCode="&quot;R$&quot;#,##0"/>
    <numFmt numFmtId="168" formatCode="#,##0.0"/>
    <numFmt numFmtId="169" formatCode="0.0&quot;×&quot;"/>
    <numFmt numFmtId="170" formatCode="&quot;R$&quot;\ #,##0"/>
    <numFmt numFmtId="171" formatCode="0.0&quot; mês&quot;"/>
    <numFmt numFmtId="172" formatCode="&quot;R$&quot;\ #,##0,,&quot;M&quot;"/>
    <numFmt numFmtId="173" formatCode="0&quot;x&quot;"/>
    <numFmt numFmtId="174" formatCode="0\×"/>
    <numFmt numFmtId="175" formatCode="#,##0.0\m"/>
    <numFmt numFmtId="176" formatCode="0.0\×"/>
    <numFmt numFmtId="177" formatCode="0.0\m"/>
    <numFmt numFmtId="178" formatCode="&quot;R$&quot;#,##0;&quot;(R$&quot;#,##0\);\-"/>
    <numFmt numFmtId="179" formatCode="0.0&quot; meses&quot;"/>
  </numFmts>
  <fonts count="75">
    <font>
      <name val="Calibri"/>
      <charset val="1"/>
      <family val="2"/>
      <color theme="1"/>
      <sz val="11"/>
    </font>
    <font>
      <name val="Arial"/>
      <family val="2"/>
      <b val="1"/>
      <color rgb="FFFFFFFF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B8401A"/>
      <sz val="10"/>
    </font>
    <font>
      <name val="Arial"/>
      <family val="2"/>
      <color rgb="FFB8401A"/>
      <sz val="10"/>
    </font>
    <font>
      <name val="Arial"/>
      <family val="2"/>
      <b val="1"/>
      <color rgb="FF1A5C3C"/>
      <sz val="10"/>
    </font>
    <font>
      <name val="Arial"/>
      <family val="2"/>
      <b val="1"/>
      <color rgb="FF7DCBA8"/>
      <sz val="12"/>
    </font>
    <font>
      <name val="Arial"/>
      <family val="2"/>
      <b val="1"/>
      <color rgb="FF7DCBA8"/>
      <sz val="13"/>
    </font>
    <font>
      <name val="Arial"/>
      <family val="2"/>
      <color rgb="FF008000"/>
      <sz val="9"/>
    </font>
    <font>
      <name val="Arial"/>
      <family val="2"/>
      <b val="1"/>
      <color rgb="FF7DCBA8"/>
      <sz val="9"/>
    </font>
    <font>
      <name val="Arial"/>
      <family val="2"/>
      <b val="1"/>
      <color rgb="FF008000"/>
      <sz val="10"/>
    </font>
    <font>
      <name val="Arial"/>
      <family val="2"/>
      <b val="1"/>
      <color rgb="FF7DCBA8"/>
      <sz val="14"/>
    </font>
    <font>
      <name val="Arial"/>
      <family val="2"/>
      <i val="1"/>
      <color rgb="FF0000FF"/>
      <sz val="9"/>
    </font>
    <font>
      <name val="Arial"/>
      <family val="2"/>
      <i val="1"/>
      <color rgb="FF000000"/>
      <sz val="9"/>
    </font>
    <font>
      <name val="Arial"/>
      <family val="2"/>
      <i val="1"/>
      <color rgb="FF008000"/>
      <sz val="9"/>
    </font>
    <font>
      <name val="Arial"/>
      <family val="2"/>
      <b val="1"/>
      <color rgb="FF0D0C09"/>
      <sz val="10"/>
    </font>
    <font>
      <name val="Arial"/>
      <family val="2"/>
      <b val="1"/>
      <color rgb="FF7DCBA8"/>
      <sz val="10"/>
    </font>
    <font>
      <name val="Arial"/>
      <family val="2"/>
      <b val="1"/>
      <color rgb="FF0000FF"/>
      <sz val="10"/>
    </font>
    <font>
      <name val="Arial"/>
      <family val="2"/>
      <i val="1"/>
      <color rgb="FF666666"/>
      <sz val="9"/>
    </font>
    <font>
      <name val="Arial"/>
      <family val="2"/>
      <color rgb="FF008000"/>
      <sz val="10"/>
    </font>
    <font>
      <name val="Arial"/>
      <family val="2"/>
      <i val="1"/>
      <color rgb="FF1A5C3C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color rgb="FF008000"/>
      <sz val="10"/>
    </font>
    <font>
      <name val="Arial"/>
      <family val="2"/>
      <i val="1"/>
      <color rgb="FF666666"/>
      <sz val="9"/>
    </font>
    <font>
      <name val="Arial"/>
      <family val="2"/>
      <b val="1"/>
      <color theme="0"/>
      <sz val="9"/>
    </font>
    <font>
      <name val="Arial"/>
      <family val="2"/>
      <b val="1"/>
      <color rgb="FF0000FF"/>
      <sz val="10"/>
    </font>
    <font>
      <name val="Arial"/>
      <family val="2"/>
      <color rgb="FF6E4B00"/>
      <sz val="10"/>
    </font>
    <font>
      <name val="Arial"/>
      <family val="2"/>
      <color rgb="FF505050"/>
      <sz val="9"/>
    </font>
    <font>
      <name val="Arial"/>
      <family val="2"/>
      <i val="1"/>
      <color rgb="FF505050"/>
      <sz val="9"/>
    </font>
    <font>
      <name val="Arial"/>
      <family val="2"/>
      <i val="1"/>
      <color rgb="FF505050"/>
      <sz val="10"/>
    </font>
    <font>
      <name val="Arial"/>
      <family val="2"/>
      <b val="1"/>
      <color theme="3" tint="-0.499984740745262"/>
      <sz val="9"/>
    </font>
    <font>
      <name val="Arial"/>
      <family val="2"/>
      <b val="1"/>
      <color rgb="FF6E4B00"/>
      <sz val="10"/>
    </font>
    <font>
      <name val="Arial"/>
      <family val="2"/>
      <i val="1"/>
      <color rgb="FF654200"/>
      <sz val="9"/>
    </font>
    <font>
      <name val="Calibri"/>
      <charset val="1"/>
      <family val="2"/>
      <color theme="0"/>
      <sz val="11"/>
    </font>
    <font>
      <name val="Arial"/>
      <family val="2"/>
      <b val="1"/>
      <color theme="6" tint="-0.499984740745262"/>
      <sz val="10"/>
    </font>
    <font>
      <name val="Arial"/>
      <family val="2"/>
      <b val="1"/>
      <color rgb="FF7DCBA8"/>
      <sz val="12"/>
    </font>
    <font>
      <name val="Tahoma"/>
      <family val="2"/>
      <color rgb="FF808080"/>
      <sz val="8"/>
    </font>
    <font>
      <name val="Tahoma"/>
      <family val="2"/>
      <b val="1"/>
      <color theme="1"/>
      <sz val="8"/>
    </font>
    <font>
      <name val="Tahoma"/>
      <family val="2"/>
      <b val="1"/>
      <color theme="1"/>
      <sz val="9"/>
    </font>
    <font>
      <name val="Calibri"/>
      <charset val="1"/>
      <family val="2"/>
      <b val="1"/>
      <color theme="1"/>
      <sz val="10"/>
    </font>
    <font>
      <name val="Tahoma"/>
      <family val="2"/>
      <b val="1"/>
      <color theme="0"/>
      <sz val="10"/>
    </font>
    <font>
      <name val="Calibri"/>
      <charset val="1"/>
      <family val="2"/>
      <b val="1"/>
      <color theme="0"/>
      <sz val="10"/>
    </font>
    <font>
      <name val="Tahoma"/>
      <family val="2"/>
      <b val="1"/>
      <color rgb="FF808080"/>
      <sz val="10"/>
    </font>
    <font>
      <name val="Tahoma"/>
      <family val="2"/>
      <color theme="6" tint="-0.499984740745262"/>
      <sz val="10"/>
    </font>
    <font>
      <name val="Tahoma"/>
      <family val="2"/>
      <b val="1"/>
      <color rgb="FF505050"/>
      <sz val="8"/>
    </font>
    <font>
      <name val="Tahoma"/>
      <family val="2"/>
      <b val="1"/>
      <color theme="6" tint="-0.499984740745262"/>
      <sz val="13"/>
    </font>
    <font>
      <name val="Tahoma"/>
      <family val="2"/>
      <b val="1"/>
      <color rgb="FFFFFFFF"/>
      <sz val="10"/>
    </font>
    <font>
      <name val="Calibri"/>
      <charset val="1"/>
      <family val="2"/>
      <b val="1"/>
      <color theme="1"/>
      <sz val="11"/>
    </font>
    <font>
      <name val="Arial"/>
      <family val="2"/>
      <b val="1"/>
      <color theme="6" tint="-0.499984740745262"/>
      <sz val="12"/>
    </font>
    <font>
      <name val="Arial"/>
      <family val="2"/>
      <i val="1"/>
      <color rgb="FF505050"/>
      <sz val="8"/>
    </font>
    <font>
      <name val="Calibri"/>
      <family val="2"/>
      <b val="1"/>
      <color rgb="FF008000"/>
      <sz val="10"/>
    </font>
    <font>
      <name val="Calibri"/>
      <charset val="1"/>
      <family val="2"/>
      <b val="1"/>
      <color rgb="FF0000FF"/>
      <sz val="11"/>
    </font>
    <font>
      <name val="Tahoma"/>
      <family val="2"/>
      <b val="1"/>
      <color rgb="FF315C53"/>
      <sz val="18"/>
    </font>
    <font>
      <name val="Calibri"/>
      <charset val="1"/>
      <family val="2"/>
      <i val="1"/>
      <color rgb="FF666666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008000"/>
      <sz val="11"/>
    </font>
    <font>
      <name val="Arial"/>
      <family val="2"/>
      <b val="1"/>
      <i val="1"/>
      <color rgb="FF505050"/>
      <sz val="9"/>
    </font>
    <font>
      <name val="Arial"/>
      <family val="2"/>
      <b val="1"/>
      <i val="1"/>
      <color rgb="FF0000FF"/>
      <sz val="9"/>
    </font>
    <font>
      <name val="Arial"/>
      <family val="2"/>
      <color rgb="FFC62828"/>
      <sz val="10"/>
    </font>
    <font>
      <name val="Tahoma"/>
      <family val="2"/>
      <color theme="2" tint="-0.749992370372631"/>
      <sz val="8"/>
    </font>
    <font>
      <name val="Arial"/>
      <family val="2"/>
      <i val="1"/>
      <color rgb="FF1F6B3A"/>
      <sz val="9"/>
    </font>
    <font>
      <name val="Arial"/>
      <family val="2"/>
      <b val="1"/>
      <i val="1"/>
      <color rgb="FF1F6B3A"/>
      <sz val="9"/>
    </font>
    <font>
      <name val="Tahoma"/>
      <family val="2"/>
      <b val="1"/>
      <color rgb="FFFFFFFF"/>
      <sz val="16"/>
    </font>
    <font>
      <name val="Calibri"/>
      <charset val="1"/>
      <family val="2"/>
      <color rgb="FF7ECBA8"/>
      <sz val="11"/>
    </font>
    <font>
      <name val="Arial"/>
      <family val="2"/>
      <b val="1"/>
      <color rgb="FF7ECBA8"/>
      <sz val="10"/>
    </font>
    <font>
      <name val="Calibri"/>
      <charset val="1"/>
      <family val="2"/>
      <b val="1"/>
      <color rgb="FF7ECBA8"/>
      <sz val="12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Tahoma"/>
      <family val="2"/>
      <b val="1"/>
      <color rgb="FF315C53"/>
      <sz val="16"/>
    </font>
    <font>
      <name val="Calibri"/>
      <charset val="1"/>
      <family val="2"/>
      <b val="1"/>
      <color rgb="FF315C53"/>
      <sz val="11"/>
    </font>
    <font>
      <name val="Tahoma"/>
      <family val="2"/>
      <b val="1"/>
      <color rgb="FF315C53"/>
      <sz val="14"/>
    </font>
    <font>
      <name val="Tahoma"/>
      <family val="2"/>
      <b val="1"/>
      <color rgb="FF315C53"/>
      <sz val="10"/>
    </font>
  </fonts>
  <fills count="37">
    <fill>
      <patternFill/>
    </fill>
    <fill>
      <patternFill patternType="gray125"/>
    </fill>
    <fill>
      <patternFill patternType="solid">
        <fgColor rgb="FF0D0C09"/>
        <bgColor rgb="FF000000"/>
      </patternFill>
    </fill>
    <fill>
      <patternFill patternType="solid">
        <fgColor rgb="FF1A5C3C"/>
        <bgColor rgb="FF2A3A5A"/>
      </patternFill>
    </fill>
    <fill>
      <patternFill patternType="solid">
        <fgColor rgb="FFEDE8DE"/>
        <bgColor rgb="FFF5EAE5"/>
      </patternFill>
    </fill>
    <fill>
      <patternFill patternType="solid">
        <fgColor rgb="FFF5EAE5"/>
        <bgColor rgb="FFF5F0E0"/>
      </patternFill>
    </fill>
    <fill>
      <patternFill patternType="solid">
        <fgColor rgb="FFF5F0E0"/>
        <bgColor rgb="FFF5EAE5"/>
      </patternFill>
    </fill>
    <fill>
      <patternFill patternType="solid">
        <fgColor rgb="FFE8F5EE"/>
        <bgColor rgb="FFF5F0E0"/>
      </patternFill>
    </fill>
    <fill>
      <patternFill patternType="solid">
        <fgColor theme="1"/>
        <bgColor rgb="FFF5F0E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8999908444471572"/>
        <bgColor rgb="FFF5EAE5"/>
      </patternFill>
    </fill>
    <fill>
      <patternFill patternType="solid">
        <fgColor theme="0" tint="-0.1499984740745262"/>
        <bgColor rgb="FFF5EAE5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rgb="FFF5EAE5"/>
      </patternFill>
    </fill>
    <fill>
      <patternFill patternType="solid">
        <fgColor rgb="FFF5EAE6"/>
        <bgColor rgb="FFF5F0E0"/>
      </patternFill>
    </fill>
    <fill>
      <patternFill patternType="solid">
        <fgColor rgb="FFF5EAE6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5F0E0"/>
        <bgColor indexed="64"/>
      </patternFill>
    </fill>
    <fill>
      <patternFill patternType="solid">
        <fgColor theme="1"/>
        <bgColor rgb="FF993366"/>
      </patternFill>
    </fill>
    <fill>
      <patternFill patternType="solid">
        <fgColor theme="1"/>
        <bgColor rgb="FF888888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2A3A5A"/>
      </patternFill>
    </fill>
    <fill>
      <patternFill patternType="solid">
        <fgColor theme="1"/>
        <bgColor rgb="FF1A5C3C"/>
      </patternFill>
    </fill>
    <fill>
      <patternFill patternType="solid">
        <fgColor rgb="FF7ECBA8"/>
        <bgColor rgb="FFF5F0E0"/>
      </patternFill>
    </fill>
    <fill>
      <patternFill patternType="solid">
        <fgColor rgb="FF7ECBA8"/>
        <bgColor indexed="64"/>
      </patternFill>
    </fill>
    <fill>
      <patternFill patternType="solid">
        <fgColor rgb="FFF5F0E0"/>
        <bgColor rgb="FFF5F0E0"/>
      </patternFill>
    </fill>
  </fills>
  <borders count="58">
    <border>
      <left/>
      <right/>
      <top/>
      <bottom/>
      <diagonal/>
    </border>
    <border>
      <left style="medium">
        <color rgb="FF1A5C3C"/>
      </left>
      <right style="medium">
        <color rgb="FF1A5C3C"/>
      </right>
      <top style="medium">
        <color rgb="FF1A5C3C"/>
      </top>
      <bottom style="medium">
        <color rgb="FF1A5C3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92D050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/>
      <right style="medium">
        <color rgb="FF92D050"/>
      </right>
      <top/>
      <bottom style="medium">
        <color indexed="64"/>
      </bottom>
      <diagonal/>
    </border>
    <border>
      <left style="medium">
        <color rgb="FF92D050"/>
      </left>
      <right/>
      <top/>
      <bottom style="thin">
        <color indexed="64"/>
      </bottom>
      <diagonal/>
    </border>
    <border>
      <left/>
      <right style="medium">
        <color rgb="FF92D050"/>
      </right>
      <top/>
      <bottom style="thin">
        <color indexed="64"/>
      </bottom>
      <diagonal/>
    </border>
    <border>
      <left style="medium">
        <color rgb="FF92D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92D050"/>
      </right>
      <top style="thin">
        <color indexed="64"/>
      </top>
      <bottom style="thin">
        <color indexed="64"/>
      </bottom>
      <diagonal/>
    </border>
    <border>
      <left style="medium">
        <color rgb="FF92D05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92D050"/>
      </right>
      <top style="thin">
        <color indexed="64"/>
      </top>
      <bottom/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medium">
        <color rgb="FF92D050"/>
      </bottom>
      <diagonal/>
    </border>
    <border>
      <left style="medium">
        <color rgb="FF92D050"/>
      </left>
      <right/>
      <top style="medium">
        <color indexed="64"/>
      </top>
      <bottom/>
      <diagonal/>
    </border>
    <border>
      <left/>
      <right style="medium">
        <color rgb="FF92D050"/>
      </right>
      <top style="medium">
        <color indexed="64"/>
      </top>
      <bottom/>
      <diagonal/>
    </border>
    <border>
      <left style="medium">
        <color rgb="FF92D05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92D050"/>
      </right>
      <top style="medium">
        <color indexed="64"/>
      </top>
      <bottom style="medium">
        <color indexed="64"/>
      </bottom>
      <diagonal/>
    </border>
    <border>
      <left style="medium">
        <color rgb="FF92D050"/>
      </left>
      <right/>
      <top/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92D050"/>
      </bottom>
      <diagonal/>
    </border>
    <border>
      <left style="thin">
        <color rgb="FFDDDDDD"/>
      </left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 style="medium">
        <color rgb="FF92D050"/>
      </left>
      <right/>
      <top style="thin">
        <color rgb="FFDDDDDD"/>
      </top>
      <bottom/>
      <diagonal/>
    </border>
    <border>
      <left/>
      <right style="medium">
        <color rgb="FF92D050"/>
      </right>
      <top style="thin">
        <color rgb="FFDDDDDD"/>
      </top>
      <bottom/>
      <diagonal/>
    </border>
    <border>
      <left style="medium">
        <color rgb="FF92D050"/>
      </left>
      <right style="thin">
        <color rgb="FFDDDDDD"/>
      </right>
      <top style="thin">
        <color rgb="FFDDDDDD"/>
      </top>
      <bottom style="medium">
        <color rgb="FF92D050"/>
      </bottom>
      <diagonal/>
    </border>
    <border>
      <left style="thin">
        <color rgb="FFDDDDDD"/>
      </left>
      <right style="medium">
        <color rgb="FF92D050"/>
      </right>
      <top style="thin">
        <color rgb="FFDDDDDD"/>
      </top>
      <bottom style="medium">
        <color rgb="FF92D050"/>
      </bottom>
      <diagonal/>
    </border>
    <border>
      <left style="medium">
        <color rgb="FF92D050"/>
      </left>
      <right/>
      <top style="thin">
        <color rgb="FFDDDDDD"/>
      </top>
      <bottom style="thin">
        <color rgb="FFDDDDDD"/>
      </bottom>
      <diagonal/>
    </border>
    <border>
      <left/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92D050"/>
      </right>
      <top style="medium">
        <color indexed="64"/>
      </top>
      <bottom style="medium">
        <color indexed="64"/>
      </bottom>
      <diagonal/>
    </border>
    <border>
      <left style="medium">
        <color rgb="FF92D050"/>
      </left>
      <right style="medium">
        <color rgb="FF92D050"/>
      </right>
      <top style="medium">
        <color indexed="64"/>
      </top>
      <bottom/>
      <diagonal/>
    </border>
    <border>
      <left style="medium">
        <color rgb="FF92D050"/>
      </left>
      <right style="medium">
        <color rgb="FF92D050"/>
      </right>
      <top/>
      <bottom style="medium">
        <color indexed="64"/>
      </bottom>
      <diagonal/>
    </border>
    <border>
      <left style="medium">
        <color rgb="FF92D050"/>
      </left>
      <right style="medium">
        <color rgb="FF92D050"/>
      </right>
      <top/>
      <bottom style="thin">
        <color indexed="64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 style="medium">
        <color rgb="FF92D050"/>
      </right>
      <top style="thin">
        <color rgb="FFDDDDDD"/>
      </top>
      <bottom style="medium">
        <color rgb="FF92D050"/>
      </bottom>
      <diagonal/>
    </border>
  </borders>
  <cellStyleXfs count="1">
    <xf numFmtId="0" fontId="0" fillId="0" borderId="0"/>
  </cellStyleXfs>
  <cellXfs count="426">
    <xf numFmtId="0" fontId="0" fillId="0" borderId="0" pivotButton="0" quotePrefix="0" xfId="0"/>
    <xf numFmtId="164" fontId="11" fillId="0" borderId="2" applyAlignment="1" pivotButton="0" quotePrefix="0" xfId="0">
      <alignment horizontal="right" vertical="center"/>
    </xf>
    <xf numFmtId="4" fontId="11" fillId="0" borderId="2" applyAlignment="1" pivotButton="0" quotePrefix="0" xfId="0">
      <alignment horizontal="right" vertical="center"/>
    </xf>
    <xf numFmtId="165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  <xf numFmtId="3" fontId="11" fillId="0" borderId="2" applyAlignment="1" pivotButton="0" quotePrefix="0" xfId="0">
      <alignment horizontal="right" vertical="center"/>
    </xf>
    <xf numFmtId="167" fontId="11" fillId="0" borderId="2" applyAlignment="1" pivotButton="0" quotePrefix="0" xfId="0">
      <alignment horizontal="right" vertical="center"/>
    </xf>
    <xf numFmtId="164" fontId="18" fillId="5" borderId="2" applyAlignment="1" pivotButton="0" quotePrefix="0" xfId="0">
      <alignment horizontal="center" vertical="center"/>
    </xf>
    <xf numFmtId="164" fontId="18" fillId="7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4" fontId="18" fillId="5" borderId="2" applyAlignment="1" pivotButton="0" quotePrefix="0" xfId="0">
      <alignment horizontal="center" vertical="center"/>
    </xf>
    <xf numFmtId="4" fontId="18" fillId="7" borderId="2" applyAlignment="1" pivotButton="0" quotePrefix="0" xfId="0">
      <alignment horizontal="center" vertical="center"/>
    </xf>
    <xf numFmtId="4" fontId="18" fillId="6" borderId="2" applyAlignment="1" pivotButton="0" quotePrefix="0" xfId="0">
      <alignment horizontal="center" vertical="center"/>
    </xf>
    <xf numFmtId="165" fontId="18" fillId="5" borderId="2" applyAlignment="1" pivotButton="0" quotePrefix="0" xfId="0">
      <alignment horizontal="center" vertical="center"/>
    </xf>
    <xf numFmtId="165" fontId="18" fillId="7" borderId="2" applyAlignment="1" pivotButton="0" quotePrefix="0" xfId="0">
      <alignment horizontal="center" vertical="center"/>
    </xf>
    <xf numFmtId="165" fontId="18" fillId="6" borderId="2" applyAlignment="1" pivotButton="0" quotePrefix="0" xfId="0">
      <alignment horizontal="center" vertical="center"/>
    </xf>
    <xf numFmtId="166" fontId="18" fillId="5" borderId="2" applyAlignment="1" pivotButton="0" quotePrefix="0" xfId="0">
      <alignment horizontal="center" vertical="center"/>
    </xf>
    <xf numFmtId="166" fontId="18" fillId="7" borderId="2" applyAlignment="1" pivotButton="0" quotePrefix="0" xfId="0">
      <alignment horizontal="center" vertical="center"/>
    </xf>
    <xf numFmtId="166" fontId="18" fillId="6" borderId="2" applyAlignment="1" pivotButton="0" quotePrefix="0" xfId="0">
      <alignment horizontal="center" vertical="center"/>
    </xf>
    <xf numFmtId="3" fontId="18" fillId="5" borderId="2" applyAlignment="1" pivotButton="0" quotePrefix="0" xfId="0">
      <alignment horizontal="center" vertical="center"/>
    </xf>
    <xf numFmtId="3" fontId="18" fillId="7" borderId="2" applyAlignment="1" pivotButton="0" quotePrefix="0" xfId="0">
      <alignment horizontal="center" vertical="center"/>
    </xf>
    <xf numFmtId="3" fontId="18" fillId="6" borderId="2" applyAlignment="1" pivotButton="0" quotePrefix="0" xfId="0">
      <alignment horizontal="center" vertical="center"/>
    </xf>
    <xf numFmtId="167" fontId="18" fillId="5" borderId="2" applyAlignment="1" pivotButton="0" quotePrefix="0" xfId="0">
      <alignment horizontal="center" vertical="center"/>
    </xf>
    <xf numFmtId="167" fontId="18" fillId="7" borderId="2" applyAlignment="1" pivotButton="0" quotePrefix="0" xfId="0">
      <alignment horizontal="center" vertical="center"/>
    </xf>
    <xf numFmtId="167" fontId="18" fillId="6" borderId="2" applyAlignment="1" pivotButton="0" quotePrefix="0" xfId="0">
      <alignment horizontal="center" vertical="center"/>
    </xf>
    <xf numFmtId="3" fontId="20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3" fontId="24" fillId="0" borderId="2" applyAlignment="1" pivotButton="0" quotePrefix="1" xfId="0">
      <alignment horizontal="right" vertical="center"/>
    </xf>
    <xf numFmtId="167" fontId="27" fillId="7" borderId="2" applyAlignment="1" pivotButton="0" quotePrefix="0" xfId="0">
      <alignment horizontal="center" vertical="center"/>
    </xf>
    <xf numFmtId="167" fontId="28" fillId="0" borderId="2" applyAlignment="1" pivotButton="0" quotePrefix="0" xfId="0">
      <alignment horizontal="right" vertical="center"/>
    </xf>
    <xf numFmtId="0" fontId="35" fillId="0" borderId="0" pivotButton="0" quotePrefix="0" xfId="0"/>
    <xf numFmtId="0" fontId="12" fillId="9" borderId="0" applyAlignment="1" pivotButton="0" quotePrefix="0" xfId="0">
      <alignment vertical="center"/>
    </xf>
    <xf numFmtId="0" fontId="0" fillId="13" borderId="0" pivotButton="0" quotePrefix="0" xfId="0"/>
    <xf numFmtId="0" fontId="49" fillId="0" borderId="0" pivotButton="0" quotePrefix="0" xfId="0"/>
    <xf numFmtId="164" fontId="52" fillId="0" borderId="4" applyAlignment="1" pivotButton="0" quotePrefix="0" xfId="0">
      <alignment horizontal="right"/>
    </xf>
    <xf numFmtId="168" fontId="52" fillId="0" borderId="4" applyAlignment="1" pivotButton="0" quotePrefix="0" xfId="0">
      <alignment horizontal="right"/>
    </xf>
    <xf numFmtId="167" fontId="52" fillId="0" borderId="4" applyAlignment="1" pivotButton="0" quotePrefix="0" xfId="0">
      <alignment horizontal="right"/>
    </xf>
    <xf numFmtId="169" fontId="52" fillId="0" borderId="4" applyAlignment="1" pivotButton="0" quotePrefix="0" xfId="0">
      <alignment horizontal="right"/>
    </xf>
    <xf numFmtId="0" fontId="0" fillId="16" borderId="0" pivotButton="0" quotePrefix="0" xfId="0"/>
    <xf numFmtId="0" fontId="35" fillId="16" borderId="0" pivotButton="0" quotePrefix="0" xfId="0"/>
    <xf numFmtId="3" fontId="0" fillId="0" borderId="0" pivotButton="0" quotePrefix="0" xfId="0"/>
    <xf numFmtId="0" fontId="35" fillId="13" borderId="0" pivotButton="0" quotePrefix="0" xfId="0"/>
    <xf numFmtId="170" fontId="60" fillId="0" borderId="0" applyAlignment="1" pivotButton="0" quotePrefix="0" xfId="0">
      <alignment horizontal="right" vertical="center"/>
    </xf>
    <xf numFmtId="170" fontId="2" fillId="0" borderId="2" applyAlignment="1" pivotButton="0" quotePrefix="0" xfId="0">
      <alignment horizontal="right" vertical="center"/>
    </xf>
    <xf numFmtId="171" fontId="52" fillId="0" borderId="19" applyAlignment="1" pivotButton="0" quotePrefix="0" xfId="0">
      <alignment horizontal="right"/>
    </xf>
    <xf numFmtId="0" fontId="0" fillId="0" borderId="14" pivotButton="0" quotePrefix="0" xfId="0"/>
    <xf numFmtId="0" fontId="0" fillId="0" borderId="15" pivotButton="0" quotePrefix="0" xfId="0"/>
    <xf numFmtId="1" fontId="9" fillId="0" borderId="0" pivotButton="0" quotePrefix="0" xfId="0"/>
    <xf numFmtId="170" fontId="3" fillId="4" borderId="0" applyAlignment="1" pivotButton="0" quotePrefix="0" xfId="0">
      <alignment horizontal="left" vertical="center"/>
    </xf>
    <xf numFmtId="166" fontId="57" fillId="0" borderId="33" pivotButton="0" quotePrefix="0" xfId="0"/>
    <xf numFmtId="0" fontId="0" fillId="0" borderId="13" pivotButton="0" quotePrefix="0" xfId="0"/>
    <xf numFmtId="172" fontId="54" fillId="19" borderId="0" applyAlignment="1" pivotButton="0" quotePrefix="0" xfId="0">
      <alignment horizontal="center" vertical="center"/>
    </xf>
    <xf numFmtId="173" fontId="54" fillId="11" borderId="22" applyAlignment="1" pivotButton="0" quotePrefix="0" xfId="0">
      <alignment horizontal="center" vertical="center"/>
    </xf>
    <xf numFmtId="173" fontId="18" fillId="5" borderId="2" applyAlignment="1" pivotButton="0" quotePrefix="0" xfId="0">
      <alignment horizontal="center" vertical="center"/>
    </xf>
    <xf numFmtId="173" fontId="18" fillId="7" borderId="2" applyAlignment="1" pivotButton="0" quotePrefix="0" xfId="0">
      <alignment horizontal="center" vertical="center"/>
    </xf>
    <xf numFmtId="173" fontId="18" fillId="6" borderId="2" applyAlignment="1" pivotButton="0" quotePrefix="0" xfId="0">
      <alignment horizontal="center" vertical="center"/>
    </xf>
    <xf numFmtId="170" fontId="53" fillId="0" borderId="0" applyAlignment="1" pivotButton="0" quotePrefix="0" xfId="0">
      <alignment horizontal="right"/>
    </xf>
    <xf numFmtId="166" fontId="56" fillId="20" borderId="0" applyAlignment="1" pivotButton="0" quotePrefix="0" xfId="0">
      <alignment horizontal="right"/>
    </xf>
    <xf numFmtId="170" fontId="56" fillId="0" borderId="0" applyAlignment="1" pivotButton="0" quotePrefix="0" xfId="0">
      <alignment horizontal="right"/>
    </xf>
    <xf numFmtId="170" fontId="56" fillId="0" borderId="17" applyAlignment="1" pivotButton="0" quotePrefix="0" xfId="0">
      <alignment horizontal="right"/>
    </xf>
    <xf numFmtId="3" fontId="53" fillId="0" borderId="0" applyAlignment="1" pivotButton="0" quotePrefix="0" xfId="0">
      <alignment horizontal="right"/>
    </xf>
    <xf numFmtId="9" fontId="53" fillId="0" borderId="0" applyAlignment="1" pivotButton="0" quotePrefix="0" xfId="0">
      <alignment horizontal="right"/>
    </xf>
    <xf numFmtId="1" fontId="53" fillId="0" borderId="0" applyAlignment="1" pivotButton="0" quotePrefix="0" xfId="0">
      <alignment horizontal="right"/>
    </xf>
    <xf numFmtId="10" fontId="53" fillId="0" borderId="0" applyAlignment="1" pivotButton="0" quotePrefix="0" xfId="0">
      <alignment horizontal="right"/>
    </xf>
    <xf numFmtId="166" fontId="55" fillId="0" borderId="0" applyAlignment="1" pivotButton="0" quotePrefix="0" xfId="0">
      <alignment horizontal="center"/>
    </xf>
    <xf numFmtId="166" fontId="18" fillId="5" borderId="40" applyAlignment="1" pivotButton="0" quotePrefix="0" xfId="0">
      <alignment horizontal="center" vertical="center"/>
    </xf>
    <xf numFmtId="166" fontId="18" fillId="7" borderId="40" applyAlignment="1" pivotButton="0" quotePrefix="0" xfId="0">
      <alignment horizontal="center" vertical="center"/>
    </xf>
    <xf numFmtId="166" fontId="18" fillId="6" borderId="40" applyAlignment="1" pivotButton="0" quotePrefix="0" xfId="0">
      <alignment horizontal="center" vertical="center"/>
    </xf>
    <xf numFmtId="3" fontId="24" fillId="0" borderId="41" applyAlignment="1" pivotButton="0" quotePrefix="1" xfId="0">
      <alignment horizontal="right" vertical="center"/>
    </xf>
    <xf numFmtId="3" fontId="20" fillId="0" borderId="41" applyAlignment="1" pivotButton="0" quotePrefix="0" xfId="0">
      <alignment horizontal="right" vertical="center"/>
    </xf>
    <xf numFmtId="3" fontId="3" fillId="0" borderId="41" applyAlignment="1" pivotButton="0" quotePrefix="0" xfId="0">
      <alignment horizontal="right" vertical="center"/>
    </xf>
    <xf numFmtId="167" fontId="6" fillId="0" borderId="41" applyAlignment="1" pivotButton="0" quotePrefix="0" xfId="0">
      <alignment horizontal="right" vertical="center"/>
    </xf>
    <xf numFmtId="167" fontId="2" fillId="0" borderId="41" applyAlignment="1" pivotButton="0" quotePrefix="0" xfId="0">
      <alignment horizontal="right" vertical="center"/>
    </xf>
    <xf numFmtId="167" fontId="5" fillId="0" borderId="41" applyAlignment="1" pivotButton="0" quotePrefix="0" xfId="0">
      <alignment horizontal="right" vertical="center"/>
    </xf>
    <xf numFmtId="167" fontId="4" fillId="0" borderId="41" applyAlignment="1" pivotButton="0" quotePrefix="0" xfId="0">
      <alignment horizontal="right" vertical="center"/>
    </xf>
    <xf numFmtId="167" fontId="28" fillId="0" borderId="41" applyAlignment="1" pivotButton="0" quotePrefix="0" xfId="0">
      <alignment horizontal="right" vertical="center"/>
    </xf>
    <xf numFmtId="170" fontId="60" fillId="0" borderId="22" applyAlignment="1" pivotButton="0" quotePrefix="0" xfId="0">
      <alignment horizontal="right" vertical="center"/>
    </xf>
    <xf numFmtId="170" fontId="2" fillId="0" borderId="41" applyAlignment="1" pivotButton="0" quotePrefix="0" xfId="0">
      <alignment horizontal="right" vertical="center"/>
    </xf>
    <xf numFmtId="166" fontId="2" fillId="0" borderId="40" applyAlignment="1" pivotButton="0" quotePrefix="0" xfId="0">
      <alignment horizontal="right" vertical="center"/>
    </xf>
    <xf numFmtId="166" fontId="2" fillId="0" borderId="45" applyAlignment="1" pivotButton="0" quotePrefix="0" xfId="0">
      <alignment horizontal="right" vertical="center"/>
    </xf>
    <xf numFmtId="167" fontId="5" fillId="26" borderId="2" applyAlignment="1" pivotButton="0" quotePrefix="0" xfId="0">
      <alignment horizontal="center" vertical="center"/>
    </xf>
    <xf numFmtId="166" fontId="5" fillId="26" borderId="2" applyAlignment="1" pivotButton="0" quotePrefix="0" xfId="0">
      <alignment horizontal="center" vertical="center"/>
    </xf>
    <xf numFmtId="174" fontId="5" fillId="26" borderId="2" applyAlignment="1" pivotButton="0" quotePrefix="0" xfId="0">
      <alignment horizontal="center" vertical="center"/>
    </xf>
    <xf numFmtId="164" fontId="5" fillId="26" borderId="2" applyAlignment="1" pivotButton="0" quotePrefix="0" xfId="0">
      <alignment horizontal="center" vertical="center"/>
    </xf>
    <xf numFmtId="175" fontId="5" fillId="26" borderId="2" applyAlignment="1" pivotButton="0" quotePrefix="0" xfId="0">
      <alignment horizontal="center" vertical="center"/>
    </xf>
    <xf numFmtId="176" fontId="5" fillId="26" borderId="2" applyAlignment="1" pivotButton="0" quotePrefix="0" xfId="0">
      <alignment horizontal="center" vertical="center"/>
    </xf>
    <xf numFmtId="177" fontId="5" fillId="26" borderId="2" applyAlignment="1" pivotButton="0" quotePrefix="0" xfId="0">
      <alignment horizontal="center" vertical="center"/>
    </xf>
    <xf numFmtId="167" fontId="4" fillId="26" borderId="2" applyAlignment="1" pivotButton="0" quotePrefix="0" xfId="0">
      <alignment horizontal="center" vertical="center"/>
    </xf>
    <xf numFmtId="176" fontId="4" fillId="26" borderId="2" applyAlignment="1" pivotButton="0" quotePrefix="0" xfId="0">
      <alignment horizontal="center" vertical="center"/>
    </xf>
    <xf numFmtId="170" fontId="5" fillId="26" borderId="2" applyAlignment="1" pivotButton="0" quotePrefix="0" xfId="0">
      <alignment horizontal="center" vertical="center"/>
    </xf>
    <xf numFmtId="3" fontId="5" fillId="26" borderId="2" applyAlignment="1" pivotButton="0" quotePrefix="0" xfId="0">
      <alignment horizontal="center" vertical="center"/>
    </xf>
    <xf numFmtId="167" fontId="6" fillId="27" borderId="2" applyAlignment="1" pivotButton="0" quotePrefix="0" xfId="0">
      <alignment horizontal="center" vertical="center"/>
    </xf>
    <xf numFmtId="166" fontId="6" fillId="27" borderId="2" applyAlignment="1" pivotButton="0" quotePrefix="0" xfId="0">
      <alignment horizontal="center" vertical="center"/>
    </xf>
    <xf numFmtId="174" fontId="6" fillId="27" borderId="2" applyAlignment="1" pivotButton="0" quotePrefix="0" xfId="0">
      <alignment horizontal="center" vertical="center"/>
    </xf>
    <xf numFmtId="164" fontId="6" fillId="27" borderId="2" applyAlignment="1" pivotButton="0" quotePrefix="0" xfId="0">
      <alignment horizontal="center" vertical="center"/>
    </xf>
    <xf numFmtId="175" fontId="6" fillId="27" borderId="2" applyAlignment="1" pivotButton="0" quotePrefix="0" xfId="0">
      <alignment horizontal="center" vertical="center"/>
    </xf>
    <xf numFmtId="176" fontId="6" fillId="27" borderId="2" applyAlignment="1" pivotButton="0" quotePrefix="0" xfId="0">
      <alignment horizontal="center" vertical="center"/>
    </xf>
    <xf numFmtId="177" fontId="6" fillId="27" borderId="2" applyAlignment="1" pivotButton="0" quotePrefix="0" xfId="0">
      <alignment horizontal="center" vertical="center"/>
    </xf>
    <xf numFmtId="170" fontId="6" fillId="27" borderId="2" applyAlignment="1" pivotButton="0" quotePrefix="0" xfId="0">
      <alignment horizontal="center" vertical="center"/>
    </xf>
    <xf numFmtId="3" fontId="6" fillId="27" borderId="2" applyAlignment="1" pivotButton="0" quotePrefix="0" xfId="0">
      <alignment horizontal="center" vertical="center"/>
    </xf>
    <xf numFmtId="167" fontId="28" fillId="28" borderId="2" applyAlignment="1" pivotButton="0" quotePrefix="0" xfId="0">
      <alignment horizontal="center" vertical="center"/>
    </xf>
    <xf numFmtId="166" fontId="28" fillId="28" borderId="2" applyAlignment="1" pivotButton="0" quotePrefix="0" xfId="0">
      <alignment horizontal="center" vertical="center"/>
    </xf>
    <xf numFmtId="174" fontId="28" fillId="28" borderId="2" applyAlignment="1" pivotButton="0" quotePrefix="0" xfId="0">
      <alignment horizontal="center" vertical="center"/>
    </xf>
    <xf numFmtId="164" fontId="28" fillId="28" borderId="2" applyAlignment="1" pivotButton="0" quotePrefix="0" xfId="0">
      <alignment horizontal="center" vertical="center"/>
    </xf>
    <xf numFmtId="175" fontId="28" fillId="28" borderId="2" applyAlignment="1" pivotButton="0" quotePrefix="0" xfId="0">
      <alignment horizontal="center" vertical="center"/>
    </xf>
    <xf numFmtId="176" fontId="28" fillId="28" borderId="2" applyAlignment="1" pivotButton="0" quotePrefix="0" xfId="0">
      <alignment horizontal="center" vertical="center"/>
    </xf>
    <xf numFmtId="177" fontId="28" fillId="28" borderId="2" applyAlignment="1" pivotButton="0" quotePrefix="0" xfId="0">
      <alignment horizontal="center" vertical="center"/>
    </xf>
    <xf numFmtId="167" fontId="33" fillId="28" borderId="2" applyAlignment="1" pivotButton="0" quotePrefix="0" xfId="0">
      <alignment horizontal="center" vertical="center"/>
    </xf>
    <xf numFmtId="176" fontId="33" fillId="28" borderId="2" applyAlignment="1" pivotButton="0" quotePrefix="0" xfId="0">
      <alignment horizontal="center" vertical="center"/>
    </xf>
    <xf numFmtId="170" fontId="28" fillId="28" borderId="2" applyAlignment="1" pivotButton="0" quotePrefix="0" xfId="0">
      <alignment horizontal="center" vertical="center"/>
    </xf>
    <xf numFmtId="3" fontId="28" fillId="28" borderId="2" applyAlignment="1" pivotButton="0" quotePrefix="0" xfId="0">
      <alignment horizontal="center" vertical="center"/>
    </xf>
    <xf numFmtId="170" fontId="30" fillId="11" borderId="0" applyAlignment="1" pivotButton="0" quotePrefix="0" xfId="0">
      <alignment horizontal="left" vertical="center" wrapText="1"/>
    </xf>
    <xf numFmtId="166" fontId="59" fillId="11" borderId="17" applyAlignment="1" pivotButton="0" quotePrefix="0" xfId="0">
      <alignment horizontal="right" vertical="center" wrapText="1"/>
    </xf>
    <xf numFmtId="178" fontId="68" fillId="35" borderId="2" applyAlignment="1" pivotButton="0" quotePrefix="0" xfId="0">
      <alignment horizontal="right" vertical="center"/>
    </xf>
    <xf numFmtId="178" fontId="68" fillId="35" borderId="41" applyAlignment="1" pivotButton="0" quotePrefix="0" xfId="0">
      <alignment horizontal="right" vertical="center"/>
    </xf>
    <xf numFmtId="179" fontId="54" fillId="11" borderId="21" applyAlignment="1" pivotButton="0" quotePrefix="0" xfId="0">
      <alignment horizontal="center" vertical="center"/>
    </xf>
    <xf numFmtId="179" fontId="54" fillId="11" borderId="0" applyAlignment="1" pivotButton="0" quotePrefix="0" xfId="0">
      <alignment horizontal="center" vertical="center"/>
    </xf>
    <xf numFmtId="167" fontId="54" fillId="11" borderId="0" applyAlignment="1" pivotButton="0" quotePrefix="0" xfId="0">
      <alignment horizontal="center" vertical="center"/>
    </xf>
    <xf numFmtId="169" fontId="71" fillId="11" borderId="0" applyAlignment="1" pivotButton="0" quotePrefix="0" xfId="0">
      <alignment horizontal="center" vertical="center"/>
    </xf>
    <xf numFmtId="166" fontId="71" fillId="11" borderId="0" applyAlignment="1" pivotButton="0" quotePrefix="0" xfId="0">
      <alignment horizontal="center" vertical="center"/>
    </xf>
    <xf numFmtId="170" fontId="71" fillId="19" borderId="21" applyAlignment="1" pivotButton="0" quotePrefix="0" xfId="0">
      <alignment horizontal="center" vertical="center"/>
    </xf>
    <xf numFmtId="170" fontId="71" fillId="19" borderId="0" applyAlignment="1" pivotButton="0" quotePrefix="0" xfId="0">
      <alignment horizontal="center" vertical="center"/>
    </xf>
    <xf numFmtId="0" fontId="64" fillId="18" borderId="21" applyAlignment="1" pivotButton="0" quotePrefix="0" xfId="0">
      <alignment horizontal="center" vertical="center"/>
    </xf>
    <xf numFmtId="0" fontId="64" fillId="18" borderId="0" applyAlignment="1" pivotButton="0" quotePrefix="0" xfId="0">
      <alignment horizontal="center" vertical="center"/>
    </xf>
    <xf numFmtId="0" fontId="64" fillId="18" borderId="22" applyAlignment="1" pivotButton="0" quotePrefix="0" xfId="0">
      <alignment horizontal="center" vertical="center"/>
    </xf>
    <xf numFmtId="0" fontId="0" fillId="0" borderId="0" pivotButton="0" quotePrefix="0" xfId="0"/>
    <xf numFmtId="0" fontId="45" fillId="10" borderId="21" applyAlignment="1" pivotButton="0" quotePrefix="0" xfId="0">
      <alignment horizontal="right" vertical="center"/>
    </xf>
    <xf numFmtId="0" fontId="45" fillId="10" borderId="0" applyAlignment="1" pivotButton="0" quotePrefix="0" xfId="0">
      <alignment horizontal="right" vertical="center"/>
    </xf>
    <xf numFmtId="0" fontId="45" fillId="10" borderId="22" applyAlignment="1" pivotButton="0" quotePrefix="0" xfId="0">
      <alignment horizontal="right" vertical="center"/>
    </xf>
    <xf numFmtId="0" fontId="0" fillId="0" borderId="21" pivotButton="0" quotePrefix="0" xfId="0"/>
    <xf numFmtId="0" fontId="0" fillId="0" borderId="0" pivotButton="0" quotePrefix="0" xfId="0"/>
    <xf numFmtId="0" fontId="0" fillId="0" borderId="22" pivotButton="0" quotePrefix="0" xfId="0"/>
    <xf numFmtId="0" fontId="48" fillId="18" borderId="21" applyAlignment="1" pivotButton="0" quotePrefix="0" xfId="0">
      <alignment horizontal="center" vertical="center"/>
    </xf>
    <xf numFmtId="0" fontId="47" fillId="28" borderId="0" applyAlignment="1" pivotButton="0" quotePrefix="0" xfId="0">
      <alignment horizontal="center" vertical="center"/>
    </xf>
    <xf numFmtId="0" fontId="46" fillId="10" borderId="0" applyAlignment="1" pivotButton="0" quotePrefix="0" xfId="0">
      <alignment horizontal="left" vertical="center"/>
    </xf>
    <xf numFmtId="0" fontId="46" fillId="10" borderId="22" applyAlignment="1" pivotButton="0" quotePrefix="0" xfId="0">
      <alignment horizontal="left" vertical="center"/>
    </xf>
    <xf numFmtId="0" fontId="0" fillId="0" borderId="2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39" fillId="12" borderId="21" applyAlignment="1" pivotButton="0" quotePrefix="0" xfId="0">
      <alignment horizontal="center"/>
    </xf>
    <xf numFmtId="0" fontId="39" fillId="12" borderId="0" applyAlignment="1" pivotButton="0" quotePrefix="0" xfId="0">
      <alignment horizontal="center"/>
    </xf>
    <xf numFmtId="0" fontId="39" fillId="12" borderId="22" applyAlignment="1" pivotButton="0" quotePrefix="0" xfId="0">
      <alignment horizontal="center"/>
    </xf>
    <xf numFmtId="0" fontId="54" fillId="11" borderId="0" applyAlignment="1" pivotButton="0" quotePrefix="0" xfId="0">
      <alignment horizontal="center" vertical="center"/>
    </xf>
    <xf numFmtId="0" fontId="40" fillId="12" borderId="21" applyAlignment="1" pivotButton="0" quotePrefix="0" xfId="0">
      <alignment horizontal="center"/>
    </xf>
    <xf numFmtId="0" fontId="40" fillId="12" borderId="0" applyAlignment="1" pivotButton="0" quotePrefix="0" xfId="0">
      <alignment horizontal="center"/>
    </xf>
    <xf numFmtId="0" fontId="40" fillId="12" borderId="22" applyAlignment="1" pivotButton="0" quotePrefix="0" xfId="0">
      <alignment horizontal="center"/>
    </xf>
    <xf numFmtId="0" fontId="40" fillId="13" borderId="35" applyAlignment="1" pivotButton="0" quotePrefix="0" xfId="0">
      <alignment horizontal="center"/>
    </xf>
    <xf numFmtId="0" fontId="40" fillId="13" borderId="5" applyAlignment="1" pivotButton="0" quotePrefix="0" xfId="0">
      <alignment horizontal="center"/>
    </xf>
    <xf numFmtId="0" fontId="40" fillId="13" borderId="36" applyAlignment="1" pivotButton="0" quotePrefix="0" xfId="0">
      <alignment horizontal="center"/>
    </xf>
    <xf numFmtId="0" fontId="0" fillId="13" borderId="0" pivotButton="0" quotePrefix="0" xfId="0"/>
    <xf numFmtId="0" fontId="74" fillId="11" borderId="37" applyAlignment="1" pivotButton="0" quotePrefix="0" xfId="0">
      <alignment horizontal="left"/>
    </xf>
    <xf numFmtId="0" fontId="74" fillId="11" borderId="11" applyAlignment="1" pivotButton="0" quotePrefix="0" xfId="0">
      <alignment horizontal="left"/>
    </xf>
    <xf numFmtId="0" fontId="74" fillId="11" borderId="12" applyAlignment="1" pivotButton="0" quotePrefix="0" xfId="0">
      <alignment horizontal="left"/>
    </xf>
    <xf numFmtId="0" fontId="74" fillId="11" borderId="10" applyAlignment="1" pivotButton="0" quotePrefix="0" xfId="0">
      <alignment horizontal="left" vertical="center"/>
    </xf>
    <xf numFmtId="0" fontId="74" fillId="11" borderId="11" applyAlignment="1" pivotButton="0" quotePrefix="0" xfId="0">
      <alignment horizontal="left" vertical="center"/>
    </xf>
    <xf numFmtId="0" fontId="74" fillId="11" borderId="38" applyAlignment="1" pivotButton="0" quotePrefix="0" xfId="0">
      <alignment horizontal="left" vertical="center"/>
    </xf>
    <xf numFmtId="0" fontId="0" fillId="11" borderId="21" pivotButton="0" quotePrefix="0" xfId="0"/>
    <xf numFmtId="0" fontId="0" fillId="11" borderId="0" pivotButton="0" quotePrefix="0" xfId="0"/>
    <xf numFmtId="0" fontId="0" fillId="11" borderId="8" pivotButton="0" quotePrefix="0" xfId="0"/>
    <xf numFmtId="0" fontId="0" fillId="11" borderId="9" pivotButton="0" quotePrefix="0" xfId="0"/>
    <xf numFmtId="0" fontId="0" fillId="11" borderId="22" pivotButton="0" quotePrefix="0" xfId="0"/>
    <xf numFmtId="0" fontId="0" fillId="11" borderId="39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25" applyAlignment="1" pivotButton="0" quotePrefix="0" xfId="0">
      <alignment horizontal="center"/>
    </xf>
    <xf numFmtId="0" fontId="74" fillId="11" borderId="10" applyAlignment="1" pivotButton="0" quotePrefix="0" xfId="0">
      <alignment horizontal="left"/>
    </xf>
    <xf numFmtId="0" fontId="74" fillId="11" borderId="38" applyAlignment="1" pivotButton="0" quotePrefix="0" xfId="0">
      <alignment horizontal="left"/>
    </xf>
    <xf numFmtId="0" fontId="0" fillId="11" borderId="39" pivotButton="0" quotePrefix="0" xfId="0"/>
    <xf numFmtId="0" fontId="0" fillId="11" borderId="6" pivotButton="0" quotePrefix="0" xfId="0"/>
    <xf numFmtId="0" fontId="0" fillId="11" borderId="7" pivotButton="0" quotePrefix="0" xfId="0"/>
    <xf numFmtId="0" fontId="0" fillId="11" borderId="25" pivotButton="0" quotePrefix="0" xfId="0"/>
    <xf numFmtId="0" fontId="73" fillId="11" borderId="21" applyAlignment="1" pivotButton="0" quotePrefix="0" xfId="0">
      <alignment horizontal="left"/>
    </xf>
    <xf numFmtId="0" fontId="42" fillId="14" borderId="21" applyAlignment="1" pivotButton="0" quotePrefix="0" xfId="0">
      <alignment horizontal="center" vertical="center"/>
    </xf>
    <xf numFmtId="0" fontId="43" fillId="14" borderId="0" applyAlignment="1" pivotButton="0" quotePrefix="0" xfId="0">
      <alignment horizontal="center" vertical="center"/>
    </xf>
    <xf numFmtId="0" fontId="42" fillId="14" borderId="0" applyAlignment="1" pivotButton="0" quotePrefix="0" xfId="0">
      <alignment horizontal="center" vertical="center"/>
    </xf>
    <xf numFmtId="0" fontId="43" fillId="14" borderId="22" applyAlignment="1" pivotButton="0" quotePrefix="0" xfId="0">
      <alignment horizontal="center" vertical="center"/>
    </xf>
    <xf numFmtId="0" fontId="72" fillId="11" borderId="0" applyAlignment="1" pivotButton="0" quotePrefix="0" xfId="0">
      <alignment horizontal="center" vertical="center"/>
    </xf>
    <xf numFmtId="0" fontId="72" fillId="11" borderId="22" applyAlignment="1" pivotButton="0" quotePrefix="0" xfId="0">
      <alignment horizontal="center" vertical="center"/>
    </xf>
    <xf numFmtId="0" fontId="49" fillId="0" borderId="0" pivotButton="0" quotePrefix="0" xfId="0"/>
    <xf numFmtId="0" fontId="44" fillId="11" borderId="21" applyAlignment="1" pivotButton="0" quotePrefix="0" xfId="0">
      <alignment horizontal="center" vertical="center"/>
    </xf>
    <xf numFmtId="0" fontId="41" fillId="11" borderId="0" applyAlignment="1" pivotButton="0" quotePrefix="0" xfId="0">
      <alignment horizontal="center" vertical="center"/>
    </xf>
    <xf numFmtId="0" fontId="44" fillId="11" borderId="0" applyAlignment="1" pivotButton="0" quotePrefix="0" xfId="0">
      <alignment horizontal="center" vertical="center"/>
    </xf>
    <xf numFmtId="0" fontId="41" fillId="11" borderId="22" applyAlignment="1" pivotButton="0" quotePrefix="0" xfId="0">
      <alignment horizontal="center" vertical="center"/>
    </xf>
    <xf numFmtId="0" fontId="61" fillId="23" borderId="21" applyAlignment="1" pivotButton="0" quotePrefix="0" xfId="0">
      <alignment horizontal="left" vertical="center"/>
    </xf>
    <xf numFmtId="0" fontId="61" fillId="23" borderId="0" applyAlignment="1" pivotButton="0" quotePrefix="0" xfId="0">
      <alignment horizontal="left" vertical="center"/>
    </xf>
    <xf numFmtId="0" fontId="61" fillId="23" borderId="22" applyAlignment="1" pivotButton="0" quotePrefix="0" xfId="0">
      <alignment horizontal="left" vertical="center"/>
    </xf>
    <xf numFmtId="0" fontId="61" fillId="23" borderId="16" applyAlignment="1" pivotButton="0" quotePrefix="0" xfId="0">
      <alignment horizontal="right" vertical="center"/>
    </xf>
    <xf numFmtId="0" fontId="61" fillId="23" borderId="17" applyAlignment="1" pivotButton="0" quotePrefix="0" xfId="0">
      <alignment horizontal="right" vertical="center"/>
    </xf>
    <xf numFmtId="0" fontId="61" fillId="23" borderId="18" applyAlignment="1" pivotButton="0" quotePrefix="0" xfId="0">
      <alignment horizontal="right" vertical="center"/>
    </xf>
    <xf numFmtId="0" fontId="38" fillId="0" borderId="0" applyAlignment="1" pivotButton="0" quotePrefix="0" xfId="0">
      <alignment vertical="center"/>
    </xf>
    <xf numFmtId="0" fontId="8" fillId="2" borderId="13" applyAlignment="1" pivotButton="0" quotePrefix="0" xfId="0">
      <alignment horizontal="center" vertical="center"/>
    </xf>
    <xf numFmtId="0" fontId="8" fillId="2" borderId="14" applyAlignment="1" pivotButton="0" quotePrefix="0" xfId="0">
      <alignment horizontal="center" vertical="center"/>
    </xf>
    <xf numFmtId="0" fontId="8" fillId="2" borderId="15" applyAlignment="1" pivotButton="0" quotePrefix="0" xfId="0">
      <alignment horizontal="center" vertical="center"/>
    </xf>
    <xf numFmtId="0" fontId="23" fillId="3" borderId="21" applyAlignment="1" pivotButton="0" quotePrefix="0" xfId="0">
      <alignment horizontal="left" vertical="center"/>
    </xf>
    <xf numFmtId="0" fontId="50" fillId="36" borderId="1" applyAlignment="1" pivotButton="0" quotePrefix="0" xfId="0">
      <alignment horizontal="center" vertical="center"/>
    </xf>
    <xf numFmtId="0" fontId="31" fillId="0" borderId="22" applyAlignment="1" pivotButton="0" quotePrefix="0" xfId="0">
      <alignment vertical="center"/>
    </xf>
    <xf numFmtId="0" fontId="30" fillId="0" borderId="21" pivotButton="0" quotePrefix="0" xfId="0"/>
    <xf numFmtId="0" fontId="3" fillId="4" borderId="21" applyAlignment="1" pivotButton="0" quotePrefix="0" xfId="0">
      <alignment horizontal="left" vertical="center"/>
    </xf>
    <xf numFmtId="0" fontId="3" fillId="4" borderId="22" applyAlignment="1" pivotButton="0" quotePrefix="0" xfId="0">
      <alignment horizontal="left" vertical="center"/>
    </xf>
    <xf numFmtId="0" fontId="10" fillId="2" borderId="2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22" applyAlignment="1" pivotButton="0" quotePrefix="0" xfId="0">
      <alignment horizontal="left" vertical="center"/>
    </xf>
    <xf numFmtId="0" fontId="2" fillId="0" borderId="23" applyAlignment="1" pivotButton="0" quotePrefix="0" xfId="0">
      <alignment horizontal="left" vertical="center"/>
    </xf>
    <xf numFmtId="0" fontId="51" fillId="0" borderId="22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/>
    </xf>
    <xf numFmtId="0" fontId="51" fillId="0" borderId="25" applyAlignment="1" pivotButton="0" quotePrefix="0" xfId="0">
      <alignment horizontal="left" vertical="center"/>
    </xf>
    <xf numFmtId="0" fontId="10" fillId="15" borderId="26" applyAlignment="1" pivotButton="0" quotePrefix="0" xfId="0">
      <alignment horizontal="left" vertical="center"/>
    </xf>
    <xf numFmtId="0" fontId="10" fillId="15" borderId="20" applyAlignment="1" pivotButton="0" quotePrefix="0" xfId="0">
      <alignment horizontal="left" vertical="center"/>
    </xf>
    <xf numFmtId="0" fontId="10" fillId="15" borderId="27" applyAlignment="1" pivotButton="0" quotePrefix="0" xfId="0">
      <alignment horizontal="left" vertical="center"/>
    </xf>
    <xf numFmtId="0" fontId="2" fillId="0" borderId="28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left" vertical="center"/>
    </xf>
    <xf numFmtId="0" fontId="30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horizontal="left" vertical="center"/>
    </xf>
    <xf numFmtId="0" fontId="30" fillId="0" borderId="34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12" fillId="2" borderId="14" applyAlignment="1" pivotButton="0" quotePrefix="0" xfId="0">
      <alignment horizontal="center" vertical="center"/>
    </xf>
    <xf numFmtId="0" fontId="12" fillId="2" borderId="15" applyAlignment="1" pivotButton="0" quotePrefix="0" xfId="0">
      <alignment horizontal="center" vertical="center"/>
    </xf>
    <xf numFmtId="0" fontId="13" fillId="0" borderId="2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66" fillId="24" borderId="23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66" fillId="24" borderId="41" applyAlignment="1" pivotButton="0" quotePrefix="0" xfId="0">
      <alignment horizontal="center" vertical="center"/>
    </xf>
    <xf numFmtId="0" fontId="17" fillId="2" borderId="21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7" fillId="2" borderId="22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 wrapText="1"/>
    </xf>
    <xf numFmtId="0" fontId="19" fillId="0" borderId="41" applyAlignment="1" pivotButton="0" quotePrefix="0" xfId="0">
      <alignment horizontal="left" vertical="center" wrapText="1"/>
    </xf>
    <xf numFmtId="0" fontId="22" fillId="0" borderId="23" applyAlignment="1" pivotButton="0" quotePrefix="0" xfId="0">
      <alignment horizontal="left" vertical="center"/>
    </xf>
    <xf numFmtId="0" fontId="30" fillId="11" borderId="42" applyAlignment="1" pivotButton="0" quotePrefix="0" xfId="0">
      <alignment horizontal="left" vertical="center" wrapText="1"/>
    </xf>
    <xf numFmtId="0" fontId="30" fillId="11" borderId="3" applyAlignment="1" pivotButton="0" quotePrefix="0" xfId="0">
      <alignment horizontal="left" vertical="center" wrapText="1"/>
    </xf>
    <xf numFmtId="0" fontId="30" fillId="11" borderId="43" applyAlignment="1" pivotButton="0" quotePrefix="0" xfId="0">
      <alignment horizontal="left" vertical="center" wrapText="1"/>
    </xf>
    <xf numFmtId="0" fontId="30" fillId="11" borderId="21" applyAlignment="1" pivotButton="0" quotePrefix="0" xfId="0">
      <alignment horizontal="left" vertical="center" wrapText="1"/>
    </xf>
    <xf numFmtId="0" fontId="30" fillId="11" borderId="0" applyAlignment="1" pivotButton="0" quotePrefix="0" xfId="0">
      <alignment horizontal="left" vertical="center" wrapText="1"/>
    </xf>
    <xf numFmtId="0" fontId="30" fillId="11" borderId="22" applyAlignment="1" pivotButton="0" quotePrefix="0" xfId="0">
      <alignment horizontal="left" vertical="center" wrapText="1"/>
    </xf>
    <xf numFmtId="0" fontId="58" fillId="11" borderId="16" applyAlignment="1" pivotButton="0" quotePrefix="0" xfId="0">
      <alignment horizontal="left" vertical="center" wrapText="1"/>
    </xf>
    <xf numFmtId="0" fontId="19" fillId="11" borderId="18" applyAlignment="1" pivotButton="0" quotePrefix="0" xfId="0">
      <alignment horizontal="left" vertical="center" wrapText="1"/>
    </xf>
    <xf numFmtId="0" fontId="67" fillId="15" borderId="13" applyAlignment="1" pivotButton="0" quotePrefix="0" xfId="0">
      <alignment horizontal="center"/>
    </xf>
    <xf numFmtId="0" fontId="67" fillId="15" borderId="14" applyAlignment="1" pivotButton="0" quotePrefix="0" xfId="0">
      <alignment horizontal="center"/>
    </xf>
    <xf numFmtId="0" fontId="67" fillId="15" borderId="15" applyAlignment="1" pivotButton="0" quotePrefix="0" xfId="0">
      <alignment horizontal="center"/>
    </xf>
    <xf numFmtId="0" fontId="49" fillId="0" borderId="21" pivotButton="0" quotePrefix="0" xfId="0"/>
    <xf numFmtId="0" fontId="55" fillId="0" borderId="0" pivotButton="0" quotePrefix="0" xfId="0"/>
    <xf numFmtId="0" fontId="55" fillId="0" borderId="0" pivotButton="0" quotePrefix="1" xfId="0"/>
    <xf numFmtId="0" fontId="49" fillId="0" borderId="16" pivotButton="0" quotePrefix="0" xfId="0"/>
    <xf numFmtId="0" fontId="55" fillId="0" borderId="17" pivotButton="0" quotePrefix="1" xfId="0"/>
    <xf numFmtId="0" fontId="0" fillId="0" borderId="18" pivotButton="0" quotePrefix="0" xfId="0"/>
    <xf numFmtId="0" fontId="55" fillId="0" borderId="18" pivotButton="0" quotePrefix="0" xfId="0"/>
    <xf numFmtId="0" fontId="37" fillId="2" borderId="13" applyAlignment="1" pivotButton="0" quotePrefix="0" xfId="0">
      <alignment vertical="center"/>
    </xf>
    <xf numFmtId="0" fontId="7" fillId="2" borderId="14" applyAlignment="1" pivotButton="0" quotePrefix="0" xfId="0">
      <alignment vertical="center"/>
    </xf>
    <xf numFmtId="0" fontId="7" fillId="2" borderId="15" applyAlignment="1" pivotButton="0" quotePrefix="0" xfId="0">
      <alignment vertical="center"/>
    </xf>
    <xf numFmtId="0" fontId="3" fillId="0" borderId="21" pivotButton="0" quotePrefix="0" xfId="0"/>
    <xf numFmtId="0" fontId="3" fillId="0" borderId="0" pivotButton="0" quotePrefix="0" xfId="0"/>
    <xf numFmtId="0" fontId="36" fillId="36" borderId="0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32" fillId="34" borderId="0" applyAlignment="1" pivotButton="0" quotePrefix="0" xfId="0">
      <alignment horizontal="center" vertical="center"/>
    </xf>
    <xf numFmtId="0" fontId="32" fillId="34" borderId="22" applyAlignment="1" pivotButton="0" quotePrefix="0" xfId="0">
      <alignment horizontal="center" vertical="center"/>
    </xf>
    <xf numFmtId="0" fontId="66" fillId="33" borderId="21" applyAlignment="1" pivotButton="0" quotePrefix="0" xfId="0">
      <alignment horizontal="left" vertical="center"/>
    </xf>
    <xf numFmtId="0" fontId="66" fillId="33" borderId="0" applyAlignment="1" pivotButton="0" quotePrefix="0" xfId="0">
      <alignment horizontal="left" vertical="center"/>
    </xf>
    <xf numFmtId="0" fontId="66" fillId="33" borderId="22" applyAlignment="1" pivotButton="0" quotePrefix="0" xfId="0">
      <alignment horizontal="left" vertical="center"/>
    </xf>
    <xf numFmtId="0" fontId="29" fillId="0" borderId="2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66" fillId="32" borderId="21" applyAlignment="1" pivotButton="0" quotePrefix="0" xfId="0">
      <alignment horizontal="left" vertical="center"/>
    </xf>
    <xf numFmtId="0" fontId="66" fillId="32" borderId="0" applyAlignment="1" pivotButton="0" quotePrefix="0" xfId="0">
      <alignment horizontal="left" vertical="center"/>
    </xf>
    <xf numFmtId="0" fontId="66" fillId="32" borderId="22" applyAlignment="1" pivotButton="0" quotePrefix="0" xfId="0">
      <alignment horizontal="left" vertical="center"/>
    </xf>
    <xf numFmtId="0" fontId="66" fillId="29" borderId="21" applyAlignment="1" pivotButton="0" quotePrefix="0" xfId="0">
      <alignment horizontal="left" vertical="center"/>
    </xf>
    <xf numFmtId="0" fontId="66" fillId="29" borderId="0" applyAlignment="1" pivotButton="0" quotePrefix="0" xfId="0">
      <alignment horizontal="left" vertical="center"/>
    </xf>
    <xf numFmtId="0" fontId="66" fillId="29" borderId="22" applyAlignment="1" pivotButton="0" quotePrefix="0" xfId="0">
      <alignment horizontal="left" vertical="center"/>
    </xf>
    <xf numFmtId="0" fontId="66" fillId="30" borderId="21" applyAlignment="1" pivotButton="0" quotePrefix="0" xfId="0">
      <alignment horizontal="left" vertical="center"/>
    </xf>
    <xf numFmtId="0" fontId="66" fillId="30" borderId="0" applyAlignment="1" pivotButton="0" quotePrefix="0" xfId="0">
      <alignment horizontal="left" vertical="center"/>
    </xf>
    <xf numFmtId="0" fontId="66" fillId="30" borderId="22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 vertical="center"/>
    </xf>
    <xf numFmtId="0" fontId="66" fillId="31" borderId="21" applyAlignment="1" pivotButton="0" quotePrefix="0" xfId="0">
      <alignment horizontal="left" vertical="center"/>
    </xf>
    <xf numFmtId="0" fontId="66" fillId="31" borderId="0" applyAlignment="1" pivotButton="0" quotePrefix="0" xfId="0">
      <alignment horizontal="left" vertical="center"/>
    </xf>
    <xf numFmtId="0" fontId="66" fillId="31" borderId="22" applyAlignment="1" pivotButton="0" quotePrefix="0" xfId="0">
      <alignment horizontal="left" vertical="center"/>
    </xf>
    <xf numFmtId="0" fontId="68" fillId="35" borderId="23" applyAlignment="1" pivotButton="0" quotePrefix="0" xfId="0">
      <alignment horizontal="left" vertical="center"/>
    </xf>
    <xf numFmtId="0" fontId="69" fillId="35" borderId="2" applyAlignment="1" pivotButton="0" quotePrefix="0" xfId="0">
      <alignment horizontal="center" vertical="center"/>
    </xf>
    <xf numFmtId="0" fontId="70" fillId="35" borderId="2" applyAlignment="1" pivotButton="0" quotePrefix="0" xfId="0">
      <alignment horizontal="center" vertical="center"/>
    </xf>
    <xf numFmtId="0" fontId="2" fillId="0" borderId="44" applyAlignment="1" pivotButton="0" quotePrefix="0" xfId="0">
      <alignment horizontal="left" vertical="center"/>
    </xf>
    <xf numFmtId="0" fontId="29" fillId="0" borderId="40" applyAlignment="1" pivotButton="0" quotePrefix="0" xfId="0">
      <alignment horizontal="center" vertical="center"/>
    </xf>
    <xf numFmtId="0" fontId="34" fillId="22" borderId="21" applyAlignment="1" pivotButton="0" quotePrefix="0" xfId="0">
      <alignment horizontal="center" vertical="center"/>
    </xf>
    <xf numFmtId="0" fontId="34" fillId="22" borderId="0" applyAlignment="1" pivotButton="0" quotePrefix="0" xfId="0">
      <alignment horizontal="center" vertical="center"/>
    </xf>
    <xf numFmtId="0" fontId="34" fillId="22" borderId="22" applyAlignment="1" pivotButton="0" quotePrefix="0" xfId="0">
      <alignment horizontal="center" vertical="center"/>
    </xf>
    <xf numFmtId="0" fontId="66" fillId="21" borderId="46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66" fillId="21" borderId="47" applyAlignment="1" pivotButton="0" quotePrefix="0" xfId="0">
      <alignment horizontal="center" vertical="center"/>
    </xf>
    <xf numFmtId="0" fontId="30" fillId="0" borderId="41" applyAlignment="1" pivotButton="0" quotePrefix="0" xfId="0">
      <alignment horizontal="left" vertical="center"/>
    </xf>
    <xf numFmtId="0" fontId="65" fillId="0" borderId="0" pivotButton="0" quotePrefix="0" xfId="0"/>
    <xf numFmtId="0" fontId="62" fillId="17" borderId="42" applyAlignment="1" pivotButton="0" quotePrefix="0" xfId="0">
      <alignment horizontal="center" vertical="center" wrapText="1"/>
    </xf>
    <xf numFmtId="0" fontId="21" fillId="7" borderId="3" applyAlignment="1" pivotButton="0" quotePrefix="0" xfId="0">
      <alignment horizontal="center" vertical="center" wrapText="1"/>
    </xf>
    <xf numFmtId="0" fontId="21" fillId="7" borderId="43" applyAlignment="1" pivotButton="0" quotePrefix="0" xfId="0">
      <alignment horizontal="center" vertical="center" wrapText="1"/>
    </xf>
    <xf numFmtId="0" fontId="63" fillId="17" borderId="16" applyAlignment="1" pivotButton="0" quotePrefix="0" xfId="0">
      <alignment horizontal="center" vertical="center" wrapText="1"/>
    </xf>
    <xf numFmtId="0" fontId="21" fillId="7" borderId="17" applyAlignment="1" pivotButton="0" quotePrefix="0" xfId="0">
      <alignment horizontal="center" vertical="center" wrapText="1"/>
    </xf>
    <xf numFmtId="0" fontId="21" fillId="7" borderId="18" applyAlignment="1" pivotButton="0" quotePrefix="0" xfId="0">
      <alignment horizontal="center" vertical="center" wrapText="1"/>
    </xf>
    <xf numFmtId="0" fontId="64" fillId="18" borderId="49" applyAlignment="1" pivotButton="0" quotePrefix="0" xfId="0">
      <alignment horizontal="center" vertical="center"/>
    </xf>
    <xf numFmtId="0" fontId="45" fillId="10" borderId="49" applyAlignment="1" pivotButton="0" quotePrefix="0" xfId="0">
      <alignment horizontal="right" vertical="center"/>
    </xf>
    <xf numFmtId="179" fontId="54" fillId="11" borderId="21" applyAlignment="1" pivotButton="0" quotePrefix="0" xfId="0">
      <alignment horizontal="center" vertical="center"/>
    </xf>
    <xf numFmtId="172" fontId="54" fillId="19" borderId="0" applyAlignment="1" pivotButton="0" quotePrefix="0" xfId="0">
      <alignment horizontal="center" vertical="center"/>
    </xf>
    <xf numFmtId="172" fontId="54" fillId="19" borderId="22" applyAlignment="1" pivotButton="0" quotePrefix="0" xfId="0">
      <alignment horizontal="center" vertical="center"/>
    </xf>
    <xf numFmtId="0" fontId="40" fillId="13" borderId="53" applyAlignment="1" pivotButton="0" quotePrefix="0" xfId="0">
      <alignment horizontal="center"/>
    </xf>
    <xf numFmtId="0" fontId="0" fillId="0" borderId="5" pivotButton="0" quotePrefix="0" xfId="0"/>
    <xf numFmtId="0" fontId="0" fillId="0" borderId="36" pivotButton="0" quotePrefix="0" xfId="0"/>
    <xf numFmtId="0" fontId="74" fillId="11" borderId="5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74" fillId="11" borderId="52" applyAlignment="1" pivotButton="0" quotePrefix="0" xfId="0">
      <alignment horizontal="left" vertical="center"/>
    </xf>
    <xf numFmtId="0" fontId="0" fillId="0" borderId="38" pivotButton="0" quotePrefix="0" xfId="0"/>
    <xf numFmtId="0" fontId="0" fillId="11" borderId="54" applyAlignment="1" pivotButton="0" quotePrefix="0" xfId="0">
      <alignment horizontal="center"/>
    </xf>
    <xf numFmtId="0" fontId="0" fillId="0" borderId="6" pivotButton="0" quotePrefix="0" xfId="0"/>
    <xf numFmtId="0" fontId="0" fillId="0" borderId="25" pivotButton="0" quotePrefix="0" xfId="0"/>
    <xf numFmtId="0" fontId="74" fillId="11" borderId="52" applyAlignment="1" pivotButton="0" quotePrefix="0" xfId="0">
      <alignment horizontal="left"/>
    </xf>
    <xf numFmtId="170" fontId="71" fillId="19" borderId="21" applyAlignment="1" pivotButton="0" quotePrefix="0" xfId="0">
      <alignment horizontal="center" vertical="center"/>
    </xf>
    <xf numFmtId="170" fontId="71" fillId="19" borderId="0" applyAlignment="1" pivotButton="0" quotePrefix="0" xfId="0">
      <alignment horizontal="center" vertical="center"/>
    </xf>
    <xf numFmtId="169" fontId="71" fillId="11" borderId="0" applyAlignment="1" pivotButton="0" quotePrefix="0" xfId="0">
      <alignment horizontal="center" vertical="center"/>
    </xf>
    <xf numFmtId="166" fontId="71" fillId="11" borderId="0" applyAlignment="1" pivotButton="0" quotePrefix="0" xfId="0">
      <alignment horizontal="center" vertical="center"/>
    </xf>
    <xf numFmtId="0" fontId="61" fillId="23" borderId="49" applyAlignment="1" pivotButton="0" quotePrefix="0" xfId="0">
      <alignment horizontal="left" vertical="center"/>
    </xf>
    <xf numFmtId="0" fontId="61" fillId="23" borderId="48" applyAlignment="1" pivotButton="0" quotePrefix="0" xfId="0">
      <alignment horizontal="right" vertical="center"/>
    </xf>
    <xf numFmtId="0" fontId="0" fillId="0" borderId="17" pivotButton="0" quotePrefix="0" xfId="0"/>
    <xf numFmtId="0" fontId="8" fillId="2" borderId="56" applyAlignment="1" pivotButton="0" quotePrefix="0" xfId="0">
      <alignment horizontal="center" vertical="center"/>
    </xf>
    <xf numFmtId="0" fontId="3" fillId="4" borderId="49" applyAlignment="1" pivotButton="0" quotePrefix="0" xfId="0">
      <alignment horizontal="left" vertical="center"/>
    </xf>
    <xf numFmtId="0" fontId="10" fillId="2" borderId="49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165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  <xf numFmtId="167" fontId="11" fillId="0" borderId="2" applyAlignment="1" pivotButton="0" quotePrefix="0" xfId="0">
      <alignment horizontal="right" vertical="center"/>
    </xf>
    <xf numFmtId="0" fontId="10" fillId="15" borderId="55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7" pivotButton="0" quotePrefix="0" xfId="0"/>
    <xf numFmtId="164" fontId="52" fillId="0" borderId="4" applyAlignment="1" pivotButton="0" quotePrefix="0" xfId="0">
      <alignment horizontal="right"/>
    </xf>
    <xf numFmtId="168" fontId="52" fillId="0" borderId="4" applyAlignment="1" pivotButton="0" quotePrefix="0" xfId="0">
      <alignment horizontal="right"/>
    </xf>
    <xf numFmtId="167" fontId="52" fillId="0" borderId="4" applyAlignment="1" pivotButton="0" quotePrefix="0" xfId="0">
      <alignment horizontal="right"/>
    </xf>
    <xf numFmtId="169" fontId="52" fillId="0" borderId="4" applyAlignment="1" pivotButton="0" quotePrefix="0" xfId="0">
      <alignment horizontal="right"/>
    </xf>
    <xf numFmtId="171" fontId="52" fillId="0" borderId="19" applyAlignment="1" pivotButton="0" quotePrefix="0" xfId="0">
      <alignment horizontal="right"/>
    </xf>
    <xf numFmtId="166" fontId="57" fillId="0" borderId="33" pivotButton="0" quotePrefix="0" xfId="0"/>
    <xf numFmtId="0" fontId="12" fillId="2" borderId="56" applyAlignment="1" pivotButton="0" quotePrefix="0" xfId="0">
      <alignment horizontal="center" vertical="center"/>
    </xf>
    <xf numFmtId="0" fontId="17" fillId="2" borderId="49" applyAlignment="1" pivotButton="0" quotePrefix="0" xfId="0">
      <alignment horizontal="left" vertical="center"/>
    </xf>
    <xf numFmtId="164" fontId="18" fillId="5" borderId="2" applyAlignment="1" pivotButton="0" quotePrefix="0" xfId="0">
      <alignment horizontal="center" vertical="center"/>
    </xf>
    <xf numFmtId="164" fontId="18" fillId="7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165" fontId="18" fillId="5" borderId="2" applyAlignment="1" pivotButton="0" quotePrefix="0" xfId="0">
      <alignment horizontal="center" vertical="center"/>
    </xf>
    <xf numFmtId="165" fontId="18" fillId="7" borderId="2" applyAlignment="1" pivotButton="0" quotePrefix="0" xfId="0">
      <alignment horizontal="center" vertical="center"/>
    </xf>
    <xf numFmtId="165" fontId="18" fillId="6" borderId="2" applyAlignment="1" pivotButton="0" quotePrefix="0" xfId="0">
      <alignment horizontal="center" vertical="center"/>
    </xf>
    <xf numFmtId="166" fontId="18" fillId="5" borderId="2" applyAlignment="1" pivotButton="0" quotePrefix="0" xfId="0">
      <alignment horizontal="center" vertical="center"/>
    </xf>
    <xf numFmtId="166" fontId="18" fillId="7" borderId="2" applyAlignment="1" pivotButton="0" quotePrefix="0" xfId="0">
      <alignment horizontal="center" vertical="center"/>
    </xf>
    <xf numFmtId="166" fontId="18" fillId="6" borderId="2" applyAlignment="1" pivotButton="0" quotePrefix="0" xfId="0">
      <alignment horizontal="center" vertical="center"/>
    </xf>
    <xf numFmtId="167" fontId="18" fillId="5" borderId="2" applyAlignment="1" pivotButton="0" quotePrefix="0" xfId="0">
      <alignment horizontal="center" vertical="center"/>
    </xf>
    <xf numFmtId="167" fontId="18" fillId="7" borderId="2" applyAlignment="1" pivotButton="0" quotePrefix="0" xfId="0">
      <alignment horizontal="center" vertical="center"/>
    </xf>
    <xf numFmtId="167" fontId="18" fillId="6" borderId="2" applyAlignment="1" pivotButton="0" quotePrefix="0" xfId="0">
      <alignment horizontal="center" vertical="center"/>
    </xf>
    <xf numFmtId="167" fontId="27" fillId="7" borderId="2" applyAlignment="1" pivotButton="0" quotePrefix="0" xfId="0">
      <alignment horizontal="center" vertical="center"/>
    </xf>
    <xf numFmtId="173" fontId="18" fillId="5" borderId="2" applyAlignment="1" pivotButton="0" quotePrefix="0" xfId="0">
      <alignment horizontal="center" vertical="center"/>
    </xf>
    <xf numFmtId="173" fontId="18" fillId="7" borderId="2" applyAlignment="1" pivotButton="0" quotePrefix="0" xfId="0">
      <alignment horizontal="center" vertical="center"/>
    </xf>
    <xf numFmtId="173" fontId="18" fillId="6" borderId="2" applyAlignment="1" pivotButton="0" quotePrefix="0" xfId="0">
      <alignment horizontal="center" vertical="center"/>
    </xf>
    <xf numFmtId="0" fontId="30" fillId="11" borderId="5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3" pivotButton="0" quotePrefix="0" xfId="0"/>
    <xf numFmtId="0" fontId="0" fillId="0" borderId="16" pivotButton="0" quotePrefix="0" xfId="0"/>
    <xf numFmtId="0" fontId="67" fillId="15" borderId="56" applyAlignment="1" pivotButton="0" quotePrefix="0" xfId="0">
      <alignment horizontal="center"/>
    </xf>
    <xf numFmtId="170" fontId="53" fillId="0" borderId="0" applyAlignment="1" pivotButton="0" quotePrefix="0" xfId="0">
      <alignment horizontal="right"/>
    </xf>
    <xf numFmtId="166" fontId="56" fillId="20" borderId="0" applyAlignment="1" pivotButton="0" quotePrefix="0" xfId="0">
      <alignment horizontal="right"/>
    </xf>
    <xf numFmtId="170" fontId="56" fillId="0" borderId="0" applyAlignment="1" pivotButton="0" quotePrefix="0" xfId="0">
      <alignment horizontal="right"/>
    </xf>
    <xf numFmtId="170" fontId="56" fillId="0" borderId="17" applyAlignment="1" pivotButton="0" quotePrefix="0" xfId="0">
      <alignment horizontal="right"/>
    </xf>
    <xf numFmtId="166" fontId="55" fillId="0" borderId="0" applyAlignment="1" pivotButton="0" quotePrefix="0" xfId="0">
      <alignment horizontal="center"/>
    </xf>
    <xf numFmtId="166" fontId="18" fillId="5" borderId="40" applyAlignment="1" pivotButton="0" quotePrefix="0" xfId="0">
      <alignment horizontal="center" vertical="center"/>
    </xf>
    <xf numFmtId="166" fontId="18" fillId="7" borderId="40" applyAlignment="1" pivotButton="0" quotePrefix="0" xfId="0">
      <alignment horizontal="center" vertical="center"/>
    </xf>
    <xf numFmtId="166" fontId="18" fillId="6" borderId="40" applyAlignment="1" pivotButton="0" quotePrefix="0" xfId="0">
      <alignment horizontal="center" vertical="center"/>
    </xf>
    <xf numFmtId="0" fontId="66" fillId="33" borderId="49" applyAlignment="1" pivotButton="0" quotePrefix="0" xfId="0">
      <alignment horizontal="left" vertical="center"/>
    </xf>
    <xf numFmtId="0" fontId="66" fillId="32" borderId="49" applyAlignment="1" pivotButton="0" quotePrefix="0" xfId="0">
      <alignment horizontal="left" vertical="center"/>
    </xf>
    <xf numFmtId="167" fontId="6" fillId="0" borderId="2" applyAlignment="1" pivotButton="0" quotePrefix="0" xfId="0">
      <alignment horizontal="right" vertical="center"/>
    </xf>
    <xf numFmtId="167" fontId="6" fillId="0" borderId="41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  <xf numFmtId="167" fontId="2" fillId="0" borderId="41" applyAlignment="1" pivotButton="0" quotePrefix="0" xfId="0">
      <alignment horizontal="right" vertical="center"/>
    </xf>
    <xf numFmtId="0" fontId="66" fillId="29" borderId="49" applyAlignment="1" pivotButton="0" quotePrefix="0" xfId="0">
      <alignment horizontal="left" vertical="center"/>
    </xf>
    <xf numFmtId="167" fontId="5" fillId="0" borderId="2" applyAlignment="1" pivotButton="0" quotePrefix="0" xfId="0">
      <alignment horizontal="right" vertical="center"/>
    </xf>
    <xf numFmtId="167" fontId="5" fillId="0" borderId="41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7" fontId="4" fillId="0" borderId="41" applyAlignment="1" pivotButton="0" quotePrefix="0" xfId="0">
      <alignment horizontal="right" vertical="center"/>
    </xf>
    <xf numFmtId="0" fontId="66" fillId="30" borderId="49" applyAlignment="1" pivotButton="0" quotePrefix="0" xfId="0">
      <alignment horizontal="left" vertical="center"/>
    </xf>
    <xf numFmtId="167" fontId="28" fillId="0" borderId="2" applyAlignment="1" pivotButton="0" quotePrefix="0" xfId="0">
      <alignment horizontal="right" vertical="center"/>
    </xf>
    <xf numFmtId="167" fontId="28" fillId="0" borderId="41" applyAlignment="1" pivotButton="0" quotePrefix="0" xfId="0">
      <alignment horizontal="right" vertical="center"/>
    </xf>
    <xf numFmtId="170" fontId="60" fillId="0" borderId="0" applyAlignment="1" pivotButton="0" quotePrefix="0" xfId="0">
      <alignment horizontal="right" vertical="center"/>
    </xf>
    <xf numFmtId="170" fontId="60" fillId="0" borderId="22" applyAlignment="1" pivotButton="0" quotePrefix="0" xfId="0">
      <alignment horizontal="right" vertical="center"/>
    </xf>
    <xf numFmtId="0" fontId="66" fillId="31" borderId="49" applyAlignment="1" pivotButton="0" quotePrefix="0" xfId="0">
      <alignment horizontal="left" vertical="center"/>
    </xf>
    <xf numFmtId="170" fontId="2" fillId="0" borderId="2" applyAlignment="1" pivotButton="0" quotePrefix="0" xfId="0">
      <alignment horizontal="right" vertical="center"/>
    </xf>
    <xf numFmtId="170" fontId="2" fillId="0" borderId="41" applyAlignment="1" pivotButton="0" quotePrefix="0" xfId="0">
      <alignment horizontal="right" vertical="center"/>
    </xf>
    <xf numFmtId="178" fontId="68" fillId="35" borderId="2" applyAlignment="1" pivotButton="0" quotePrefix="0" xfId="0">
      <alignment horizontal="right" vertical="center"/>
    </xf>
    <xf numFmtId="178" fontId="68" fillId="35" borderId="41" applyAlignment="1" pivotButton="0" quotePrefix="0" xfId="0">
      <alignment horizontal="right" vertical="center"/>
    </xf>
    <xf numFmtId="166" fontId="2" fillId="0" borderId="40" applyAlignment="1" pivotButton="0" quotePrefix="0" xfId="0">
      <alignment horizontal="right" vertical="center"/>
    </xf>
    <xf numFmtId="166" fontId="2" fillId="0" borderId="45" applyAlignment="1" pivotButton="0" quotePrefix="0" xfId="0">
      <alignment horizontal="right" vertical="center"/>
    </xf>
    <xf numFmtId="0" fontId="34" fillId="22" borderId="49" applyAlignment="1" pivotButton="0" quotePrefix="0" xfId="0">
      <alignment horizontal="center" vertical="center"/>
    </xf>
    <xf numFmtId="167" fontId="5" fillId="26" borderId="2" applyAlignment="1" pivotButton="0" quotePrefix="0" xfId="0">
      <alignment horizontal="center" vertical="center"/>
    </xf>
    <xf numFmtId="167" fontId="6" fillId="27" borderId="2" applyAlignment="1" pivotButton="0" quotePrefix="0" xfId="0">
      <alignment horizontal="center" vertical="center"/>
    </xf>
    <xf numFmtId="167" fontId="28" fillId="28" borderId="2" applyAlignment="1" pivotButton="0" quotePrefix="0" xfId="0">
      <alignment horizontal="center" vertical="center"/>
    </xf>
    <xf numFmtId="166" fontId="5" fillId="26" borderId="2" applyAlignment="1" pivotButton="0" quotePrefix="0" xfId="0">
      <alignment horizontal="center" vertical="center"/>
    </xf>
    <xf numFmtId="166" fontId="6" fillId="27" borderId="2" applyAlignment="1" pivotButton="0" quotePrefix="0" xfId="0">
      <alignment horizontal="center" vertical="center"/>
    </xf>
    <xf numFmtId="166" fontId="28" fillId="28" borderId="2" applyAlignment="1" pivotButton="0" quotePrefix="0" xfId="0">
      <alignment horizontal="center" vertical="center"/>
    </xf>
    <xf numFmtId="174" fontId="5" fillId="26" borderId="2" applyAlignment="1" pivotButton="0" quotePrefix="0" xfId="0">
      <alignment horizontal="center" vertical="center"/>
    </xf>
    <xf numFmtId="174" fontId="6" fillId="27" borderId="2" applyAlignment="1" pivotButton="0" quotePrefix="0" xfId="0">
      <alignment horizontal="center" vertical="center"/>
    </xf>
    <xf numFmtId="174" fontId="28" fillId="28" borderId="2" applyAlignment="1" pivotButton="0" quotePrefix="0" xfId="0">
      <alignment horizontal="center" vertical="center"/>
    </xf>
    <xf numFmtId="164" fontId="5" fillId="26" borderId="2" applyAlignment="1" pivotButton="0" quotePrefix="0" xfId="0">
      <alignment horizontal="center" vertical="center"/>
    </xf>
    <xf numFmtId="164" fontId="6" fillId="27" borderId="2" applyAlignment="1" pivotButton="0" quotePrefix="0" xfId="0">
      <alignment horizontal="center" vertical="center"/>
    </xf>
    <xf numFmtId="164" fontId="28" fillId="28" borderId="2" applyAlignment="1" pivotButton="0" quotePrefix="0" xfId="0">
      <alignment horizontal="center" vertical="center"/>
    </xf>
    <xf numFmtId="175" fontId="5" fillId="26" borderId="2" applyAlignment="1" pivotButton="0" quotePrefix="0" xfId="0">
      <alignment horizontal="center" vertical="center"/>
    </xf>
    <xf numFmtId="175" fontId="6" fillId="27" borderId="2" applyAlignment="1" pivotButton="0" quotePrefix="0" xfId="0">
      <alignment horizontal="center" vertical="center"/>
    </xf>
    <xf numFmtId="175" fontId="28" fillId="28" borderId="2" applyAlignment="1" pivotButton="0" quotePrefix="0" xfId="0">
      <alignment horizontal="center" vertical="center"/>
    </xf>
    <xf numFmtId="176" fontId="5" fillId="26" borderId="2" applyAlignment="1" pivotButton="0" quotePrefix="0" xfId="0">
      <alignment horizontal="center" vertical="center"/>
    </xf>
    <xf numFmtId="176" fontId="6" fillId="27" borderId="2" applyAlignment="1" pivotButton="0" quotePrefix="0" xfId="0">
      <alignment horizontal="center" vertical="center"/>
    </xf>
    <xf numFmtId="176" fontId="28" fillId="28" borderId="2" applyAlignment="1" pivotButton="0" quotePrefix="0" xfId="0">
      <alignment horizontal="center" vertical="center"/>
    </xf>
    <xf numFmtId="177" fontId="5" fillId="26" borderId="2" applyAlignment="1" pivotButton="0" quotePrefix="0" xfId="0">
      <alignment horizontal="center" vertical="center"/>
    </xf>
    <xf numFmtId="177" fontId="6" fillId="27" borderId="2" applyAlignment="1" pivotButton="0" quotePrefix="0" xfId="0">
      <alignment horizontal="center" vertical="center"/>
    </xf>
    <xf numFmtId="177" fontId="28" fillId="28" borderId="2" applyAlignment="1" pivotButton="0" quotePrefix="0" xfId="0">
      <alignment horizontal="center" vertical="center"/>
    </xf>
    <xf numFmtId="167" fontId="4" fillId="26" borderId="2" applyAlignment="1" pivotButton="0" quotePrefix="0" xfId="0">
      <alignment horizontal="center" vertical="center"/>
    </xf>
    <xf numFmtId="167" fontId="33" fillId="28" borderId="2" applyAlignment="1" pivotButton="0" quotePrefix="0" xfId="0">
      <alignment horizontal="center" vertical="center"/>
    </xf>
    <xf numFmtId="176" fontId="4" fillId="26" borderId="2" applyAlignment="1" pivotButton="0" quotePrefix="0" xfId="0">
      <alignment horizontal="center" vertical="center"/>
    </xf>
    <xf numFmtId="176" fontId="33" fillId="28" borderId="2" applyAlignment="1" pivotButton="0" quotePrefix="0" xfId="0">
      <alignment horizontal="center" vertical="center"/>
    </xf>
    <xf numFmtId="170" fontId="5" fillId="26" borderId="2" applyAlignment="1" pivotButton="0" quotePrefix="0" xfId="0">
      <alignment horizontal="center" vertical="center"/>
    </xf>
    <xf numFmtId="170" fontId="6" fillId="27" borderId="2" applyAlignment="1" pivotButton="0" quotePrefix="0" xfId="0">
      <alignment horizontal="center" vertical="center"/>
    </xf>
    <xf numFmtId="170" fontId="28" fillId="28" borderId="2" applyAlignment="1" pivotButton="0" quotePrefix="0" xfId="0">
      <alignment horizontal="center" vertical="center"/>
    </xf>
    <xf numFmtId="0" fontId="62" fillId="17" borderId="5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818"/>
      <rgbColor rgb="FF800080"/>
      <rgbColor rgb="FF008080"/>
      <rgbColor rgb="FFB3B3B3"/>
      <rgbColor rgb="FF888888"/>
      <rgbColor rgb="FF9999FF"/>
      <rgbColor rgb="FF993366"/>
      <rgbColor rgb="FFF5F0E0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AE5"/>
      <rgbColor rgb="FFEDE8DE"/>
      <rgbColor rgb="FFFFFF99"/>
      <rgbColor rgb="FF7DCBA8"/>
      <rgbColor rgb="FFFF99CC"/>
      <rgbColor rgb="FFCC99FF"/>
      <rgbColor rgb="FFDDDDD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5C3C"/>
      <rgbColor rgb="FF339966"/>
      <rgbColor rgb="FF0D0C09"/>
      <rgbColor rgb="FF333300"/>
      <rgbColor rgb="FFB8401A"/>
      <rgbColor rgb="FF993366"/>
      <rgbColor rgb="FF555555"/>
      <rgbColor rgb="FF2A3A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315C53"/>
                </a:solidFill>
                <a:latin typeface="Tahoma"/>
                <a:ea typeface="Tahoma"/>
                <a:cs typeface="Tahoma"/>
              </a:defRPr>
            </a:pPr>
            <a:r>
              <a:rPr lang="en-US">
                <a:solidFill>
                  <a:srgbClr val="315C53"/>
                </a:solidFill>
              </a:rPr>
              <a:t>Acumulado · 24 meses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315C53"/>
              </a:solidFill>
              <a:latin typeface="Tahoma"/>
              <a:ea typeface="Tahoma"/>
              <a:cs typeface="Tahoma"/>
            </a:defRPr>
          </a:pPr>
          <a:r>
            <a:t/>
          </a:r>
          <a:endParaRPr lang="pt-BR"/>
        </a:p>
      </txPr>
    </title>
    <plotArea>
      <layout/>
      <areaChart>
        <grouping val="standard"/>
        <varyColors val="0"/>
        <ser>
          <idx val="0"/>
          <order val="0"/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solidFill>
                <a:srgbClr val="006060"/>
              </a:solidFill>
              <a:prstDash val="solid"/>
            </a:ln>
            <scene3d>
              <camera prst="orthographicFront"/>
              <lightRig rig="threePt" dir="t"/>
            </scene3d>
            <a:sp3d xmlns:a="http://schemas.openxmlformats.org/drawingml/2006/main" prstMaterial="metal">
              <bevelT w="88900" h="88900"/>
            </a:sp3d>
          </spPr>
          <cat>
            <strRef>
              <f>'🚀 Dashboard Investidor'!$L$77:$L$100</f>
              <strCache>
                <ptCount val="24"/>
                <pt idx="0">
                  <v>M01</v>
                </pt>
                <pt idx="1">
                  <v>M02</v>
                </pt>
                <pt idx="2">
                  <v>M03</v>
                </pt>
                <pt idx="3">
                  <v>M04</v>
                </pt>
                <pt idx="4">
                  <v>M05</v>
                </pt>
                <pt idx="5">
                  <v>M06</v>
                </pt>
                <pt idx="6">
                  <v>M07</v>
                </pt>
                <pt idx="7">
                  <v>M08</v>
                </pt>
                <pt idx="8">
                  <v>M09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  <pt idx="18">
                  <v>M19</v>
                </pt>
                <pt idx="19">
                  <v>M20</v>
                </pt>
                <pt idx="20">
                  <v>M21</v>
                </pt>
                <pt idx="21">
                  <v>M22</v>
                </pt>
                <pt idx="22">
                  <v>M23</v>
                </pt>
                <pt idx="23">
                  <v>M24</v>
                </pt>
              </strCache>
            </strRef>
          </cat>
          <val>
            <numRef>
              <f>'🚀 Dashboard Investidor'!$Q$77:$Q$100</f>
              <numCache>
                <formatCode>General</formatCode>
                <ptCount val="24"/>
                <pt idx="0">
                  <v>-43116.19439999999</v>
                </pt>
                <pt idx="1">
                  <v>-68834.05889999999</v>
                </pt>
                <pt idx="2">
                  <v>-77153.59349999999</v>
                </pt>
                <pt idx="3">
                  <v>-68074.79819999999</v>
                </pt>
                <pt idx="4">
                  <v>-41597.673</v>
                </pt>
                <pt idx="5">
                  <v>2277.782099999997</v>
                </pt>
                <pt idx="6">
                  <v>63551.5671</v>
                </pt>
                <pt idx="7">
                  <v>142223.682</v>
                </pt>
                <pt idx="8">
                  <v>238294.1268</v>
                </pt>
                <pt idx="9">
                  <v>351762.9015</v>
                </pt>
                <pt idx="10">
                  <v>482630.0061</v>
                </pt>
                <pt idx="11">
                  <v>630895.4406</v>
                </pt>
                <pt idx="12">
                  <v>778044.6806999999</v>
                </pt>
                <pt idx="13">
                  <v>945077.7263999999</v>
                </pt>
                <pt idx="14">
                  <v>1131994.5777</v>
                </pt>
                <pt idx="15">
                  <v>1464467.14404</v>
                </pt>
                <pt idx="16">
                  <v>1941328.8373</v>
                </pt>
                <pt idx="17">
                  <v>2561228.76272</v>
                </pt>
                <pt idx="18">
                  <v>3322792.13434</v>
                </pt>
                <pt idx="19">
                  <v>4224572.962640001</v>
                </pt>
                <pt idx="20">
                  <v>5265071.29614</v>
                </pt>
                <pt idx="21">
                  <v>6442743.40256</v>
                </pt>
                <pt idx="22">
                  <v>7756050.08158</v>
                </pt>
                <pt idx="23">
                  <v>9203524.8672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315C53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100" b="1" i="0" strike="noStrike" kern="1200" spc="0" normalizeH="0" baseline="0" noProof="0">
                <a:ln>
                  <a:noFill/>
                  <a:prstDash val="solid"/>
                </a:ln>
                <a:solidFill>
                  <a:srgbClr val="315C53"/>
                </a:solidFill>
                <effectLst/>
                <a:uLnTx/>
                <a:uFillTx/>
                <a:latin typeface="Tahoma"/>
                <a:ea typeface="Tahoma"/>
                <a:cs typeface="Tahoma"/>
              </a:rPr>
              <a:t>Resultado Mensal · Ponto de Equilíbrio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315C53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stacked"/>
        <varyColors val="0"/>
        <ser>
          <idx val="0"/>
          <order val="0"/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'🚀 Dashboard Investidor'!$L$77:$L$100</f>
              <strCache>
                <ptCount val="24"/>
                <pt idx="0">
                  <v>M01</v>
                </pt>
                <pt idx="1">
                  <v>M02</v>
                </pt>
                <pt idx="2">
                  <v>M03</v>
                </pt>
                <pt idx="3">
                  <v>M04</v>
                </pt>
                <pt idx="4">
                  <v>M05</v>
                </pt>
                <pt idx="5">
                  <v>M06</v>
                </pt>
                <pt idx="6">
                  <v>M07</v>
                </pt>
                <pt idx="7">
                  <v>M08</v>
                </pt>
                <pt idx="8">
                  <v>M09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  <pt idx="18">
                  <v>M19</v>
                </pt>
                <pt idx="19">
                  <v>M20</v>
                </pt>
                <pt idx="20">
                  <v>M21</v>
                </pt>
                <pt idx="21">
                  <v>M22</v>
                </pt>
                <pt idx="22">
                  <v>M23</v>
                </pt>
                <pt idx="23">
                  <v>M24</v>
                </pt>
              </strCache>
            </strRef>
          </cat>
          <val>
            <numRef>
              <f>'🚀 Dashboard Investidor'!$P$77:$P$100</f>
              <numCache>
                <formatCode>General</formatCode>
                <ptCount val="24"/>
                <pt idx="0">
                  <v>-43116.19439999999</v>
                </pt>
                <pt idx="1">
                  <v>-25717.8645</v>
                </pt>
                <pt idx="2">
                  <v>-8319.534599999999</v>
                </pt>
                <pt idx="3">
                  <v>9078.795299999998</v>
                </pt>
                <pt idx="4">
                  <v>26477.12519999999</v>
                </pt>
                <pt idx="5">
                  <v>43875.45509999999</v>
                </pt>
                <pt idx="6">
                  <v>61273.785</v>
                </pt>
                <pt idx="7">
                  <v>78672.11489999999</v>
                </pt>
                <pt idx="8">
                  <v>96070.4448</v>
                </pt>
                <pt idx="9">
                  <v>113468.7747</v>
                </pt>
                <pt idx="10">
                  <v>130867.1046</v>
                </pt>
                <pt idx="11">
                  <v>148265.4345</v>
                </pt>
                <pt idx="12">
                  <v>147149.2401</v>
                </pt>
                <pt idx="13">
                  <v>167033.0457</v>
                </pt>
                <pt idx="14">
                  <v>186916.8513</v>
                </pt>
                <pt idx="15">
                  <v>332472.5663400001</v>
                </pt>
                <pt idx="16">
                  <v>476861.6932599999</v>
                </pt>
                <pt idx="17">
                  <v>619899.92542</v>
                </pt>
                <pt idx="18">
                  <v>761563.3716199999</v>
                </pt>
                <pt idx="19">
                  <v>901780.8283000002</v>
                </pt>
                <pt idx="20">
                  <v>1040498.3335</v>
                </pt>
                <pt idx="21">
                  <v>1177672.10642</v>
                </pt>
                <pt idx="22">
                  <v>1313306.67902</v>
                </pt>
                <pt idx="23">
                  <v>1447474.78562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gapDepth val="150"/>
        <shape val="box"/>
        <axId val="574162080"/>
        <axId val="2076443759"/>
      </bar3DChart>
      <catAx>
        <axId val="574162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76443759"/>
        <crosses val="autoZero"/>
        <auto val="1"/>
        <lblAlgn val="ctr"/>
        <lblOffset val="100"/>
        <noMultiLvlLbl val="0"/>
      </catAx>
      <valAx>
        <axId val="20764437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620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315C53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100" b="1">
                <a:solidFill>
                  <a:srgbClr val="315C53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 xml:space="preserve">Aporte vs. Valuation vs. Retorno Anjo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315C53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pt-BR"/>
        </a:p>
      </tx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'🚀 Dashboard Investidor'!$M$102</f>
              <strCache>
                <ptCount val="1"/>
                <pt idx="0">
                  <v>Aporte R$5M</v>
                </pt>
              </strCache>
            </strRef>
          </tx>
          <spPr>
            <a:solidFill xmlns:a="http://schemas.openxmlformats.org/drawingml/2006/main">
              <a:schemeClr val="accent3">
                <a:shade val="65000"/>
              </a:schemeClr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R$&quot;#,##0&quot;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'🚀 Dashboard Investidor'!$L$103:$L$105</f>
              <strCache>
                <ptCount val="3"/>
                <pt idx="0">
                  <v>Conservador</v>
                </pt>
                <pt idx="1">
                  <v>Base</v>
                </pt>
                <pt idx="2">
                  <v>Otimista</v>
                </pt>
              </strCache>
            </strRef>
          </cat>
          <val>
            <numRef>
              <f>'🚀 Dashboard Investidor'!$M$103:$M$105</f>
              <numCache>
                <formatCode>General</formatCode>
                <ptCount val="3"/>
                <pt idx="0">
                  <v>2.5</v>
                </pt>
                <pt idx="1">
                  <v>2.5</v>
                </pt>
                <pt idx="2">
                  <v>2.5</v>
                </pt>
              </numCache>
            </numRef>
          </val>
        </ser>
        <ser>
          <idx val="1"/>
          <order val="1"/>
          <tx>
            <strRef>
              <f>'🚀 Dashboard Investidor'!$N$102</f>
              <strCache>
                <ptCount val="1"/>
                <pt idx="0">
                  <v>Valuation 100% M24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numFmt formatCode="&quot;R$&quot;#,##0&quot;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rgbClr val="1F6B3A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'🚀 Dashboard Investidor'!$L$103:$L$105</f>
              <strCache>
                <ptCount val="3"/>
                <pt idx="0">
                  <v>Conservador</v>
                </pt>
                <pt idx="1">
                  <v>Base</v>
                </pt>
                <pt idx="2">
                  <v>Otimista</v>
                </pt>
              </strCache>
            </strRef>
          </cat>
          <val>
            <numRef>
              <f>'🚀 Dashboard Investidor'!$N$103:$N$105</f>
              <numCache>
                <formatCode>General</formatCode>
                <ptCount val="3"/>
                <pt idx="0">
                  <v>32.37797819999999</v>
                </pt>
                <pt idx="1">
                  <v>86.3814455</v>
                </pt>
                <pt idx="2">
                  <v>165.0861821</v>
                </pt>
              </numCache>
            </numRef>
          </val>
        </ser>
        <ser>
          <idx val="2"/>
          <order val="2"/>
          <tx>
            <strRef>
              <f>'🚀 Dashboard Investidor'!$O$102</f>
              <strCache>
                <ptCount val="1"/>
                <pt idx="0">
                  <v>Retorno Anjo (49%)</v>
                </pt>
              </strCache>
            </strRef>
          </tx>
          <spPr>
            <a:solidFill xmlns:a="http://schemas.openxmlformats.org/drawingml/2006/main">
              <a:schemeClr val="accent3">
                <a:tint val="65000"/>
              </a:schemeClr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R$&quot;#,##0&quot;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rgbClr val="2E7D3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'🚀 Dashboard Investidor'!$L$103:$L$105</f>
              <strCache>
                <ptCount val="3"/>
                <pt idx="0">
                  <v>Conservador</v>
                </pt>
                <pt idx="1">
                  <v>Base</v>
                </pt>
                <pt idx="2">
                  <v>Otimista</v>
                </pt>
              </strCache>
            </strRef>
          </cat>
          <val>
            <numRef>
              <f>'🚀 Dashboard Investidor'!$O$103:$O$105</f>
              <numCache>
                <formatCode>General</formatCode>
                <ptCount val="3"/>
                <pt idx="0">
                  <v>7.932604658999999</v>
                </pt>
                <pt idx="1">
                  <v>21.1634541475</v>
                </pt>
                <pt idx="2">
                  <v>40.4461146145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gapDepth val="150"/>
        <shape val="box"/>
        <axId val="1637302111"/>
        <axId val="1637303823"/>
      </bar3DChart>
      <catAx>
        <axId val="16373021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637303823"/>
        <crosses val="autoZero"/>
        <auto val="1"/>
        <lblAlgn val="ctr"/>
        <lblOffset val="100"/>
        <noMultiLvlLbl val="0"/>
      </catAx>
      <valAx>
        <axId val="16373038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R$&quot;#,##0&quot;M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637302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0</col>
      <colOff>0</colOff>
      <row>10</row>
      <rowOff>243840</rowOff>
    </from>
    <to>
      <col>5</col>
      <colOff>0</colOff>
      <row>26</row>
      <rowOff>243840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0</colOff>
      <row>10</row>
      <rowOff>233680</rowOff>
    </from>
    <to>
      <col>9</col>
      <colOff>1412240</colOff>
      <row>27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0</colOff>
      <row>28</row>
      <rowOff>243840</rowOff>
    </from>
    <to>
      <col>9</col>
      <colOff>1391920</colOff>
      <row>45</row>
      <rowOff>20320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showGridLines="0" tabSelected="1" zoomScale="125" zoomScaleNormal="125" workbookViewId="0">
      <selection activeCell="B5" sqref="B5"/>
    </sheetView>
  </sheetViews>
  <sheetFormatPr baseColWidth="10" defaultColWidth="8.6640625" defaultRowHeight="15" outlineLevelRow="1"/>
  <cols>
    <col width="18.33203125" customWidth="1" style="134" min="1" max="9"/>
    <col width="18.83203125" customWidth="1" style="134" min="10" max="10"/>
  </cols>
  <sheetData>
    <row r="1" ht="20" customHeight="1" s="134">
      <c r="A1" s="54" t="n"/>
      <c r="B1" s="49" t="n"/>
      <c r="C1" s="49" t="n"/>
      <c r="D1" s="49" t="n"/>
      <c r="E1" s="49" t="n"/>
      <c r="F1" s="49" t="n"/>
      <c r="G1" s="49" t="n"/>
      <c r="H1" s="49" t="n"/>
      <c r="I1" s="49" t="n"/>
      <c r="J1" s="50" t="n"/>
    </row>
    <row r="2" ht="32" customHeight="1" s="134">
      <c r="A2" s="302" t="inlineStr">
        <is>
          <t xml:space="preserve">AUTONOMA · DASHBOARD </t>
        </is>
      </c>
      <c r="J2" s="135" t="n"/>
    </row>
    <row r="3" ht="18" customHeight="1" s="134">
      <c r="A3" s="303" t="inlineStr">
        <is>
          <t>Asset Light SaaS · Brasil → LATAM · 100% Sonnet 4.6 · Projeto de 24 meses com valuation M24</t>
        </is>
      </c>
      <c r="J3" s="135" t="n"/>
    </row>
    <row r="4" ht="4" customHeight="1" s="134">
      <c r="A4" s="133" t="n"/>
      <c r="J4" s="135" t="n"/>
    </row>
    <row r="5" ht="26" customHeight="1" s="134">
      <c r="A5" s="136" t="inlineStr">
        <is>
          <t>CENÁRIO ATIVO:</t>
        </is>
      </c>
      <c r="B5" s="137">
        <f>'🔧 Cenário Ativo'!B2</f>
        <v/>
      </c>
      <c r="C5" s="139" t="inlineStr">
        <is>
          <t>← altere em '🔧 Cenário Ativo'!B2 · Opções: Conservador / Base / Otimista</t>
        </is>
      </c>
      <c r="J5" s="135" t="n"/>
    </row>
    <row r="6" ht="10" customHeight="1" s="134">
      <c r="A6" s="140" t="n"/>
      <c r="B6" s="141" t="n"/>
      <c r="C6" s="141" t="n"/>
      <c r="D6" s="141" t="n"/>
      <c r="E6" s="141" t="n"/>
      <c r="F6" s="141" t="n"/>
      <c r="G6" s="141" t="n"/>
      <c r="H6" s="141" t="n"/>
      <c r="I6" s="141" t="n"/>
      <c r="J6" s="142" t="n"/>
    </row>
    <row r="7" ht="16" customHeight="1" s="134">
      <c r="A7" s="143" t="inlineStr">
        <is>
          <t>PAYBACK CAC</t>
        </is>
      </c>
      <c r="C7" s="144" t="inlineStr">
        <is>
          <t>VALUATION M24</t>
        </is>
      </c>
      <c r="E7" s="144" t="inlineStr">
        <is>
          <t>RECEITA ACUM 24m</t>
        </is>
      </c>
      <c r="G7" s="144" t="inlineStr">
        <is>
          <t>BREAKEVEN</t>
        </is>
      </c>
      <c r="I7" s="145" t="inlineStr">
        <is>
          <t>RETORNO ANJO</t>
        </is>
      </c>
      <c r="J7" s="135" t="n"/>
    </row>
    <row r="8" ht="36" customHeight="1" s="134">
      <c r="A8" s="304">
        <f>'🔧 Cenário Ativo'!B54</f>
        <v/>
      </c>
      <c r="C8" s="305">
        <f>IF('🔧 Cenário Ativo'!B2="Conservador",'📊 Resumo Cenários'!B21,IF('🔧 Cenário Ativo'!B2="Base",'📊 Resumo Cenários'!C21,'📊 Resumo Cenários'!D21))</f>
        <v/>
      </c>
      <c r="E8" s="305">
        <f>IF('🔧 Cenário Ativo'!B2="Conservador",'📊 Resumo Cenários'!B19,IF('🔧 Cenário Ativo'!B2="Base",'📊 Resumo Cenários'!C19,'📊 Resumo Cenários'!D19))</f>
        <v/>
      </c>
      <c r="G8" s="146">
        <f t="array" ref="G8">IFERROR("M"&amp;MATCH(TRUE,INDEX('📊 Base Mensal'!C25:Z25&gt;0,0),0),"&gt;24m")</f>
        <v/>
      </c>
      <c r="I8" s="306">
        <f>C8*'🎛️ Premissas'!B56</f>
        <v/>
      </c>
      <c r="J8" s="135" t="n"/>
    </row>
    <row r="9" ht="14" customHeight="1" s="134" thickBot="1">
      <c r="A9" s="147" t="inlineStr">
        <is>
          <t>tempo para recuperar CAC</t>
        </is>
      </c>
      <c r="C9" s="148" t="inlineStr">
        <is>
          <t>Receita acum 24m × múltiplo cenário</t>
        </is>
      </c>
      <c r="E9" s="148" t="inlineStr">
        <is>
          <t>soma MRR M1–M24</t>
        </is>
      </c>
      <c r="G9" s="148" t="inlineStr">
        <is>
          <t>resultado acum. &gt; 0</t>
        </is>
      </c>
      <c r="I9" s="149" t="inlineStr">
        <is>
          <t>valor da fatia % sobre aporte</t>
        </is>
      </c>
      <c r="J9" s="135" t="n"/>
    </row>
    <row r="10" ht="10" customFormat="1" customHeight="1" s="153" thickBot="1">
      <c r="A10" s="307" t="n"/>
      <c r="B10" s="308" t="n"/>
      <c r="C10" s="308" t="n"/>
      <c r="D10" s="308" t="n"/>
      <c r="E10" s="308" t="n"/>
      <c r="F10" s="308" t="n"/>
      <c r="G10" s="308" t="n"/>
      <c r="H10" s="308" t="n"/>
      <c r="I10" s="308" t="n"/>
      <c r="J10" s="309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</row>
    <row r="11" ht="20" customHeight="1" s="134" thickBot="1">
      <c r="A11" s="310" t="inlineStr">
        <is>
          <t>FLUXO DE CAIXA ACUMULADO</t>
        </is>
      </c>
      <c r="B11" s="311" t="n"/>
      <c r="C11" s="311" t="n"/>
      <c r="D11" s="311" t="n"/>
      <c r="E11" s="312" t="n"/>
      <c r="F11" s="313" t="inlineStr">
        <is>
          <t xml:space="preserve">BREAKEVEN </t>
        </is>
      </c>
      <c r="G11" s="311" t="n"/>
      <c r="H11" s="311" t="n"/>
      <c r="I11" s="311" t="n"/>
      <c r="J11" s="314" t="n"/>
    </row>
    <row r="12" ht="20" customFormat="1" customHeight="1" s="34">
      <c r="A12" s="160" t="n"/>
      <c r="B12" s="161" t="n"/>
      <c r="C12" s="161" t="n"/>
      <c r="D12" s="161" t="n"/>
      <c r="E12" s="162" t="n"/>
      <c r="F12" s="163" t="n"/>
      <c r="G12" s="161" t="n"/>
      <c r="H12" s="161" t="n"/>
      <c r="I12" s="161" t="n"/>
      <c r="J12" s="164" t="n"/>
    </row>
    <row r="13" ht="20" customHeight="1" s="134">
      <c r="A13" s="160" t="n"/>
      <c r="B13" s="161" t="n"/>
      <c r="C13" s="161" t="n"/>
      <c r="D13" s="161" t="n"/>
      <c r="E13" s="162" t="n"/>
      <c r="F13" s="163" t="n"/>
      <c r="G13" s="161" t="n"/>
      <c r="H13" s="161" t="n"/>
      <c r="I13" s="161" t="n"/>
      <c r="J13" s="164" t="n"/>
    </row>
    <row r="14" ht="20" customHeight="1" s="134">
      <c r="A14" s="160" t="n"/>
      <c r="B14" s="161" t="n"/>
      <c r="C14" s="161" t="n"/>
      <c r="D14" s="161" t="n"/>
      <c r="E14" s="162" t="n"/>
      <c r="F14" s="163" t="n"/>
      <c r="G14" s="161" t="n"/>
      <c r="H14" s="161" t="n"/>
      <c r="I14" s="161" t="n"/>
      <c r="J14" s="164" t="n"/>
    </row>
    <row r="15" ht="20" customHeight="1" s="134">
      <c r="A15" s="160" t="n"/>
      <c r="B15" s="161" t="n"/>
      <c r="C15" s="161" t="n"/>
      <c r="D15" s="161" t="n"/>
      <c r="E15" s="162" t="n"/>
      <c r="F15" s="163" t="n"/>
      <c r="G15" s="161" t="n"/>
      <c r="H15" s="161" t="n"/>
      <c r="I15" s="161" t="n"/>
      <c r="J15" s="164" t="n"/>
    </row>
    <row r="16" ht="20" customHeight="1" s="134">
      <c r="A16" s="160" t="n"/>
      <c r="B16" s="161" t="n"/>
      <c r="C16" s="161" t="n"/>
      <c r="D16" s="161" t="n"/>
      <c r="E16" s="162" t="n"/>
      <c r="F16" s="163" t="n"/>
      <c r="G16" s="161" t="n"/>
      <c r="H16" s="161" t="n"/>
      <c r="I16" s="161" t="n"/>
      <c r="J16" s="164" t="n"/>
    </row>
    <row r="17" ht="20" customHeight="1" s="134">
      <c r="A17" s="160" t="n"/>
      <c r="B17" s="161" t="n"/>
      <c r="C17" s="161" t="n"/>
      <c r="D17" s="161" t="n"/>
      <c r="E17" s="162" t="n"/>
      <c r="F17" s="163" t="n"/>
      <c r="G17" s="161" t="n"/>
      <c r="H17" s="161" t="n"/>
      <c r="I17" s="161" t="n"/>
      <c r="J17" s="164" t="n"/>
    </row>
    <row r="18" ht="20" customHeight="1" s="134">
      <c r="A18" s="160" t="n"/>
      <c r="B18" s="161" t="n"/>
      <c r="C18" s="161" t="n"/>
      <c r="D18" s="161" t="n"/>
      <c r="E18" s="162" t="n"/>
      <c r="F18" s="163" t="n"/>
      <c r="G18" s="161" t="n"/>
      <c r="H18" s="161" t="n"/>
      <c r="I18" s="161" t="n"/>
      <c r="J18" s="164" t="n"/>
    </row>
    <row r="19" ht="20" customHeight="1" s="134">
      <c r="A19" s="160" t="n"/>
      <c r="B19" s="161" t="n"/>
      <c r="C19" s="161" t="n"/>
      <c r="D19" s="161" t="n"/>
      <c r="E19" s="162" t="n"/>
      <c r="F19" s="163" t="n"/>
      <c r="G19" s="161" t="n"/>
      <c r="H19" s="161" t="n"/>
      <c r="I19" s="161" t="n"/>
      <c r="J19" s="164" t="n"/>
    </row>
    <row r="20" ht="20" customHeight="1" s="134">
      <c r="A20" s="160" t="n"/>
      <c r="B20" s="161" t="n"/>
      <c r="C20" s="161" t="n"/>
      <c r="D20" s="161" t="n"/>
      <c r="E20" s="162" t="n"/>
      <c r="F20" s="163" t="n"/>
      <c r="G20" s="161" t="n"/>
      <c r="H20" s="161" t="n"/>
      <c r="I20" s="161" t="n"/>
      <c r="J20" s="164" t="n"/>
    </row>
    <row r="21" ht="20" customHeight="1" s="134">
      <c r="A21" s="160" t="n"/>
      <c r="B21" s="161" t="n"/>
      <c r="C21" s="161" t="n"/>
      <c r="D21" s="161" t="n"/>
      <c r="E21" s="162" t="n"/>
      <c r="F21" s="163" t="n"/>
      <c r="G21" s="161" t="n"/>
      <c r="H21" s="161" t="n"/>
      <c r="I21" s="161" t="n"/>
      <c r="J21" s="164" t="n"/>
    </row>
    <row r="22" ht="20" customHeight="1" s="134">
      <c r="A22" s="160" t="n"/>
      <c r="B22" s="161" t="n"/>
      <c r="C22" s="161" t="n"/>
      <c r="D22" s="161" t="n"/>
      <c r="E22" s="162" t="n"/>
      <c r="F22" s="163" t="n"/>
      <c r="G22" s="161" t="n"/>
      <c r="H22" s="161" t="n"/>
      <c r="I22" s="161" t="n"/>
      <c r="J22" s="164" t="n"/>
    </row>
    <row r="23" ht="20" customHeight="1" s="134">
      <c r="A23" s="160" t="n"/>
      <c r="B23" s="161" t="n"/>
      <c r="C23" s="161" t="n"/>
      <c r="D23" s="161" t="n"/>
      <c r="E23" s="162" t="n"/>
      <c r="F23" s="163" t="n"/>
      <c r="G23" s="161" t="n"/>
      <c r="H23" s="161" t="n"/>
      <c r="I23" s="161" t="n"/>
      <c r="J23" s="164" t="n"/>
    </row>
    <row r="24" ht="20" customHeight="1" s="134">
      <c r="A24" s="160" t="n"/>
      <c r="B24" s="161" t="n"/>
      <c r="C24" s="161" t="n"/>
      <c r="D24" s="161" t="n"/>
      <c r="E24" s="162" t="n"/>
      <c r="F24" s="163" t="n"/>
      <c r="G24" s="161" t="n"/>
      <c r="H24" s="161" t="n"/>
      <c r="I24" s="161" t="n"/>
      <c r="J24" s="164" t="n"/>
    </row>
    <row r="25" ht="20" customHeight="1" s="134">
      <c r="A25" s="160" t="n"/>
      <c r="B25" s="161" t="n"/>
      <c r="C25" s="161" t="n"/>
      <c r="D25" s="161" t="n"/>
      <c r="E25" s="162" t="n"/>
      <c r="F25" s="163" t="n"/>
      <c r="G25" s="161" t="n"/>
      <c r="H25" s="161" t="n"/>
      <c r="I25" s="161" t="n"/>
      <c r="J25" s="164" t="n"/>
    </row>
    <row r="26" ht="20" customHeight="1" s="134">
      <c r="A26" s="160" t="n"/>
      <c r="B26" s="161" t="n"/>
      <c r="C26" s="161" t="n"/>
      <c r="D26" s="161" t="n"/>
      <c r="E26" s="162" t="n"/>
      <c r="F26" s="163" t="n"/>
      <c r="G26" s="161" t="n"/>
      <c r="H26" s="161" t="n"/>
      <c r="I26" s="161" t="n"/>
      <c r="J26" s="164" t="n"/>
    </row>
    <row r="27" ht="20" customHeight="1" s="134">
      <c r="A27" s="160" t="n"/>
      <c r="B27" s="161" t="n"/>
      <c r="C27" s="161" t="n"/>
      <c r="D27" s="161" t="n"/>
      <c r="E27" s="162" t="n"/>
      <c r="F27" s="163" t="n"/>
      <c r="G27" s="161" t="n"/>
      <c r="H27" s="161" t="n"/>
      <c r="I27" s="161" t="n"/>
      <c r="J27" s="164" t="n"/>
    </row>
    <row r="28" ht="4" customHeight="1" s="134" thickBot="1">
      <c r="A28" s="315" t="n"/>
      <c r="B28" s="316" t="n"/>
      <c r="C28" s="316" t="n"/>
      <c r="D28" s="316" t="n"/>
      <c r="E28" s="316" t="n"/>
      <c r="F28" s="316" t="n"/>
      <c r="G28" s="316" t="n"/>
      <c r="H28" s="316" t="n"/>
      <c r="I28" s="316" t="n"/>
      <c r="J28" s="317" t="n"/>
    </row>
    <row r="29" ht="20" customHeight="1" s="134" thickBot="1">
      <c r="A29" s="310" t="inlineStr">
        <is>
          <t>MRR &amp; ASSINANTES</t>
        </is>
      </c>
      <c r="B29" s="311" t="n"/>
      <c r="C29" s="311" t="n"/>
      <c r="D29" s="311" t="n"/>
      <c r="E29" s="312" t="n"/>
      <c r="F29" s="318" t="inlineStr">
        <is>
          <t>VALUATION 3 CENARIOS</t>
        </is>
      </c>
      <c r="G29" s="311" t="n"/>
      <c r="H29" s="311" t="n"/>
      <c r="I29" s="311" t="n"/>
      <c r="J29" s="314" t="n"/>
    </row>
    <row r="30" ht="20" customHeight="1" s="134">
      <c r="A30" s="160" t="n"/>
      <c r="B30" s="161" t="n"/>
      <c r="C30" s="161" t="n"/>
      <c r="D30" s="161" t="n"/>
      <c r="E30" s="162" t="n"/>
      <c r="F30" s="163" t="n"/>
      <c r="G30" s="161" t="n"/>
      <c r="H30" s="161" t="n"/>
      <c r="I30" s="161" t="n"/>
      <c r="J30" s="164" t="n"/>
    </row>
    <row r="31" ht="20" customHeight="1" s="134">
      <c r="A31" s="160" t="n"/>
      <c r="B31" s="161" t="n"/>
      <c r="C31" s="161" t="n"/>
      <c r="D31" s="161" t="n"/>
      <c r="E31" s="162" t="n"/>
      <c r="F31" s="163" t="n"/>
      <c r="G31" s="161" t="n"/>
      <c r="H31" s="161" t="n"/>
      <c r="I31" s="161" t="n"/>
      <c r="J31" s="164" t="n"/>
    </row>
    <row r="32" ht="20" customHeight="1" s="134">
      <c r="A32" s="160" t="n"/>
      <c r="B32" s="161" t="n"/>
      <c r="C32" s="161" t="n"/>
      <c r="D32" s="161" t="n"/>
      <c r="E32" s="162" t="n"/>
      <c r="F32" s="163" t="n"/>
      <c r="G32" s="161" t="n"/>
      <c r="H32" s="161" t="n"/>
      <c r="I32" s="161" t="n"/>
      <c r="J32" s="164" t="n"/>
    </row>
    <row r="33" ht="20" customHeight="1" s="134">
      <c r="A33" s="160" t="n"/>
      <c r="B33" s="161" t="n"/>
      <c r="C33" s="161" t="n"/>
      <c r="D33" s="161" t="n"/>
      <c r="E33" s="162" t="n"/>
      <c r="F33" s="163" t="n"/>
      <c r="G33" s="161" t="n"/>
      <c r="H33" s="161" t="n"/>
      <c r="I33" s="161" t="n"/>
      <c r="J33" s="164" t="n"/>
    </row>
    <row r="34" ht="20" customHeight="1" s="134">
      <c r="A34" s="160" t="n"/>
      <c r="B34" s="161" t="n"/>
      <c r="C34" s="161" t="n"/>
      <c r="D34" s="161" t="n"/>
      <c r="E34" s="162" t="n"/>
      <c r="F34" s="163" t="n"/>
      <c r="G34" s="161" t="n"/>
      <c r="H34" s="161" t="n"/>
      <c r="I34" s="161" t="n"/>
      <c r="J34" s="164" t="n"/>
    </row>
    <row r="35" ht="20" customHeight="1" s="134">
      <c r="A35" s="160" t="n"/>
      <c r="B35" s="161" t="n"/>
      <c r="C35" s="161" t="n"/>
      <c r="D35" s="161" t="n"/>
      <c r="E35" s="162" t="n"/>
      <c r="F35" s="163" t="n"/>
      <c r="G35" s="161" t="n"/>
      <c r="H35" s="161" t="n"/>
      <c r="I35" s="161" t="n"/>
      <c r="J35" s="164" t="n"/>
    </row>
    <row r="36" ht="20" customHeight="1" s="134">
      <c r="A36" s="160" t="n"/>
      <c r="B36" s="161" t="n"/>
      <c r="C36" s="161" t="n"/>
      <c r="D36" s="161" t="n"/>
      <c r="E36" s="162" t="n"/>
      <c r="F36" s="163" t="n"/>
      <c r="G36" s="161" t="n"/>
      <c r="H36" s="161" t="n"/>
      <c r="I36" s="161" t="n"/>
      <c r="J36" s="164" t="n"/>
    </row>
    <row r="37" ht="20" customHeight="1" s="134">
      <c r="A37" s="160" t="n"/>
      <c r="B37" s="161" t="n"/>
      <c r="C37" s="161" t="n"/>
      <c r="D37" s="161" t="n"/>
      <c r="E37" s="162" t="n"/>
      <c r="F37" s="163" t="n"/>
      <c r="G37" s="161" t="n"/>
      <c r="H37" s="161" t="n"/>
      <c r="I37" s="161" t="n"/>
      <c r="J37" s="164" t="n"/>
    </row>
    <row r="38" ht="20" customHeight="1" s="134">
      <c r="A38" s="160" t="n"/>
      <c r="B38" s="161" t="n"/>
      <c r="C38" s="161" t="n"/>
      <c r="D38" s="161" t="n"/>
      <c r="E38" s="162" t="n"/>
      <c r="F38" s="163" t="n"/>
      <c r="G38" s="161" t="n"/>
      <c r="H38" s="161" t="n"/>
      <c r="I38" s="161" t="n"/>
      <c r="J38" s="164" t="n"/>
    </row>
    <row r="39" ht="20" customHeight="1" s="134">
      <c r="A39" s="160" t="n"/>
      <c r="B39" s="161" t="n"/>
      <c r="C39" s="161" t="n"/>
      <c r="D39" s="161" t="n"/>
      <c r="E39" s="162" t="n"/>
      <c r="F39" s="163" t="n"/>
      <c r="G39" s="161" t="n"/>
      <c r="H39" s="161" t="n"/>
      <c r="I39" s="161" t="n"/>
      <c r="J39" s="164" t="n"/>
    </row>
    <row r="40" ht="20" customHeight="1" s="134">
      <c r="A40" s="160" t="n"/>
      <c r="B40" s="161" t="n"/>
      <c r="C40" s="161" t="n"/>
      <c r="D40" s="161" t="n"/>
      <c r="E40" s="162" t="n"/>
      <c r="F40" s="163" t="n"/>
      <c r="G40" s="161" t="n"/>
      <c r="H40" s="161" t="n"/>
      <c r="I40" s="161" t="n"/>
      <c r="J40" s="164" t="n"/>
    </row>
    <row r="41" ht="20" customHeight="1" s="134">
      <c r="A41" s="160" t="n"/>
      <c r="B41" s="161" t="n"/>
      <c r="C41" s="161" t="n"/>
      <c r="D41" s="161" t="n"/>
      <c r="E41" s="162" t="n"/>
      <c r="F41" s="163" t="n"/>
      <c r="G41" s="161" t="n"/>
      <c r="H41" s="161" t="n"/>
      <c r="I41" s="161" t="n"/>
      <c r="J41" s="164" t="n"/>
    </row>
    <row r="42" ht="20" customHeight="1" s="134">
      <c r="A42" s="160" t="n"/>
      <c r="B42" s="161" t="n"/>
      <c r="C42" s="161" t="n"/>
      <c r="D42" s="161" t="n"/>
      <c r="E42" s="162" t="n"/>
      <c r="F42" s="163" t="n"/>
      <c r="G42" s="161" t="n"/>
      <c r="H42" s="161" t="n"/>
      <c r="I42" s="161" t="n"/>
      <c r="J42" s="164" t="n"/>
    </row>
    <row r="43" ht="20" customHeight="1" s="134">
      <c r="A43" s="160" t="n"/>
      <c r="B43" s="161" t="n"/>
      <c r="C43" s="161" t="n"/>
      <c r="D43" s="161" t="n"/>
      <c r="E43" s="162" t="n"/>
      <c r="F43" s="163" t="n"/>
      <c r="G43" s="161" t="n"/>
      <c r="H43" s="161" t="n"/>
      <c r="I43" s="161" t="n"/>
      <c r="J43" s="164" t="n"/>
    </row>
    <row r="44" ht="20" customHeight="1" s="134">
      <c r="A44" s="160" t="n"/>
      <c r="B44" s="161" t="n"/>
      <c r="C44" s="161" t="n"/>
      <c r="D44" s="161" t="n"/>
      <c r="E44" s="162" t="n"/>
      <c r="H44" s="161" t="n"/>
      <c r="I44" s="161" t="n"/>
      <c r="J44" s="164" t="n"/>
    </row>
    <row r="45" ht="20" customHeight="1" s="134" thickBot="1">
      <c r="A45" s="170" t="n"/>
      <c r="B45" s="171" t="n"/>
      <c r="C45" s="171" t="n"/>
      <c r="D45" s="171" t="n"/>
      <c r="E45" s="172" t="n"/>
      <c r="H45" s="171" t="n"/>
      <c r="I45" s="171" t="n"/>
      <c r="J45" s="173" t="n"/>
    </row>
    <row r="46" ht="11" customHeight="1" s="134">
      <c r="A46" s="160" t="n"/>
      <c r="B46" s="161" t="n"/>
      <c r="C46" s="161" t="n"/>
      <c r="D46" s="161" t="n"/>
      <c r="E46" s="161" t="n"/>
      <c r="F46" s="161" t="n"/>
      <c r="G46" s="161" t="n"/>
      <c r="H46" s="161" t="n"/>
      <c r="I46" s="161" t="n"/>
      <c r="J46" s="164" t="n"/>
    </row>
    <row r="47" ht="20" customHeight="1" s="134">
      <c r="A47" s="174" t="inlineStr">
        <is>
          <t>UNIT ECONOMICS · CENARIO ATIVO</t>
        </is>
      </c>
      <c r="B47" s="161" t="n"/>
      <c r="C47" s="161" t="n"/>
      <c r="D47" s="161" t="n"/>
      <c r="E47" s="161" t="n"/>
      <c r="F47" s="161" t="n"/>
      <c r="G47" s="161" t="n"/>
      <c r="H47" s="161" t="n"/>
      <c r="I47" s="161" t="n"/>
      <c r="J47" s="164" t="n"/>
    </row>
    <row r="48" ht="8" customHeight="1" s="134">
      <c r="A48" s="160" t="n"/>
      <c r="B48" s="161" t="n"/>
      <c r="C48" s="161" t="n"/>
      <c r="D48" s="161" t="n"/>
      <c r="E48" s="161" t="n"/>
      <c r="F48" s="161" t="n"/>
      <c r="G48" s="161" t="n"/>
      <c r="H48" s="161" t="n"/>
      <c r="I48" s="161" t="n"/>
      <c r="J48" s="164" t="n"/>
    </row>
    <row r="49" ht="20" customHeight="1" s="134">
      <c r="A49" s="175" t="inlineStr">
        <is>
          <t>CAC</t>
        </is>
      </c>
      <c r="B49" s="176" t="n"/>
      <c r="C49" s="177" t="inlineStr">
        <is>
          <t>LTV Essencial</t>
        </is>
      </c>
      <c r="D49" s="176" t="n"/>
      <c r="E49" s="177" t="inlineStr">
        <is>
          <t>LTV / CAC</t>
        </is>
      </c>
      <c r="F49" s="176" t="n"/>
      <c r="G49" s="177" t="inlineStr">
        <is>
          <t>CHURN MENSAL</t>
        </is>
      </c>
      <c r="H49" s="176" t="n"/>
      <c r="I49" s="177" t="inlineStr">
        <is>
          <t>MARGEM M24</t>
        </is>
      </c>
      <c r="J49" s="178" t="n"/>
    </row>
    <row r="50" ht="20" customFormat="1" customHeight="1" s="181">
      <c r="A50" s="319">
        <f>'🔧 Cenário Ativo'!B44</f>
        <v/>
      </c>
      <c r="B50" s="179" t="n"/>
      <c r="C50" s="320">
        <f>'🔧 Cenário Ativo'!B52</f>
        <v/>
      </c>
      <c r="D50" s="179" t="n"/>
      <c r="E50" s="321">
        <f>'🔧 Cenário Ativo'!B53</f>
        <v/>
      </c>
      <c r="F50" s="179" t="n"/>
      <c r="G50" s="322">
        <f>'🔧 Cenário Ativo'!B32</f>
        <v/>
      </c>
      <c r="H50" s="179" t="n"/>
      <c r="I50" s="322">
        <f>'📊 Base Mensal'!Z26</f>
        <v/>
      </c>
      <c r="J50" s="180" t="n"/>
      <c r="K50" s="181" t="n"/>
      <c r="L50" s="181" t="n"/>
      <c r="M50" s="181" t="n"/>
      <c r="N50" s="181" t="n"/>
      <c r="O50" s="181" t="n"/>
      <c r="P50" s="181" t="n"/>
      <c r="Q50" s="181" t="n"/>
      <c r="R50" s="181" t="n"/>
      <c r="S50" s="181" t="n"/>
      <c r="T50" s="181" t="n"/>
      <c r="U50" s="181" t="n"/>
      <c r="V50" s="181" t="n"/>
      <c r="W50" s="181" t="n"/>
    </row>
    <row r="51" ht="20" customHeight="1" s="134">
      <c r="A51" s="182" t="inlineStr">
        <is>
          <t>full-loaded</t>
        </is>
      </c>
      <c r="B51" s="183" t="n"/>
      <c r="C51" s="184" t="inlineStr">
        <is>
          <t>margem × vida média</t>
        </is>
      </c>
      <c r="D51" s="183" t="n"/>
      <c r="E51" s="184">
        <f>IF(E50&gt;=8,"✅ top quartile",IF(E50&gt;=3,"✅ saudável","⚠️ rever CAC"))</f>
        <v/>
      </c>
      <c r="F51" s="183" t="n"/>
      <c r="G51" s="184" t="inlineStr">
        <is>
          <t>anual ~46%</t>
        </is>
      </c>
      <c r="H51" s="183" t="n"/>
      <c r="I51" s="184" t="inlineStr">
        <is>
          <t>bruta sobre MRR</t>
        </is>
      </c>
      <c r="J51" s="185" t="n"/>
    </row>
    <row r="52" ht="20" customHeight="1" s="134">
      <c r="A52" s="323" t="inlineStr">
        <is>
          <t>Obs.: Este estudo não configura convite ou promessa de investimento. Valores projetados com base em premissas controláveis em 🎛️ Premissas e 🔧 Cenário Ativo.</t>
        </is>
      </c>
      <c r="J52" s="135" t="n"/>
    </row>
    <row r="53" ht="20" customHeight="1" s="134" thickBot="1">
      <c r="A53" s="324" t="inlineStr">
        <is>
          <t>AutoNoma © 2025 · Dashboard dinâmico · Todos os valores recalculam ao mudar o cenário em '🔧 Cenário Ativo'!B2</t>
        </is>
      </c>
      <c r="B53" s="325" t="n"/>
      <c r="C53" s="325" t="n"/>
      <c r="D53" s="325" t="n"/>
      <c r="E53" s="325" t="n"/>
      <c r="F53" s="325" t="n"/>
      <c r="G53" s="325" t="n"/>
      <c r="H53" s="325" t="n"/>
      <c r="I53" s="325" t="n"/>
      <c r="J53" s="251" t="n"/>
    </row>
    <row r="54" ht="20" customHeight="1" s="134">
      <c r="A54" s="192" t="n"/>
    </row>
    <row r="55" ht="20" customHeight="1" s="134">
      <c r="A55" s="192" t="n"/>
    </row>
    <row r="56" ht="20" customHeight="1" s="134">
      <c r="A56" s="192" t="n"/>
    </row>
    <row r="57" ht="20" customHeight="1" s="134">
      <c r="A57" s="192" t="n"/>
    </row>
    <row r="58" ht="20" customHeight="1" s="134">
      <c r="A58" s="192" t="n"/>
    </row>
    <row r="59" ht="20" customHeight="1" s="134">
      <c r="A59" s="192" t="n"/>
    </row>
    <row r="60" ht="20" customHeight="1" s="134">
      <c r="A60" s="192" t="n"/>
    </row>
    <row r="61" ht="20" customHeight="1" s="134">
      <c r="A61" s="192" t="n"/>
    </row>
    <row r="62" ht="20" customHeight="1" s="134">
      <c r="A62" s="192" t="n"/>
    </row>
    <row r="63" ht="20" customHeight="1" s="134">
      <c r="A63" s="192" t="n"/>
    </row>
    <row r="64" ht="20" customHeight="1" s="134">
      <c r="A64" s="192" t="n"/>
    </row>
    <row r="65" ht="20" customHeight="1" s="134">
      <c r="A65" s="192" t="n"/>
    </row>
    <row r="66" ht="20" customHeight="1" s="134">
      <c r="A66" s="192" t="n"/>
    </row>
    <row r="67" ht="20" customHeight="1" s="134">
      <c r="A67" s="192" t="n"/>
    </row>
    <row r="68" ht="20" customHeight="1" s="134">
      <c r="A68" s="192" t="n"/>
    </row>
    <row r="69" ht="20" customHeight="1" s="134">
      <c r="A69" s="192" t="n"/>
    </row>
    <row r="70" ht="20" customHeight="1" s="134"/>
    <row r="71" ht="20" customHeight="1" s="134"/>
    <row r="72" ht="20" customHeight="1" s="134"/>
    <row r="73" ht="20" customHeight="1" s="134"/>
    <row r="74" ht="20" customHeight="1" s="134"/>
    <row r="75" ht="20" customHeight="1" s="134"/>
    <row r="76" outlineLevel="1" ht="20" customHeight="1" s="134">
      <c r="L76" t="inlineStr">
        <is>
          <t>Mês</t>
        </is>
      </c>
      <c r="M76" t="inlineStr">
        <is>
          <t>MRR</t>
        </is>
      </c>
      <c r="N76" t="inlineStr">
        <is>
          <t>Pagantes</t>
        </is>
      </c>
      <c r="O76" t="inlineStr">
        <is>
          <t>Free</t>
        </is>
      </c>
      <c r="P76" t="inlineStr">
        <is>
          <t>Resultado</t>
        </is>
      </c>
      <c r="Q76" t="inlineStr">
        <is>
          <t>Acumulado</t>
        </is>
      </c>
      <c r="R76" t="inlineStr">
        <is>
          <t>Essencial</t>
        </is>
      </c>
      <c r="S76" t="inlineStr">
        <is>
          <t>Autônoma</t>
        </is>
      </c>
      <c r="T76" t="inlineStr">
        <is>
          <t>Livre</t>
        </is>
      </c>
      <c r="U76" t="inlineStr">
        <is>
          <t>API Total</t>
        </is>
      </c>
      <c r="V76" t="inlineStr">
        <is>
          <t>Custo Fixo</t>
        </is>
      </c>
      <c r="W76" t="inlineStr">
        <is>
          <t>Margem%</t>
        </is>
      </c>
    </row>
    <row r="77" outlineLevel="1" ht="20" customHeight="1" s="134">
      <c r="L77" t="inlineStr">
        <is>
          <t>M01</t>
        </is>
      </c>
      <c r="M77">
        <f>'📊 Base Mensal'!C11</f>
        <v/>
      </c>
      <c r="N77" s="44">
        <f>'📊 Base Mensal'!C9</f>
        <v/>
      </c>
      <c r="O77" s="44">
        <f>'📊 Base Mensal'!C5</f>
        <v/>
      </c>
      <c r="P77">
        <f>'📊 Base Mensal'!C24</f>
        <v/>
      </c>
      <c r="Q77">
        <f>'📊 Base Mensal'!C25</f>
        <v/>
      </c>
      <c r="R77" s="44">
        <f>'📊 Base Mensal'!C6</f>
        <v/>
      </c>
      <c r="S77" s="44">
        <f>'📊 Base Mensal'!C7</f>
        <v/>
      </c>
      <c r="T77" s="44">
        <f>'📊 Base Mensal'!C8</f>
        <v/>
      </c>
      <c r="U77">
        <f>'📊 Base Mensal'!C18</f>
        <v/>
      </c>
      <c r="V77">
        <f>'📊 Base Mensal'!C20</f>
        <v/>
      </c>
      <c r="W77">
        <f>'📊 Base Mensal'!C26</f>
        <v/>
      </c>
    </row>
    <row r="78" outlineLevel="1" ht="20" customHeight="1" s="134">
      <c r="L78" t="inlineStr">
        <is>
          <t>M02</t>
        </is>
      </c>
      <c r="M78">
        <f>'📊 Base Mensal'!D11</f>
        <v/>
      </c>
      <c r="N78" s="44">
        <f>'📊 Base Mensal'!D9</f>
        <v/>
      </c>
      <c r="O78" s="44">
        <f>'📊 Base Mensal'!D5</f>
        <v/>
      </c>
      <c r="P78">
        <f>'📊 Base Mensal'!D24</f>
        <v/>
      </c>
      <c r="Q78">
        <f>'📊 Base Mensal'!D25</f>
        <v/>
      </c>
      <c r="R78" s="44">
        <f>'📊 Base Mensal'!D6</f>
        <v/>
      </c>
      <c r="S78" s="44">
        <f>'📊 Base Mensal'!D7</f>
        <v/>
      </c>
      <c r="T78" s="44">
        <f>'📊 Base Mensal'!D8</f>
        <v/>
      </c>
      <c r="U78">
        <f>'📊 Base Mensal'!D18</f>
        <v/>
      </c>
      <c r="V78">
        <f>'📊 Base Mensal'!D20</f>
        <v/>
      </c>
      <c r="W78">
        <f>'📊 Base Mensal'!D26</f>
        <v/>
      </c>
    </row>
    <row r="79" outlineLevel="1" ht="20" customHeight="1" s="134">
      <c r="L79" t="inlineStr">
        <is>
          <t>M03</t>
        </is>
      </c>
      <c r="M79">
        <f>'📊 Base Mensal'!E11</f>
        <v/>
      </c>
      <c r="N79" s="44">
        <f>'📊 Base Mensal'!E9</f>
        <v/>
      </c>
      <c r="O79" s="44">
        <f>'📊 Base Mensal'!E5</f>
        <v/>
      </c>
      <c r="P79">
        <f>'📊 Base Mensal'!E24</f>
        <v/>
      </c>
      <c r="Q79">
        <f>'📊 Base Mensal'!E25</f>
        <v/>
      </c>
      <c r="R79" s="44">
        <f>'📊 Base Mensal'!E6</f>
        <v/>
      </c>
      <c r="S79" s="44">
        <f>'📊 Base Mensal'!E7</f>
        <v/>
      </c>
      <c r="T79" s="44">
        <f>'📊 Base Mensal'!E8</f>
        <v/>
      </c>
      <c r="U79">
        <f>'📊 Base Mensal'!E18</f>
        <v/>
      </c>
      <c r="V79">
        <f>'📊 Base Mensal'!E20</f>
        <v/>
      </c>
      <c r="W79">
        <f>'📊 Base Mensal'!E26</f>
        <v/>
      </c>
    </row>
    <row r="80" outlineLevel="1" ht="20" customHeight="1" s="134">
      <c r="L80" t="inlineStr">
        <is>
          <t>M04</t>
        </is>
      </c>
      <c r="M80">
        <f>'📊 Base Mensal'!F11</f>
        <v/>
      </c>
      <c r="N80" s="44">
        <f>'📊 Base Mensal'!F9</f>
        <v/>
      </c>
      <c r="O80" s="44">
        <f>'📊 Base Mensal'!F5</f>
        <v/>
      </c>
      <c r="P80">
        <f>'📊 Base Mensal'!F24</f>
        <v/>
      </c>
      <c r="Q80">
        <f>'📊 Base Mensal'!F25</f>
        <v/>
      </c>
      <c r="R80" s="44">
        <f>'📊 Base Mensal'!F6</f>
        <v/>
      </c>
      <c r="S80" s="44">
        <f>'📊 Base Mensal'!F7</f>
        <v/>
      </c>
      <c r="T80" s="44">
        <f>'📊 Base Mensal'!F8</f>
        <v/>
      </c>
      <c r="U80">
        <f>'📊 Base Mensal'!F18</f>
        <v/>
      </c>
      <c r="V80">
        <f>'📊 Base Mensal'!F20</f>
        <v/>
      </c>
      <c r="W80">
        <f>'📊 Base Mensal'!F26</f>
        <v/>
      </c>
    </row>
    <row r="81" outlineLevel="1" ht="20" customHeight="1" s="134">
      <c r="L81" t="inlineStr">
        <is>
          <t>M05</t>
        </is>
      </c>
      <c r="M81">
        <f>'📊 Base Mensal'!G11</f>
        <v/>
      </c>
      <c r="N81" s="44">
        <f>'📊 Base Mensal'!G9</f>
        <v/>
      </c>
      <c r="O81" s="44">
        <f>'📊 Base Mensal'!G5</f>
        <v/>
      </c>
      <c r="P81">
        <f>'📊 Base Mensal'!G24</f>
        <v/>
      </c>
      <c r="Q81">
        <f>'📊 Base Mensal'!G25</f>
        <v/>
      </c>
      <c r="R81" s="44">
        <f>'📊 Base Mensal'!G6</f>
        <v/>
      </c>
      <c r="S81" s="44">
        <f>'📊 Base Mensal'!G7</f>
        <v/>
      </c>
      <c r="T81" s="44">
        <f>'📊 Base Mensal'!G8</f>
        <v/>
      </c>
      <c r="U81">
        <f>'📊 Base Mensal'!G18</f>
        <v/>
      </c>
      <c r="V81">
        <f>'📊 Base Mensal'!G20</f>
        <v/>
      </c>
      <c r="W81">
        <f>'📊 Base Mensal'!G26</f>
        <v/>
      </c>
    </row>
    <row r="82" outlineLevel="1" ht="20" customHeight="1" s="134">
      <c r="L82" t="inlineStr">
        <is>
          <t>M06</t>
        </is>
      </c>
      <c r="M82">
        <f>'📊 Base Mensal'!H11</f>
        <v/>
      </c>
      <c r="N82" s="44">
        <f>'📊 Base Mensal'!H9</f>
        <v/>
      </c>
      <c r="O82" s="44">
        <f>'📊 Base Mensal'!H5</f>
        <v/>
      </c>
      <c r="P82">
        <f>'📊 Base Mensal'!H24</f>
        <v/>
      </c>
      <c r="Q82">
        <f>'📊 Base Mensal'!H25</f>
        <v/>
      </c>
      <c r="R82" s="44">
        <f>'📊 Base Mensal'!H6</f>
        <v/>
      </c>
      <c r="S82" s="44">
        <f>'📊 Base Mensal'!H7</f>
        <v/>
      </c>
      <c r="T82" s="44">
        <f>'📊 Base Mensal'!H8</f>
        <v/>
      </c>
      <c r="U82">
        <f>'📊 Base Mensal'!H18</f>
        <v/>
      </c>
      <c r="V82">
        <f>'📊 Base Mensal'!H20</f>
        <v/>
      </c>
      <c r="W82">
        <f>'📊 Base Mensal'!H26</f>
        <v/>
      </c>
    </row>
    <row r="83" outlineLevel="1" ht="20" customHeight="1" s="134">
      <c r="L83" t="inlineStr">
        <is>
          <t>M07</t>
        </is>
      </c>
      <c r="M83">
        <f>'📊 Base Mensal'!I11</f>
        <v/>
      </c>
      <c r="N83" s="44">
        <f>'📊 Base Mensal'!I9</f>
        <v/>
      </c>
      <c r="O83" s="44">
        <f>'📊 Base Mensal'!I5</f>
        <v/>
      </c>
      <c r="P83">
        <f>'📊 Base Mensal'!I24</f>
        <v/>
      </c>
      <c r="Q83">
        <f>'📊 Base Mensal'!I25</f>
        <v/>
      </c>
      <c r="R83" s="44">
        <f>'📊 Base Mensal'!I6</f>
        <v/>
      </c>
      <c r="S83" s="44">
        <f>'📊 Base Mensal'!I7</f>
        <v/>
      </c>
      <c r="T83" s="44">
        <f>'📊 Base Mensal'!I8</f>
        <v/>
      </c>
      <c r="U83">
        <f>'📊 Base Mensal'!I18</f>
        <v/>
      </c>
      <c r="V83">
        <f>'📊 Base Mensal'!I20</f>
        <v/>
      </c>
      <c r="W83">
        <f>'📊 Base Mensal'!I26</f>
        <v/>
      </c>
    </row>
    <row r="84" outlineLevel="1" ht="20" customHeight="1" s="134">
      <c r="L84" t="inlineStr">
        <is>
          <t>M08</t>
        </is>
      </c>
      <c r="M84">
        <f>'📊 Base Mensal'!J11</f>
        <v/>
      </c>
      <c r="N84" s="44">
        <f>'📊 Base Mensal'!J9</f>
        <v/>
      </c>
      <c r="O84" s="44">
        <f>'📊 Base Mensal'!J5</f>
        <v/>
      </c>
      <c r="P84">
        <f>'📊 Base Mensal'!J24</f>
        <v/>
      </c>
      <c r="Q84">
        <f>'📊 Base Mensal'!J25</f>
        <v/>
      </c>
      <c r="R84" s="44">
        <f>'📊 Base Mensal'!J6</f>
        <v/>
      </c>
      <c r="S84" s="44">
        <f>'📊 Base Mensal'!J7</f>
        <v/>
      </c>
      <c r="T84" s="44">
        <f>'📊 Base Mensal'!J8</f>
        <v/>
      </c>
      <c r="U84">
        <f>'📊 Base Mensal'!J18</f>
        <v/>
      </c>
      <c r="V84">
        <f>'📊 Base Mensal'!J20</f>
        <v/>
      </c>
      <c r="W84">
        <f>'📊 Base Mensal'!J26</f>
        <v/>
      </c>
    </row>
    <row r="85" outlineLevel="1" ht="20" customHeight="1" s="134">
      <c r="L85" t="inlineStr">
        <is>
          <t>M09</t>
        </is>
      </c>
      <c r="M85">
        <f>'📊 Base Mensal'!K11</f>
        <v/>
      </c>
      <c r="N85" s="44">
        <f>'📊 Base Mensal'!K9</f>
        <v/>
      </c>
      <c r="O85" s="44">
        <f>'📊 Base Mensal'!K5</f>
        <v/>
      </c>
      <c r="P85">
        <f>'📊 Base Mensal'!K24</f>
        <v/>
      </c>
      <c r="Q85">
        <f>'📊 Base Mensal'!K25</f>
        <v/>
      </c>
      <c r="R85" s="44">
        <f>'📊 Base Mensal'!K6</f>
        <v/>
      </c>
      <c r="S85" s="44">
        <f>'📊 Base Mensal'!K7</f>
        <v/>
      </c>
      <c r="T85" s="44">
        <f>'📊 Base Mensal'!K8</f>
        <v/>
      </c>
      <c r="U85">
        <f>'📊 Base Mensal'!K18</f>
        <v/>
      </c>
      <c r="V85">
        <f>'📊 Base Mensal'!K20</f>
        <v/>
      </c>
      <c r="W85">
        <f>'📊 Base Mensal'!K26</f>
        <v/>
      </c>
    </row>
    <row r="86" outlineLevel="1" ht="20" customHeight="1" s="134">
      <c r="L86" t="inlineStr">
        <is>
          <t>M10</t>
        </is>
      </c>
      <c r="M86">
        <f>'📊 Base Mensal'!L11</f>
        <v/>
      </c>
      <c r="N86" s="44">
        <f>'📊 Base Mensal'!L9</f>
        <v/>
      </c>
      <c r="O86" s="44">
        <f>'📊 Base Mensal'!L5</f>
        <v/>
      </c>
      <c r="P86">
        <f>'📊 Base Mensal'!L24</f>
        <v/>
      </c>
      <c r="Q86">
        <f>'📊 Base Mensal'!L25</f>
        <v/>
      </c>
      <c r="R86" s="44">
        <f>'📊 Base Mensal'!L6</f>
        <v/>
      </c>
      <c r="S86" s="44">
        <f>'📊 Base Mensal'!L7</f>
        <v/>
      </c>
      <c r="T86" s="44">
        <f>'📊 Base Mensal'!L8</f>
        <v/>
      </c>
      <c r="U86">
        <f>'📊 Base Mensal'!L18</f>
        <v/>
      </c>
      <c r="V86">
        <f>'📊 Base Mensal'!L20</f>
        <v/>
      </c>
      <c r="W86">
        <f>'📊 Base Mensal'!L26</f>
        <v/>
      </c>
    </row>
    <row r="87" outlineLevel="1" ht="20" customHeight="1" s="134">
      <c r="L87" t="inlineStr">
        <is>
          <t>M11</t>
        </is>
      </c>
      <c r="M87">
        <f>'📊 Base Mensal'!M11</f>
        <v/>
      </c>
      <c r="N87" s="44">
        <f>'📊 Base Mensal'!M9</f>
        <v/>
      </c>
      <c r="O87" s="44">
        <f>'📊 Base Mensal'!M5</f>
        <v/>
      </c>
      <c r="P87">
        <f>'📊 Base Mensal'!M24</f>
        <v/>
      </c>
      <c r="Q87">
        <f>'📊 Base Mensal'!M25</f>
        <v/>
      </c>
      <c r="R87" s="44">
        <f>'📊 Base Mensal'!M6</f>
        <v/>
      </c>
      <c r="S87" s="44">
        <f>'📊 Base Mensal'!M7</f>
        <v/>
      </c>
      <c r="T87" s="44">
        <f>'📊 Base Mensal'!M8</f>
        <v/>
      </c>
      <c r="U87">
        <f>'📊 Base Mensal'!M18</f>
        <v/>
      </c>
      <c r="V87">
        <f>'📊 Base Mensal'!M20</f>
        <v/>
      </c>
      <c r="W87">
        <f>'📊 Base Mensal'!M26</f>
        <v/>
      </c>
    </row>
    <row r="88" outlineLevel="1" ht="20" customHeight="1" s="134">
      <c r="L88" t="inlineStr">
        <is>
          <t>M12</t>
        </is>
      </c>
      <c r="M88">
        <f>'📊 Base Mensal'!N11</f>
        <v/>
      </c>
      <c r="N88" s="44">
        <f>'📊 Base Mensal'!N9</f>
        <v/>
      </c>
      <c r="O88" s="44">
        <f>'📊 Base Mensal'!N5</f>
        <v/>
      </c>
      <c r="P88">
        <f>'📊 Base Mensal'!N24</f>
        <v/>
      </c>
      <c r="Q88">
        <f>'📊 Base Mensal'!N25</f>
        <v/>
      </c>
      <c r="R88" s="44">
        <f>'📊 Base Mensal'!N6</f>
        <v/>
      </c>
      <c r="S88" s="44">
        <f>'📊 Base Mensal'!N7</f>
        <v/>
      </c>
      <c r="T88" s="44">
        <f>'📊 Base Mensal'!N8</f>
        <v/>
      </c>
      <c r="U88">
        <f>'📊 Base Mensal'!N18</f>
        <v/>
      </c>
      <c r="V88">
        <f>'📊 Base Mensal'!N20</f>
        <v/>
      </c>
      <c r="W88">
        <f>'📊 Base Mensal'!N26</f>
        <v/>
      </c>
    </row>
    <row r="89" outlineLevel="1" ht="20" customHeight="1" s="134">
      <c r="L89" t="inlineStr">
        <is>
          <t>M13</t>
        </is>
      </c>
      <c r="M89">
        <f>'📊 Base Mensal'!O11</f>
        <v/>
      </c>
      <c r="N89" s="44">
        <f>'📊 Base Mensal'!O9</f>
        <v/>
      </c>
      <c r="O89" s="44">
        <f>'📊 Base Mensal'!O5</f>
        <v/>
      </c>
      <c r="P89">
        <f>'📊 Base Mensal'!O24</f>
        <v/>
      </c>
      <c r="Q89">
        <f>'📊 Base Mensal'!O25</f>
        <v/>
      </c>
      <c r="R89" s="44">
        <f>'📊 Base Mensal'!O6</f>
        <v/>
      </c>
      <c r="S89" s="44">
        <f>'📊 Base Mensal'!O7</f>
        <v/>
      </c>
      <c r="T89" s="44">
        <f>'📊 Base Mensal'!O8</f>
        <v/>
      </c>
      <c r="U89">
        <f>'📊 Base Mensal'!O18</f>
        <v/>
      </c>
      <c r="V89">
        <f>'📊 Base Mensal'!O20</f>
        <v/>
      </c>
      <c r="W89">
        <f>'📊 Base Mensal'!O26</f>
        <v/>
      </c>
    </row>
    <row r="90" outlineLevel="1" ht="20" customHeight="1" s="134">
      <c r="L90" t="inlineStr">
        <is>
          <t>M14</t>
        </is>
      </c>
      <c r="M90">
        <f>'📊 Base Mensal'!P11</f>
        <v/>
      </c>
      <c r="N90" s="44">
        <f>'📊 Base Mensal'!P9</f>
        <v/>
      </c>
      <c r="O90" s="44">
        <f>'📊 Base Mensal'!P5</f>
        <v/>
      </c>
      <c r="P90">
        <f>'📊 Base Mensal'!P24</f>
        <v/>
      </c>
      <c r="Q90">
        <f>'📊 Base Mensal'!P25</f>
        <v/>
      </c>
      <c r="R90" s="44">
        <f>'📊 Base Mensal'!P6</f>
        <v/>
      </c>
      <c r="S90" s="44">
        <f>'📊 Base Mensal'!P7</f>
        <v/>
      </c>
      <c r="T90" s="44">
        <f>'📊 Base Mensal'!P8</f>
        <v/>
      </c>
      <c r="U90">
        <f>'📊 Base Mensal'!P18</f>
        <v/>
      </c>
      <c r="V90">
        <f>'📊 Base Mensal'!P20</f>
        <v/>
      </c>
      <c r="W90">
        <f>'📊 Base Mensal'!P26</f>
        <v/>
      </c>
    </row>
    <row r="91" outlineLevel="1" ht="20" customHeight="1" s="134">
      <c r="L91" t="inlineStr">
        <is>
          <t>M15</t>
        </is>
      </c>
      <c r="M91">
        <f>'📊 Base Mensal'!Q11</f>
        <v/>
      </c>
      <c r="N91" s="44">
        <f>'📊 Base Mensal'!Q9</f>
        <v/>
      </c>
      <c r="O91" s="44">
        <f>'📊 Base Mensal'!Q5</f>
        <v/>
      </c>
      <c r="P91">
        <f>'📊 Base Mensal'!Q24</f>
        <v/>
      </c>
      <c r="Q91">
        <f>'📊 Base Mensal'!Q25</f>
        <v/>
      </c>
      <c r="R91" s="44">
        <f>'📊 Base Mensal'!Q6</f>
        <v/>
      </c>
      <c r="S91" s="44">
        <f>'📊 Base Mensal'!Q7</f>
        <v/>
      </c>
      <c r="T91" s="44">
        <f>'📊 Base Mensal'!Q8</f>
        <v/>
      </c>
      <c r="U91">
        <f>'📊 Base Mensal'!Q18</f>
        <v/>
      </c>
      <c r="V91">
        <f>'📊 Base Mensal'!Q20</f>
        <v/>
      </c>
      <c r="W91">
        <f>'📊 Base Mensal'!Q26</f>
        <v/>
      </c>
    </row>
    <row r="92" outlineLevel="1" ht="20" customHeight="1" s="134">
      <c r="L92" t="inlineStr">
        <is>
          <t>M16</t>
        </is>
      </c>
      <c r="M92">
        <f>'📊 Base Mensal'!R11</f>
        <v/>
      </c>
      <c r="N92" s="44">
        <f>'📊 Base Mensal'!R9</f>
        <v/>
      </c>
      <c r="O92" s="44">
        <f>'📊 Base Mensal'!R5</f>
        <v/>
      </c>
      <c r="P92">
        <f>'📊 Base Mensal'!R24</f>
        <v/>
      </c>
      <c r="Q92">
        <f>'📊 Base Mensal'!R25</f>
        <v/>
      </c>
      <c r="R92" s="44">
        <f>'📊 Base Mensal'!R6</f>
        <v/>
      </c>
      <c r="S92" s="44">
        <f>'📊 Base Mensal'!R7</f>
        <v/>
      </c>
      <c r="T92" s="44">
        <f>'📊 Base Mensal'!R8</f>
        <v/>
      </c>
      <c r="U92">
        <f>'📊 Base Mensal'!R18</f>
        <v/>
      </c>
      <c r="V92">
        <f>'📊 Base Mensal'!R20</f>
        <v/>
      </c>
      <c r="W92">
        <f>'📊 Base Mensal'!R26</f>
        <v/>
      </c>
    </row>
    <row r="93" outlineLevel="1" ht="20" customHeight="1" s="134">
      <c r="L93" t="inlineStr">
        <is>
          <t>M17</t>
        </is>
      </c>
      <c r="M93">
        <f>'📊 Base Mensal'!S11</f>
        <v/>
      </c>
      <c r="N93" s="44">
        <f>'📊 Base Mensal'!S9</f>
        <v/>
      </c>
      <c r="O93" s="44">
        <f>'📊 Base Mensal'!S5</f>
        <v/>
      </c>
      <c r="P93">
        <f>'📊 Base Mensal'!S24</f>
        <v/>
      </c>
      <c r="Q93">
        <f>'📊 Base Mensal'!S25</f>
        <v/>
      </c>
      <c r="R93" s="44">
        <f>'📊 Base Mensal'!S6</f>
        <v/>
      </c>
      <c r="S93" s="44">
        <f>'📊 Base Mensal'!S7</f>
        <v/>
      </c>
      <c r="T93" s="44">
        <f>'📊 Base Mensal'!S8</f>
        <v/>
      </c>
      <c r="U93">
        <f>'📊 Base Mensal'!S18</f>
        <v/>
      </c>
      <c r="V93">
        <f>'📊 Base Mensal'!S20</f>
        <v/>
      </c>
      <c r="W93">
        <f>'📊 Base Mensal'!S26</f>
        <v/>
      </c>
    </row>
    <row r="94" outlineLevel="1" ht="20" customHeight="1" s="134">
      <c r="L94" t="inlineStr">
        <is>
          <t>M18</t>
        </is>
      </c>
      <c r="M94">
        <f>'📊 Base Mensal'!T11</f>
        <v/>
      </c>
      <c r="N94" s="44">
        <f>'📊 Base Mensal'!T9</f>
        <v/>
      </c>
      <c r="O94" s="44">
        <f>'📊 Base Mensal'!T5</f>
        <v/>
      </c>
      <c r="P94">
        <f>'📊 Base Mensal'!T24</f>
        <v/>
      </c>
      <c r="Q94">
        <f>'📊 Base Mensal'!T25</f>
        <v/>
      </c>
      <c r="R94" s="44">
        <f>'📊 Base Mensal'!T6</f>
        <v/>
      </c>
      <c r="S94" s="44">
        <f>'📊 Base Mensal'!T7</f>
        <v/>
      </c>
      <c r="T94" s="44">
        <f>'📊 Base Mensal'!T8</f>
        <v/>
      </c>
      <c r="U94">
        <f>'📊 Base Mensal'!T18</f>
        <v/>
      </c>
      <c r="V94">
        <f>'📊 Base Mensal'!T20</f>
        <v/>
      </c>
      <c r="W94">
        <f>'📊 Base Mensal'!T26</f>
        <v/>
      </c>
    </row>
    <row r="95" outlineLevel="1" ht="20" customHeight="1" s="134">
      <c r="L95" t="inlineStr">
        <is>
          <t>M19</t>
        </is>
      </c>
      <c r="M95">
        <f>'📊 Base Mensal'!U11</f>
        <v/>
      </c>
      <c r="N95" s="44">
        <f>'📊 Base Mensal'!U9</f>
        <v/>
      </c>
      <c r="O95" s="44">
        <f>'📊 Base Mensal'!U5</f>
        <v/>
      </c>
      <c r="P95">
        <f>'📊 Base Mensal'!U24</f>
        <v/>
      </c>
      <c r="Q95">
        <f>'📊 Base Mensal'!U25</f>
        <v/>
      </c>
      <c r="R95" s="44">
        <f>'📊 Base Mensal'!U6</f>
        <v/>
      </c>
      <c r="S95" s="44">
        <f>'📊 Base Mensal'!U7</f>
        <v/>
      </c>
      <c r="T95" s="44">
        <f>'📊 Base Mensal'!U8</f>
        <v/>
      </c>
      <c r="U95">
        <f>'📊 Base Mensal'!U18</f>
        <v/>
      </c>
      <c r="V95">
        <f>'📊 Base Mensal'!U20</f>
        <v/>
      </c>
      <c r="W95">
        <f>'📊 Base Mensal'!U26</f>
        <v/>
      </c>
    </row>
    <row r="96" outlineLevel="1" ht="20" customHeight="1" s="134">
      <c r="L96" t="inlineStr">
        <is>
          <t>M20</t>
        </is>
      </c>
      <c r="M96">
        <f>'📊 Base Mensal'!V11</f>
        <v/>
      </c>
      <c r="N96" s="44">
        <f>'📊 Base Mensal'!V9</f>
        <v/>
      </c>
      <c r="O96" s="44">
        <f>'📊 Base Mensal'!V5</f>
        <v/>
      </c>
      <c r="P96">
        <f>'📊 Base Mensal'!V24</f>
        <v/>
      </c>
      <c r="Q96">
        <f>'📊 Base Mensal'!V25</f>
        <v/>
      </c>
      <c r="R96" s="44">
        <f>'📊 Base Mensal'!V6</f>
        <v/>
      </c>
      <c r="S96" s="44">
        <f>'📊 Base Mensal'!V7</f>
        <v/>
      </c>
      <c r="T96" s="44">
        <f>'📊 Base Mensal'!V8</f>
        <v/>
      </c>
      <c r="U96">
        <f>'📊 Base Mensal'!V18</f>
        <v/>
      </c>
      <c r="V96">
        <f>'📊 Base Mensal'!V20</f>
        <v/>
      </c>
      <c r="W96">
        <f>'📊 Base Mensal'!V26</f>
        <v/>
      </c>
    </row>
    <row r="97" outlineLevel="1" ht="20" customHeight="1" s="134">
      <c r="L97" t="inlineStr">
        <is>
          <t>M21</t>
        </is>
      </c>
      <c r="M97">
        <f>'📊 Base Mensal'!W11</f>
        <v/>
      </c>
      <c r="N97" s="44">
        <f>'📊 Base Mensal'!W9</f>
        <v/>
      </c>
      <c r="O97" s="44">
        <f>'📊 Base Mensal'!W5</f>
        <v/>
      </c>
      <c r="P97">
        <f>'📊 Base Mensal'!W24</f>
        <v/>
      </c>
      <c r="Q97">
        <f>'📊 Base Mensal'!W25</f>
        <v/>
      </c>
      <c r="R97" s="44">
        <f>'📊 Base Mensal'!W6</f>
        <v/>
      </c>
      <c r="S97" s="44">
        <f>'📊 Base Mensal'!W7</f>
        <v/>
      </c>
      <c r="T97" s="44">
        <f>'📊 Base Mensal'!W8</f>
        <v/>
      </c>
      <c r="U97">
        <f>'📊 Base Mensal'!W18</f>
        <v/>
      </c>
      <c r="V97">
        <f>'📊 Base Mensal'!W20</f>
        <v/>
      </c>
      <c r="W97">
        <f>'📊 Base Mensal'!W26</f>
        <v/>
      </c>
    </row>
    <row r="98" outlineLevel="1" ht="20" customHeight="1" s="134">
      <c r="L98" t="inlineStr">
        <is>
          <t>M22</t>
        </is>
      </c>
      <c r="M98">
        <f>'📊 Base Mensal'!X11</f>
        <v/>
      </c>
      <c r="N98" s="44">
        <f>'📊 Base Mensal'!X9</f>
        <v/>
      </c>
      <c r="O98" s="44">
        <f>'📊 Base Mensal'!X5</f>
        <v/>
      </c>
      <c r="P98">
        <f>'📊 Base Mensal'!X24</f>
        <v/>
      </c>
      <c r="Q98">
        <f>'📊 Base Mensal'!X25</f>
        <v/>
      </c>
      <c r="R98" s="44">
        <f>'📊 Base Mensal'!X6</f>
        <v/>
      </c>
      <c r="S98" s="44">
        <f>'📊 Base Mensal'!X7</f>
        <v/>
      </c>
      <c r="T98" s="44">
        <f>'📊 Base Mensal'!X8</f>
        <v/>
      </c>
      <c r="U98">
        <f>'📊 Base Mensal'!X18</f>
        <v/>
      </c>
      <c r="V98">
        <f>'📊 Base Mensal'!X20</f>
        <v/>
      </c>
      <c r="W98">
        <f>'📊 Base Mensal'!X26</f>
        <v/>
      </c>
    </row>
    <row r="99" outlineLevel="1" ht="20" customHeight="1" s="134">
      <c r="L99" t="inlineStr">
        <is>
          <t>M23</t>
        </is>
      </c>
      <c r="M99">
        <f>'📊 Base Mensal'!Y11</f>
        <v/>
      </c>
      <c r="N99" s="44">
        <f>'📊 Base Mensal'!Y9</f>
        <v/>
      </c>
      <c r="O99" s="44">
        <f>'📊 Base Mensal'!Y5</f>
        <v/>
      </c>
      <c r="P99">
        <f>'📊 Base Mensal'!Y24</f>
        <v/>
      </c>
      <c r="Q99">
        <f>'📊 Base Mensal'!Y25</f>
        <v/>
      </c>
      <c r="R99" s="44">
        <f>'📊 Base Mensal'!Y6</f>
        <v/>
      </c>
      <c r="S99" s="44">
        <f>'📊 Base Mensal'!Y7</f>
        <v/>
      </c>
      <c r="T99" s="44">
        <f>'📊 Base Mensal'!Y8</f>
        <v/>
      </c>
      <c r="U99">
        <f>'📊 Base Mensal'!Y18</f>
        <v/>
      </c>
      <c r="V99">
        <f>'📊 Base Mensal'!Y20</f>
        <v/>
      </c>
      <c r="W99">
        <f>'📊 Base Mensal'!Y26</f>
        <v/>
      </c>
    </row>
    <row r="100" outlineLevel="1" ht="20" customHeight="1" s="134">
      <c r="L100" t="inlineStr">
        <is>
          <t>M24</t>
        </is>
      </c>
      <c r="M100">
        <f>'📊 Base Mensal'!Z11</f>
        <v/>
      </c>
      <c r="N100" s="44">
        <f>'📊 Base Mensal'!Z9</f>
        <v/>
      </c>
      <c r="O100" s="44">
        <f>'📊 Base Mensal'!Z5</f>
        <v/>
      </c>
      <c r="P100">
        <f>'📊 Base Mensal'!Z24</f>
        <v/>
      </c>
      <c r="Q100">
        <f>'📊 Base Mensal'!Z25</f>
        <v/>
      </c>
      <c r="R100" s="44">
        <f>'📊 Base Mensal'!Z6</f>
        <v/>
      </c>
      <c r="S100" s="44">
        <f>'📊 Base Mensal'!Z7</f>
        <v/>
      </c>
      <c r="T100" s="44">
        <f>'📊 Base Mensal'!Z8</f>
        <v/>
      </c>
      <c r="U100">
        <f>'📊 Base Mensal'!Z18</f>
        <v/>
      </c>
      <c r="V100">
        <f>'📊 Base Mensal'!Z20</f>
        <v/>
      </c>
      <c r="W100">
        <f>'📊 Base Mensal'!Z26</f>
        <v/>
      </c>
    </row>
    <row r="101" outlineLevel="1" ht="20" customHeight="1" s="134"/>
    <row r="102" outlineLevel="1" ht="20" customHeight="1" s="134">
      <c r="L102" t="inlineStr">
        <is>
          <t>Cenário</t>
        </is>
      </c>
      <c r="M102" t="inlineStr">
        <is>
          <t>Aporte R$5M</t>
        </is>
      </c>
      <c r="N102" t="inlineStr">
        <is>
          <t>Valuation 100% M24</t>
        </is>
      </c>
      <c r="O102" t="inlineStr">
        <is>
          <t>Retorno Anjo (49%)</t>
        </is>
      </c>
    </row>
    <row r="103" outlineLevel="1" ht="20" customHeight="1" s="134">
      <c r="L103" t="inlineStr">
        <is>
          <t>Conservador</t>
        </is>
      </c>
      <c r="M103">
        <f>'🎛️ Premissas'!$B$55/1000000</f>
        <v/>
      </c>
      <c r="N103">
        <f>'📊 Resumo Cenários'!B21/1000000</f>
        <v/>
      </c>
      <c r="O103">
        <f>'📊 Resumo Cenários'!B22/1000000</f>
        <v/>
      </c>
    </row>
    <row r="104" outlineLevel="1" ht="20" customHeight="1" s="134">
      <c r="L104" t="inlineStr">
        <is>
          <t>Base</t>
        </is>
      </c>
      <c r="M104">
        <f>'🎛️ Premissas'!$B$55/1000000</f>
        <v/>
      </c>
      <c r="N104">
        <f>'📊 Resumo Cenários'!C21/1000000</f>
        <v/>
      </c>
      <c r="O104">
        <f>'📊 Resumo Cenários'!C22/1000000</f>
        <v/>
      </c>
    </row>
    <row r="105" outlineLevel="1" ht="20" customHeight="1" s="134">
      <c r="L105" t="inlineStr">
        <is>
          <t>Otimista</t>
        </is>
      </c>
      <c r="M105">
        <f>'🎛️ Premissas'!$B$55/1000000</f>
        <v/>
      </c>
      <c r="N105">
        <f>'📊 Resumo Cenários'!D21/1000000</f>
        <v/>
      </c>
      <c r="O105">
        <f>'📊 Resumo Cenários'!D22/1000000</f>
        <v/>
      </c>
    </row>
    <row r="106" outlineLevel="1" ht="20" customHeight="1" s="134"/>
    <row r="107" ht="20" customHeight="1" s="134"/>
    <row r="108" ht="20" customHeight="1" s="134"/>
    <row r="109" ht="20" customHeight="1" s="134"/>
    <row r="110" ht="20" customHeight="1" s="134"/>
    <row r="111" ht="20" customHeight="1" s="134"/>
    <row r="112" ht="20" customHeight="1" s="134"/>
    <row r="113" ht="20" customHeight="1" s="134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F85"/>
  <mergeCells count="26">
    <mergeCell ref="F29:J29"/>
    <mergeCell ref="F11:J11"/>
    <mergeCell ref="A53:J53"/>
    <mergeCell ref="A11:E11"/>
    <mergeCell ref="C5:J5"/>
    <mergeCell ref="G8:H8"/>
    <mergeCell ref="A52:J52"/>
    <mergeCell ref="A10:J10"/>
    <mergeCell ref="A28:J28"/>
    <mergeCell ref="E8:F8"/>
    <mergeCell ref="A7:B7"/>
    <mergeCell ref="G7:H7"/>
    <mergeCell ref="I7:J7"/>
    <mergeCell ref="C9:D9"/>
    <mergeCell ref="E9:F9"/>
    <mergeCell ref="I8:J8"/>
    <mergeCell ref="A8:B8"/>
    <mergeCell ref="C8:D8"/>
    <mergeCell ref="A29:E29"/>
    <mergeCell ref="C7:D7"/>
    <mergeCell ref="E7:F7"/>
    <mergeCell ref="A3:J3"/>
    <mergeCell ref="A2:J2"/>
    <mergeCell ref="A9:B9"/>
    <mergeCell ref="G9:H9"/>
    <mergeCell ref="I9:J9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zoomScale="150" zoomScaleNormal="150" workbookViewId="0">
      <selection activeCell="B2" sqref="B2"/>
    </sheetView>
  </sheetViews>
  <sheetFormatPr baseColWidth="10" defaultColWidth="8.6640625" defaultRowHeight="15"/>
  <cols>
    <col width="42" customWidth="1" style="134" min="1" max="1"/>
    <col width="20" customWidth="1" style="134" min="2" max="2"/>
    <col width="39.33203125" customWidth="1" style="134" min="3" max="3"/>
  </cols>
  <sheetData>
    <row r="1" ht="39.75" customHeight="1" s="134" thickBot="1">
      <c r="A1" s="326" t="inlineStr">
        <is>
          <t>AutoNoma · Seletor de Cenário · Controler</t>
        </is>
      </c>
      <c r="B1" s="49" t="n"/>
      <c r="C1" s="50" t="n"/>
    </row>
    <row r="2" ht="36" customHeight="1" s="134" thickBot="1">
      <c r="A2" s="196" t="inlineStr">
        <is>
          <t>▶  CENÁRIO ATIVO  ◀  (altere aqui o modelo)</t>
        </is>
      </c>
      <c r="B2" s="197" t="inlineStr">
        <is>
          <t>Base</t>
        </is>
      </c>
      <c r="C2" s="198" t="inlineStr">
        <is>
          <t>← Selecione: Conservador / Base / Otimista</t>
        </is>
      </c>
    </row>
    <row r="3" ht="19.5" customHeight="1" s="134">
      <c r="A3" s="199" t="inlineStr">
        <is>
          <t>Coluna das premissas (uso interno — não edite)</t>
        </is>
      </c>
      <c r="B3" s="51">
        <f>MATCH(B2,{"Conservador","Base","Otimista"},0)+1</f>
        <v/>
      </c>
      <c r="C3" s="135" t="n"/>
    </row>
    <row r="4" ht="25.5" customHeight="1" s="134">
      <c r="A4" s="327" t="inlineStr">
        <is>
          <t>Premissas resolvidas para o cenário selecionado</t>
        </is>
      </c>
      <c r="C4" s="135" t="n"/>
    </row>
    <row r="5" ht="21.75" customHeight="1" s="134">
      <c r="A5" s="328" t="inlineStr">
        <is>
          <t>── PREÇOS ──</t>
        </is>
      </c>
      <c r="C5" s="135" t="n"/>
    </row>
    <row r="6" ht="21.75" customHeight="1" s="134">
      <c r="A6" s="205" t="inlineStr">
        <is>
          <t>Preço Essencial</t>
        </is>
      </c>
      <c r="B6" s="329">
        <f>INDEX('🎛️ Premissas'!B5:D5,1,MATCH($B$2,{"Conservador","Base","Otimista"},0))</f>
        <v/>
      </c>
      <c r="C6" s="206" t="inlineStr">
        <is>
          <t>← Premissas!Preço Essencial (linha 5)</t>
        </is>
      </c>
    </row>
    <row r="7" ht="21.75" customHeight="1" s="134">
      <c r="A7" s="205" t="inlineStr">
        <is>
          <t>Preço Autônoma</t>
        </is>
      </c>
      <c r="B7" s="329">
        <f>INDEX('🎛️ Premissas'!B6:D6,1,MATCH($B$2,{"Conservador","Base","Otimista"},0))</f>
        <v/>
      </c>
      <c r="C7" s="206" t="inlineStr">
        <is>
          <t>← Premissas!Preço Autônoma (linha 6)</t>
        </is>
      </c>
    </row>
    <row r="8" ht="21.75" customHeight="1" s="134">
      <c r="A8" s="205" t="inlineStr">
        <is>
          <t>Preço Livre</t>
        </is>
      </c>
      <c r="B8" s="329">
        <f>INDEX('🎛️ Premissas'!B7:D7,1,MATCH($B$2,{"Conservador","Base","Otimista"},0))</f>
        <v/>
      </c>
      <c r="C8" s="206" t="inlineStr">
        <is>
          <t>← Premissas!Preço Livre (linha 7)</t>
        </is>
      </c>
    </row>
    <row r="9" ht="21.75" customHeight="1" s="134">
      <c r="A9" s="328" t="inlineStr">
        <is>
          <t>── API ──</t>
        </is>
      </c>
      <c r="C9" s="135" t="n"/>
    </row>
    <row r="10" ht="21.75" customHeight="1" s="134">
      <c r="A10" s="205" t="inlineStr">
        <is>
          <t>Câmbio USD/BRL</t>
        </is>
      </c>
      <c r="B10" s="2">
        <f>INDEX('🎛️ Premissas'!B9:D9,1,MATCH($B$2,{"Conservador","Base","Otimista"},0))</f>
        <v/>
      </c>
      <c r="C10" s="206" t="inlineStr">
        <is>
          <t>← Premissas!Câmbio USD/BRL (linha 9)</t>
        </is>
      </c>
    </row>
    <row r="11" ht="21.75" customHeight="1" s="134">
      <c r="A11" s="205" t="inlineStr">
        <is>
          <t>Sonnet Input $/MTok</t>
        </is>
      </c>
      <c r="B11" s="330">
        <f>INDEX('🎛️ Premissas'!B10:D10,1,MATCH($B$2,{"Conservador","Base","Otimista"},0))</f>
        <v/>
      </c>
      <c r="C11" s="206" t="inlineStr">
        <is>
          <t>← Premissas!Sonnet 4.6 Input ($/MTok) (linha 10)</t>
        </is>
      </c>
    </row>
    <row r="12" ht="21.75" customHeight="1" s="134">
      <c r="A12" s="205" t="inlineStr">
        <is>
          <t>Sonnet Output $/MTok</t>
        </is>
      </c>
      <c r="B12" s="330">
        <f>INDEX('🎛️ Premissas'!B11:D11,1,MATCH($B$2,{"Conservador","Base","Otimista"},0))</f>
        <v/>
      </c>
      <c r="C12" s="206" t="inlineStr">
        <is>
          <t>← Premissas!Sonnet 4.6 Output ($/MTok) (linha 11)</t>
        </is>
      </c>
    </row>
    <row r="13" ht="21.75" customHeight="1" s="134">
      <c r="A13" s="205" t="inlineStr">
        <is>
          <t>Desconto Caching</t>
        </is>
      </c>
      <c r="B13" s="331">
        <f>INDEX('🎛️ Premissas'!B12:D12,1,MATCH($B$2,{"Conservador","Base","Otimista"},0))</f>
        <v/>
      </c>
      <c r="C13" s="206" t="inlineStr">
        <is>
          <t>← Premissas!Desconto Prompt Caching (%) (linha 12)</t>
        </is>
      </c>
    </row>
    <row r="14" ht="21.75" customHeight="1" s="134">
      <c r="A14" s="328" t="inlineStr">
        <is>
          <t>── USO ──</t>
        </is>
      </c>
      <c r="C14" s="135" t="n"/>
    </row>
    <row r="15" ht="21.75" customHeight="1" s="134">
      <c r="A15" s="205" t="inlineStr">
        <is>
          <t>Free: interações/mês</t>
        </is>
      </c>
      <c r="B15" s="5">
        <f>INDEX('🎛️ Premissas'!B14:D14,1,MATCH($B$2,{"Conservador","Base","Otimista"},0))</f>
        <v/>
      </c>
      <c r="C15" s="206" t="inlineStr">
        <is>
          <t>← Premissas!Free: interações/mês (LIMITE) (linha 14)</t>
        </is>
      </c>
    </row>
    <row r="16" ht="21.75" customHeight="1" s="134">
      <c r="A16" s="205" t="inlineStr">
        <is>
          <t>Free: tokens input</t>
        </is>
      </c>
      <c r="B16" s="5">
        <f>INDEX('🎛️ Premissas'!B15:D15,1,MATCH($B$2,{"Conservador","Base","Otimista"},0))</f>
        <v/>
      </c>
      <c r="C16" s="206" t="inlineStr">
        <is>
          <t>← Premissas!Free: tokens input/interação (linha 15)</t>
        </is>
      </c>
    </row>
    <row r="17" ht="21.75" customHeight="1" s="134">
      <c r="A17" s="205" t="inlineStr">
        <is>
          <t>Free: tokens output</t>
        </is>
      </c>
      <c r="B17" s="5">
        <f>INDEX('🎛️ Premissas'!B16:D16,1,MATCH($B$2,{"Conservador","Base","Otimista"},0))</f>
        <v/>
      </c>
      <c r="C17" s="206" t="inlineStr">
        <is>
          <t>← Premissas!Free: tokens output/interação (linha 16)</t>
        </is>
      </c>
    </row>
    <row r="18" ht="21.75" customHeight="1" s="134">
      <c r="A18" s="205" t="inlineStr">
        <is>
          <t>Free: % ativas/mês</t>
        </is>
      </c>
      <c r="B18" s="331">
        <f>INDEX('🎛️ Premissas'!B17:D17,1,MATCH($B$2,{"Conservador","Base","Otimista"},0))</f>
        <v/>
      </c>
      <c r="C18" s="206" t="inlineStr">
        <is>
          <t>← Premissas!Free: % usuárias ativas/mês (linha 17)</t>
        </is>
      </c>
    </row>
    <row r="19" ht="21.75" customHeight="1" s="134">
      <c r="A19" s="205" t="inlineStr">
        <is>
          <t>Essencial: interações/mês</t>
        </is>
      </c>
      <c r="B19" s="5">
        <f>INDEX('🎛️ Premissas'!B18:D18,1,MATCH($B$2,{"Conservador","Base","Otimista"},0))</f>
        <v/>
      </c>
      <c r="C19" s="206" t="inlineStr">
        <is>
          <t>← Premissas!Essencial: interações chat/mês (linha 18)</t>
        </is>
      </c>
    </row>
    <row r="20" ht="21.75" customHeight="1" s="134">
      <c r="A20" s="205" t="inlineStr">
        <is>
          <t>Essencial: tokens input</t>
        </is>
      </c>
      <c r="B20" s="5">
        <f>INDEX('🎛️ Premissas'!B19:D19,1,MATCH($B$2,{"Conservador","Base","Otimista"},0))</f>
        <v/>
      </c>
      <c r="C20" s="206" t="inlineStr">
        <is>
          <t>← Premissas!Essencial: tokens input/interação (linha 19)</t>
        </is>
      </c>
    </row>
    <row r="21" ht="21.75" customHeight="1" s="134">
      <c r="A21" s="205" t="inlineStr">
        <is>
          <t>Essencial: tokens output</t>
        </is>
      </c>
      <c r="B21" s="5">
        <f>INDEX('🎛️ Premissas'!B20:D20,1,MATCH($B$2,{"Conservador","Base","Otimista"},0))</f>
        <v/>
      </c>
      <c r="C21" s="206" t="inlineStr">
        <is>
          <t>← Premissas!Essencial: tokens output/interação (linha 20)</t>
        </is>
      </c>
    </row>
    <row r="22" ht="21.75" customHeight="1" s="134">
      <c r="A22" s="205" t="inlineStr">
        <is>
          <t>Autônoma: sessões agente/mês</t>
        </is>
      </c>
      <c r="B22" s="5">
        <f>INDEX('🎛️ Premissas'!B22:D22,1,MATCH($B$2,{"Conservador","Base","Otimista"},0))</f>
        <v/>
      </c>
      <c r="C22" s="206" t="inlineStr">
        <is>
          <t>← Premissas!Autônoma: sessões agente/mês (linha 22)</t>
        </is>
      </c>
    </row>
    <row r="23" ht="21.75" customHeight="1" s="134">
      <c r="A23" s="205" t="inlineStr">
        <is>
          <t>Autônoma: tokens input/sessão</t>
        </is>
      </c>
      <c r="B23" s="5">
        <f>INDEX('🎛️ Premissas'!B23:D23,1,MATCH($B$2,{"Conservador","Base","Otimista"},0))</f>
        <v/>
      </c>
      <c r="C23" s="206" t="inlineStr">
        <is>
          <t>← Premissas!Autônoma: tokens input/sessão agente (linha 23)</t>
        </is>
      </c>
    </row>
    <row r="24" ht="21.75" customHeight="1" s="134">
      <c r="A24" s="205" t="inlineStr">
        <is>
          <t>Autônoma: tokens output/sessão</t>
        </is>
      </c>
      <c r="B24" s="5">
        <f>INDEX('🎛️ Premissas'!B24:D24,1,MATCH($B$2,{"Conservador","Base","Otimista"},0))</f>
        <v/>
      </c>
      <c r="C24" s="206" t="inlineStr">
        <is>
          <t>← Premissas!Autônoma: tokens output/sessão agente (linha 24)</t>
        </is>
      </c>
    </row>
    <row r="25" ht="21.75" customHeight="1" s="134">
      <c r="A25" s="205" t="inlineStr">
        <is>
          <t>Livre: sessões totais/mês</t>
        </is>
      </c>
      <c r="B25" s="5">
        <f>INDEX('🎛️ Premissas'!B26:D26,1,MATCH($B$2,{"Conservador","Base","Otimista"},0))</f>
        <v/>
      </c>
      <c r="C25" s="206" t="inlineStr">
        <is>
          <t>← Premissas!Livre: sessões totais agentes/mês (linha 26)</t>
        </is>
      </c>
    </row>
    <row r="26" ht="21.75" customHeight="1" s="134">
      <c r="A26" s="328" t="inlineStr">
        <is>
          <t>── CRESCIMENTO ──</t>
        </is>
      </c>
      <c r="C26" s="135" t="n"/>
    </row>
    <row r="27" ht="21.75" customHeight="1" s="134">
      <c r="A27" s="205" t="inlineStr">
        <is>
          <t>Free leads M1–12</t>
        </is>
      </c>
      <c r="B27" s="5">
        <f>INDEX('🎛️ Premissas'!B28:D28,1,MATCH($B$2,{"Conservador","Base","Otimista"},0))</f>
        <v/>
      </c>
      <c r="C27" s="206" t="inlineStr">
        <is>
          <t>← Premissas!Crescimento Free M1–12 (leads/mês) (linha 28)</t>
        </is>
      </c>
    </row>
    <row r="28" ht="21.75" customHeight="1" s="134">
      <c r="A28" s="205" t="inlineStr">
        <is>
          <t>Free leads M13–24</t>
        </is>
      </c>
      <c r="B28" s="5">
        <f>INDEX('🎛️ Premissas'!B29:D29,1,MATCH($B$2,{"Conservador","Base","Otimista"},0))</f>
        <v/>
      </c>
      <c r="C28" s="206" t="inlineStr">
        <is>
          <t>← Premissas!Crescimento Free M13–24 (leads/mês) (linha 29)</t>
        </is>
      </c>
    </row>
    <row r="29" ht="21.75" customHeight="1" s="134">
      <c r="A29" s="205" t="inlineStr">
        <is>
          <t>Conv. Free→Essencial</t>
        </is>
      </c>
      <c r="B29" s="331">
        <f>INDEX('🎛️ Premissas'!B30:D30,1,MATCH($B$2,{"Conservador","Base","Otimista"},0))</f>
        <v/>
      </c>
      <c r="C29" s="206" t="inlineStr">
        <is>
          <t>← Premissas!Conversão Free → Essencial (%) (linha 31)</t>
        </is>
      </c>
    </row>
    <row r="30" ht="21.75" customHeight="1" s="134">
      <c r="A30" s="205" t="inlineStr">
        <is>
          <t>Conv. Free→Autônoma</t>
        </is>
      </c>
      <c r="B30" s="331">
        <f>INDEX('🎛️ Premissas'!B31:D31,1,MATCH($B$2,{"Conservador","Base","Otimista"},0))</f>
        <v/>
      </c>
      <c r="C30" s="206" t="inlineStr">
        <is>
          <t>← Premissas!Conversão Free → Autônoma (%) (linha 32)</t>
        </is>
      </c>
    </row>
    <row r="31" ht="21.75" customHeight="1" s="134">
      <c r="A31" s="205" t="inlineStr">
        <is>
          <t>Conv. Free→Livre</t>
        </is>
      </c>
      <c r="B31" s="331">
        <f>INDEX('🎛️ Premissas'!B32:D32,1,MATCH($B$2,{"Conservador","Base","Otimista"},0))</f>
        <v/>
      </c>
      <c r="C31" s="206" t="inlineStr">
        <is>
          <t>← Premissas!Conversão Free → Livre (%) (linha 33)</t>
        </is>
      </c>
    </row>
    <row r="32" ht="21.75" customHeight="1" s="134">
      <c r="A32" s="205" t="inlineStr">
        <is>
          <t>Churn Essencial/mês</t>
        </is>
      </c>
      <c r="B32" s="331">
        <f>INDEX('🎛️ Premissas'!B33:D33,1,MATCH($B$2,{"Conservador","Base","Otimista"},0))</f>
        <v/>
      </c>
      <c r="C32" s="206" t="inlineStr">
        <is>
          <t>← Premissas!Churn mensal Essencial (linha 34)</t>
        </is>
      </c>
    </row>
    <row r="33" ht="21.75" customHeight="1" s="134">
      <c r="A33" s="205" t="inlineStr">
        <is>
          <t>Churn Autônoma/mês</t>
        </is>
      </c>
      <c r="B33" s="331">
        <f>INDEX('🎛️ Premissas'!B34:D34,1,MATCH($B$2,{"Conservador","Base","Otimista"},0))</f>
        <v/>
      </c>
      <c r="C33" s="206" t="inlineStr">
        <is>
          <t>← Premissas!Churn mensal Autônoma (linha 35)</t>
        </is>
      </c>
    </row>
    <row r="34" ht="21.75" customHeight="1" s="134">
      <c r="A34" s="205" t="inlineStr">
        <is>
          <t>Churn Livre/mês</t>
        </is>
      </c>
      <c r="B34" s="331">
        <f>INDEX('🎛️ Premissas'!B35:D35,1,MATCH($B$2,{"Conservador","Base","Otimista"},0))</f>
        <v/>
      </c>
      <c r="C34" s="206" t="inlineStr">
        <is>
          <t>← Premissas!Churn mensal Livre (linha 36)</t>
        </is>
      </c>
    </row>
    <row r="35" ht="21.75" customHeight="1" s="134">
      <c r="A35" s="328" t="inlineStr">
        <is>
          <t>── CUSTO FIXO ──</t>
        </is>
      </c>
      <c r="C35" s="135" t="n"/>
    </row>
    <row r="36" ht="21.75" customHeight="1" s="134">
      <c r="A36" s="205" t="inlineStr">
        <is>
          <t>Equipe Ano 1</t>
        </is>
      </c>
      <c r="B36" s="332">
        <f>INDEX('🎛️ Premissas'!B37:D37,1,MATCH($B$2,{"Conservador","Base","Otimista"},0))</f>
        <v/>
      </c>
      <c r="C36" s="206" t="inlineStr">
        <is>
          <t>← Premissas!Equipe Ano 1 (média/mês) (linha 38)</t>
        </is>
      </c>
    </row>
    <row r="37" ht="21.75" customHeight="1" s="134">
      <c r="A37" s="205" t="inlineStr">
        <is>
          <t>Equipe Ano 2</t>
        </is>
      </c>
      <c r="B37" s="332">
        <f>INDEX('🎛️ Premissas'!B38:D38,1,MATCH($B$2,{"Conservador","Base","Otimista"},0))</f>
        <v/>
      </c>
      <c r="C37" s="206" t="inlineStr">
        <is>
          <t>← Premissas!Equipe Ano 2 (média/mês) (linha 39)</t>
        </is>
      </c>
    </row>
    <row r="38" ht="21.75" customHeight="1" s="134">
      <c r="A38" s="205" t="inlineStr">
        <is>
          <t>Infra Ano 1</t>
        </is>
      </c>
      <c r="B38" s="332">
        <f>INDEX('🎛️ Premissas'!B39:D39,1,MATCH($B$2,{"Conservador","Base","Otimista"},0))</f>
        <v/>
      </c>
      <c r="C38" s="206" t="inlineStr">
        <is>
          <t>← Premissas!Infraestrutura Ano 1 (linha 41)</t>
        </is>
      </c>
    </row>
    <row r="39" ht="21.75" customHeight="1" s="134">
      <c r="A39" s="205" t="inlineStr">
        <is>
          <t>Infra Ano 2</t>
        </is>
      </c>
      <c r="B39" s="332">
        <f>INDEX('🎛️ Premissas'!B40:D40,1,MATCH($B$2,{"Conservador","Base","Otimista"},0))</f>
        <v/>
      </c>
      <c r="C39" s="206" t="inlineStr">
        <is>
          <t>← Premissas!Infraestrutura Ano 2 (linha 42)</t>
        </is>
      </c>
    </row>
    <row r="40" ht="21.75" customHeight="1" s="134">
      <c r="A40" s="205" t="inlineStr">
        <is>
          <t>Marketing Ano 1</t>
        </is>
      </c>
      <c r="B40" s="332">
        <f>INDEX('🎛️ Premissas'!B41:D41,1,MATCH($B$2,{"Conservador","Base","Otimista"},0))</f>
        <v/>
      </c>
      <c r="C40" s="206" t="inlineStr">
        <is>
          <t>← Premissas!Marketing base Ano 1 (linha 44)</t>
        </is>
      </c>
    </row>
    <row r="41" ht="21.75" customHeight="1" s="134">
      <c r="A41" s="205" t="inlineStr">
        <is>
          <t>Marketing Ano 2</t>
        </is>
      </c>
      <c r="B41" s="332">
        <f>INDEX('🎛️ Premissas'!B42:D42,1,MATCH($B$2,{"Conservador","Base","Otimista"},0))</f>
        <v/>
      </c>
      <c r="C41" s="206" t="inlineStr">
        <is>
          <t>← Premissas!Marketing base Ano 2 (linha 45)</t>
        </is>
      </c>
    </row>
    <row r="42" ht="21.75" customHeight="1" s="134">
      <c r="A42" s="205" t="inlineStr">
        <is>
          <t>Outros</t>
        </is>
      </c>
      <c r="B42" s="332">
        <f>INDEX('🎛️ Premissas'!B43:D43,1,MATCH($B$2,{"Conservador","Base","Otimista"},0))</f>
        <v/>
      </c>
      <c r="C42" s="206" t="inlineStr">
        <is>
          <t>← Premissas!Outros (jurídico, contab, misc.) (linha 47)</t>
        </is>
      </c>
    </row>
    <row r="43" ht="21.75" customHeight="1" s="134">
      <c r="A43" s="328" t="inlineStr">
        <is>
          <t>── UNIT ECONOMICS ──</t>
        </is>
      </c>
      <c r="C43" s="135" t="n"/>
    </row>
    <row r="44" ht="21.75" customHeight="1" s="134">
      <c r="A44" s="205" t="inlineStr">
        <is>
          <t>CAC full-loaded</t>
        </is>
      </c>
      <c r="B44" s="332">
        <f>INDEX('🎛️ Premissas'!B45:D45,1,MATCH($B$2,{"Conservador","Base","Otimista"},0))</f>
        <v/>
      </c>
      <c r="C44" s="206" t="inlineStr">
        <is>
          <t>← Premissas!CAC real full-loaded (R$) (linha 49)</t>
        </is>
      </c>
    </row>
    <row r="45" ht="21.75" customHeight="1" s="134">
      <c r="A45" s="205" t="inlineStr">
        <is>
          <t>% aquisição via paid</t>
        </is>
      </c>
      <c r="B45" s="2">
        <f>INDEX('🎛️ Premissas'!B47:D47,1,MATCH($B$2,{"Conservador","Base","Otimista"},0))</f>
        <v/>
      </c>
      <c r="C45" s="206" t="inlineStr">
        <is>
          <t>← Premissas!% aquisição via paid (linha 51)</t>
        </is>
      </c>
    </row>
    <row r="46" ht="21.75" customHeight="1" s="134">
      <c r="A46" s="328" t="inlineStr">
        <is>
          <t>── VALUATION ──</t>
        </is>
      </c>
      <c r="C46" s="135" t="n"/>
    </row>
    <row r="47" ht="21.75" customHeight="1" s="134" thickBot="1">
      <c r="A47" s="207" t="inlineStr">
        <is>
          <t>Múltiplo ARR M18</t>
        </is>
      </c>
      <c r="B47" s="5">
        <f>INDEX('🎛️ Premissas'!B49:D49,1,MATCH($B$2,{"Conservador","Base","Otimista"},0))</f>
        <v/>
      </c>
      <c r="C47" s="208" t="inlineStr">
        <is>
          <t>← Premissas!Múltiplo ARR Série A (× ARR) (linha 53)</t>
        </is>
      </c>
    </row>
    <row r="48">
      <c r="A48" s="333" t="inlineStr">
        <is>
          <t xml:space="preserve">UNIT ECONOMICS CALCULADOS (helpers) </t>
        </is>
      </c>
      <c r="B48" s="334" t="n"/>
      <c r="C48" s="335" t="n"/>
    </row>
    <row r="49">
      <c r="A49" s="212" t="inlineStr">
        <is>
          <t>Custo API por Essencial / mês</t>
        </is>
      </c>
      <c r="B49" s="336">
        <f>B19*(B20/1000000*B11+B21/1000000*B12)*(1-B13)*B10</f>
        <v/>
      </c>
      <c r="C49" s="213" t="inlineStr">
        <is>
          <t>ARPU cobre custo API?</t>
        </is>
      </c>
    </row>
    <row r="50">
      <c r="A50" s="212" t="inlineStr">
        <is>
          <t>Margem Unitária Essencial / mês</t>
        </is>
      </c>
      <c r="B50" s="336">
        <f>B6-B49</f>
        <v/>
      </c>
      <c r="C50" s="213" t="inlineStr">
        <is>
          <t>Preço − Custo API (contribuição)</t>
        </is>
      </c>
    </row>
    <row r="51">
      <c r="A51" s="212" t="inlineStr">
        <is>
          <t>Vida média Essencial (meses)</t>
        </is>
      </c>
      <c r="B51" s="337" t="n">
        <v>15</v>
      </c>
      <c r="C51" s="213" t="inlineStr">
        <is>
          <t>1 ÷ churn mensal</t>
        </is>
      </c>
    </row>
    <row r="52">
      <c r="A52" s="212" t="inlineStr">
        <is>
          <t>LTV Essencial</t>
        </is>
      </c>
      <c r="B52" s="338">
        <f>B50*B51</f>
        <v/>
      </c>
      <c r="C52" s="213" t="inlineStr">
        <is>
          <t>Margem × vida média</t>
        </is>
      </c>
    </row>
    <row r="53">
      <c r="A53" s="212" t="inlineStr">
        <is>
          <t>LTV / CAC</t>
        </is>
      </c>
      <c r="B53" s="339">
        <f>IFERROR(B52/B44,0)</f>
        <v/>
      </c>
      <c r="C53" s="213" t="inlineStr">
        <is>
          <t>≥3× ok · ≥8× top quartile</t>
        </is>
      </c>
    </row>
    <row r="54">
      <c r="A54" s="214" t="inlineStr">
        <is>
          <t>Payback CAC (meses)</t>
        </is>
      </c>
      <c r="B54" s="340">
        <f>IFERROR(B44/B50,0)</f>
        <v/>
      </c>
      <c r="C54" s="215" t="inlineStr">
        <is>
          <t>CAC ÷ margem mensal · &lt;12m = excelente</t>
        </is>
      </c>
    </row>
    <row r="55">
      <c r="A55" s="328" t="inlineStr">
        <is>
          <t xml:space="preserve">IMPOSTOS </t>
        </is>
      </c>
      <c r="C55" s="135" t="n"/>
    </row>
    <row r="56" ht="16" customHeight="1" s="134" thickBot="1">
      <c r="A56" s="216" t="inlineStr">
        <is>
          <t>Alíquota imposto/receita</t>
        </is>
      </c>
      <c r="B56" s="341">
        <f>IF($B$2="Conservador",'🎛️ Premissas'!B67,IF($B$2="Base",'🎛️ Premissas'!C67,'🎛️ Premissas'!D67))</f>
        <v/>
      </c>
      <c r="C56" s="217" t="inlineStr">
        <is>
          <t>← Premissas!Alíquota (linha 67)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F85"/>
  <mergeCells count="11">
    <mergeCell ref="A1:C1"/>
    <mergeCell ref="A46:C46"/>
    <mergeCell ref="A5:C5"/>
    <mergeCell ref="A14:C14"/>
    <mergeCell ref="A9:C9"/>
    <mergeCell ref="A55:C55"/>
    <mergeCell ref="A35:C35"/>
    <mergeCell ref="A4:C4"/>
    <mergeCell ref="A48:C48"/>
    <mergeCell ref="A43:C43"/>
    <mergeCell ref="A26:C26"/>
  </mergeCells>
  <dataValidations count="1">
    <dataValidation sqref="B2" showDropDown="0" showInputMessage="0" showErrorMessage="0" allowBlank="0" errorTitle="Cenário inválido" error="Escolha: Conservador, Base ou Otimista" promptTitle="Cenário" prompt="Selecione o cenário: Conservador, Base ou Otimista" type="list">
      <formula1>"Conservador,Base,Otimista"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topLeftCell="A44" zoomScale="150" zoomScaleNormal="150" workbookViewId="0">
      <selection activeCell="G60" sqref="G60"/>
    </sheetView>
  </sheetViews>
  <sheetFormatPr baseColWidth="10" defaultColWidth="8.6640625" defaultRowHeight="15"/>
  <cols>
    <col width="42" customWidth="1" style="134" min="1" max="1"/>
    <col width="16" customWidth="1" style="134" min="2" max="4"/>
    <col width="24.5" customWidth="1" style="134" min="5" max="5"/>
  </cols>
  <sheetData>
    <row r="1" ht="39.75" customHeight="1" s="134">
      <c r="A1" s="342" t="inlineStr">
        <is>
          <t>AutoNoma · Premissas · Fonte Única de Verdade · 100% Sonnet 4.6</t>
        </is>
      </c>
      <c r="B1" s="49" t="n"/>
      <c r="C1" s="49" t="n"/>
      <c r="D1" s="49" t="n"/>
      <c r="E1" s="50" t="n"/>
      <c r="F1" s="35" t="n"/>
    </row>
    <row r="2" ht="21.75" customHeight="1" s="134">
      <c r="A2" s="221" t="inlineStr">
        <is>
          <t>Azul = Input editável</t>
        </is>
      </c>
      <c r="B2" s="222" t="inlineStr">
        <is>
          <t>Preto = Fórmula</t>
        </is>
      </c>
      <c r="C2" s="223" t="inlineStr">
        <is>
          <t>Verde = Link cross-sheet</t>
        </is>
      </c>
      <c r="E2" s="135" t="n"/>
    </row>
    <row r="3" ht="27.75" customHeight="1" s="134">
      <c r="A3" s="224" t="inlineStr">
        <is>
          <t>PARAMETRO</t>
        </is>
      </c>
      <c r="B3" s="225" t="inlineStr">
        <is>
          <t>Conservador</t>
        </is>
      </c>
      <c r="C3" s="226" t="inlineStr">
        <is>
          <t>Base (padrão)</t>
        </is>
      </c>
      <c r="D3" s="227" t="inlineStr">
        <is>
          <t>Otimista</t>
        </is>
      </c>
      <c r="E3" s="228" t="inlineStr">
        <is>
          <t>UNIDADE/NOTA</t>
        </is>
      </c>
    </row>
    <row r="4" ht="25.5" customHeight="1" s="134">
      <c r="A4" s="343" t="inlineStr">
        <is>
          <t>1 · PREÇOS DOS PLANOS (R$/mês)</t>
        </is>
      </c>
      <c r="E4" s="135" t="n"/>
    </row>
    <row r="5" ht="21.75" customHeight="1" s="134">
      <c r="A5" s="205" t="inlineStr">
        <is>
          <t>Preço Essencial</t>
        </is>
      </c>
      <c r="B5" s="344" t="n">
        <v>39.9</v>
      </c>
      <c r="C5" s="345" t="n">
        <v>49.9</v>
      </c>
      <c r="D5" s="346" t="n">
        <v>49.9</v>
      </c>
      <c r="E5" s="232" t="inlineStr">
        <is>
          <t>R$/mês · + uso esporadico agente</t>
        </is>
      </c>
    </row>
    <row r="6" ht="21.75" customHeight="1" s="134">
      <c r="A6" s="205" t="inlineStr">
        <is>
          <t>Preço Autônoma</t>
        </is>
      </c>
      <c r="B6" s="344" t="n">
        <v>59.9</v>
      </c>
      <c r="C6" s="345" t="n">
        <v>59.9</v>
      </c>
      <c r="D6" s="346" t="n">
        <v>62.9</v>
      </c>
      <c r="E6" s="233" t="inlineStr">
        <is>
          <t>R$/mês · chat + 1 agente</t>
        </is>
      </c>
    </row>
    <row r="7" ht="21.75" customHeight="1" s="134">
      <c r="A7" s="205" t="inlineStr">
        <is>
          <t>Preço Livre</t>
        </is>
      </c>
      <c r="B7" s="344" t="n">
        <v>79.90000000000001</v>
      </c>
      <c r="C7" s="345" t="n">
        <v>79.90000000000001</v>
      </c>
      <c r="D7" s="346" t="n">
        <v>79.90000000000001</v>
      </c>
      <c r="E7" s="233" t="inlineStr">
        <is>
          <t>R$/mês · chat + 2 agentes</t>
        </is>
      </c>
    </row>
    <row r="8" ht="25.5" customHeight="1" s="134">
      <c r="A8" s="343" t="inlineStr">
        <is>
          <t>2 · CUSTO API ANTHROPIC (1 semestre 2026)</t>
        </is>
      </c>
      <c r="E8" s="135" t="n"/>
    </row>
    <row r="9" ht="21.75" customHeight="1" s="134">
      <c r="A9" s="205" t="inlineStr">
        <is>
          <t>Câmbio USD/BRL</t>
        </is>
      </c>
      <c r="B9" s="10" t="n">
        <v>5.3</v>
      </c>
      <c r="C9" s="11" t="n">
        <v>5.3</v>
      </c>
      <c r="D9" s="12" t="n">
        <v>5.3</v>
      </c>
      <c r="E9" s="233" t="inlineStr">
        <is>
          <t>R$ por USD</t>
        </is>
      </c>
    </row>
    <row r="10" ht="21.75" customHeight="1" s="134">
      <c r="A10" s="205" t="inlineStr">
        <is>
          <t>Sonnet 4.6 Input ($/MTok)</t>
        </is>
      </c>
      <c r="B10" s="347" t="n">
        <v>3</v>
      </c>
      <c r="C10" s="348" t="n">
        <v>3</v>
      </c>
      <c r="D10" s="349" t="n">
        <v>3</v>
      </c>
      <c r="E10" s="233" t="inlineStr">
        <is>
          <t>USD — oficial Anthropic</t>
        </is>
      </c>
    </row>
    <row r="11" ht="21.75" customHeight="1" s="134">
      <c r="A11" s="205" t="inlineStr">
        <is>
          <t>Sonnet 4.6 Output ($/MTok)</t>
        </is>
      </c>
      <c r="B11" s="347" t="n">
        <v>15</v>
      </c>
      <c r="C11" s="348" t="n">
        <v>15</v>
      </c>
      <c r="D11" s="349" t="n">
        <v>15</v>
      </c>
      <c r="E11" s="233" t="inlineStr">
        <is>
          <t>USD — oficial Anthropic</t>
        </is>
      </c>
    </row>
    <row r="12" ht="21.75" customHeight="1" s="134">
      <c r="A12" s="205" t="inlineStr">
        <is>
          <t>Desconto Prompt Caching (%)</t>
        </is>
      </c>
      <c r="B12" s="350" t="n">
        <v>0.35</v>
      </c>
      <c r="C12" s="351" t="n">
        <v>0.4</v>
      </c>
      <c r="D12" s="352" t="n">
        <v>0.45</v>
      </c>
      <c r="E12" s="233" t="inlineStr">
        <is>
          <t>% redução no bloco fixo</t>
        </is>
      </c>
    </row>
    <row r="13" ht="25.5" customHeight="1" s="134">
      <c r="A13" s="343" t="inlineStr">
        <is>
          <t>3 · USO POR PLANO — 100% SONNET 4.6</t>
        </is>
      </c>
      <c r="E13" s="135" t="n"/>
    </row>
    <row r="14" ht="21.75" customHeight="1" s="134">
      <c r="A14" s="205" t="inlineStr">
        <is>
          <t>Free: interações/mês (LIMITE)</t>
        </is>
      </c>
      <c r="B14" s="19" t="n">
        <v>50</v>
      </c>
      <c r="C14" s="20" t="n">
        <v>50</v>
      </c>
      <c r="D14" s="21" t="n">
        <v>50</v>
      </c>
      <c r="E14" s="233" t="inlineStr">
        <is>
          <t>Sonnet · teto produto</t>
        </is>
      </c>
    </row>
    <row r="15" ht="21.75" customHeight="1" s="134">
      <c r="A15" s="205" t="inlineStr">
        <is>
          <t>Free: tokens input/interação</t>
        </is>
      </c>
      <c r="B15" s="19" t="n">
        <v>900</v>
      </c>
      <c r="C15" s="20" t="n">
        <v>900</v>
      </c>
      <c r="D15" s="21" t="n">
        <v>900</v>
      </c>
      <c r="E15" s="233" t="inlineStr">
        <is>
          <t>inclui system prompt cacheado</t>
        </is>
      </c>
    </row>
    <row r="16" ht="21.75" customHeight="1" s="134">
      <c r="A16" s="205" t="inlineStr">
        <is>
          <t>Free: tokens output/interação</t>
        </is>
      </c>
      <c r="B16" s="19" t="n">
        <v>450</v>
      </c>
      <c r="C16" s="20" t="n">
        <v>450</v>
      </c>
      <c r="D16" s="21" t="n">
        <v>450</v>
      </c>
      <c r="E16" s="233" t="inlineStr">
        <is>
          <t>resposta orientada</t>
        </is>
      </c>
    </row>
    <row r="17" ht="21.75" customHeight="1" s="134">
      <c r="A17" s="205" t="inlineStr">
        <is>
          <t>Free: % usuárias ativas/mês</t>
        </is>
      </c>
      <c r="B17" s="350" t="n">
        <v>0.5</v>
      </c>
      <c r="C17" s="351" t="n">
        <v>0.5</v>
      </c>
      <c r="D17" s="352" t="n">
        <v>0.5</v>
      </c>
      <c r="E17" s="233" t="inlineStr">
        <is>
          <t>% do cadastro que usa no mês</t>
        </is>
      </c>
    </row>
    <row r="18" ht="21.75" customHeight="1" s="134">
      <c r="A18" s="205" t="inlineStr">
        <is>
          <t>Essencial: interações chat/mês</t>
        </is>
      </c>
      <c r="B18" s="19" t="n">
        <v>120</v>
      </c>
      <c r="C18" s="20" t="n">
        <v>140</v>
      </c>
      <c r="D18" s="21" t="n">
        <v>180</v>
      </c>
      <c r="E18" s="233" t="inlineStr">
        <is>
          <t>ilimitado prático · 20 dias × uso</t>
        </is>
      </c>
    </row>
    <row r="19" ht="21.75" customHeight="1" s="134">
      <c r="A19" s="205" t="inlineStr">
        <is>
          <t>Essencial: tokens input/interação</t>
        </is>
      </c>
      <c r="B19" s="19" t="n">
        <v>1200</v>
      </c>
      <c r="C19" s="20" t="n">
        <v>1400</v>
      </c>
      <c r="D19" s="21" t="n">
        <v>1800</v>
      </c>
      <c r="E19" s="233" t="inlineStr">
        <is>
          <t>contexto Noma + memória</t>
        </is>
      </c>
    </row>
    <row r="20" ht="21.75" customHeight="1" s="134">
      <c r="A20" s="205" t="inlineStr">
        <is>
          <t>Essencial: tokens output/interação</t>
        </is>
      </c>
      <c r="B20" s="19" t="n">
        <v>700</v>
      </c>
      <c r="C20" s="20" t="n">
        <v>700</v>
      </c>
      <c r="D20" s="21" t="n">
        <v>700</v>
      </c>
      <c r="E20" s="233" t="inlineStr">
        <is>
          <t>resposta + ação autônoma</t>
        </is>
      </c>
    </row>
    <row r="21" ht="21.75" customHeight="1" s="134">
      <c r="A21" s="205" t="inlineStr">
        <is>
          <t>Autônoma: chat (= Essencial)</t>
        </is>
      </c>
      <c r="B21" s="19" t="n">
        <v>140</v>
      </c>
      <c r="C21" s="20" t="n">
        <v>140</v>
      </c>
      <c r="D21" s="21" t="n">
        <v>140</v>
      </c>
      <c r="E21" s="233" t="inlineStr">
        <is>
          <t>chat ilimitado Sonnet</t>
        </is>
      </c>
    </row>
    <row r="22" ht="21.75" customHeight="1" s="134">
      <c r="A22" s="205" t="inlineStr">
        <is>
          <t>Autônoma: sessões agente/mês</t>
        </is>
      </c>
      <c r="B22" s="19" t="n">
        <v>35</v>
      </c>
      <c r="C22" s="20" t="n">
        <v>45</v>
      </c>
      <c r="D22" s="21" t="n">
        <v>60</v>
      </c>
      <c r="E22" s="233" t="inlineStr">
        <is>
          <t>sessões profundas com 1 agente</t>
        </is>
      </c>
    </row>
    <row r="23" ht="21.75" customHeight="1" s="134">
      <c r="A23" s="205" t="inlineStr">
        <is>
          <t>Autônoma: tokens input/sessão agente</t>
        </is>
      </c>
      <c r="B23" s="19" t="n">
        <v>3000</v>
      </c>
      <c r="C23" s="20" t="n">
        <v>3000</v>
      </c>
      <c r="D23" s="21" t="n">
        <v>3000</v>
      </c>
      <c r="E23" s="233" t="inlineStr">
        <is>
          <t>contexto resolução + memória</t>
        </is>
      </c>
    </row>
    <row r="24" ht="21.75" customHeight="1" s="134">
      <c r="A24" s="205" t="inlineStr">
        <is>
          <t>Autônoma: tokens output/sessão agente</t>
        </is>
      </c>
      <c r="B24" s="19" t="n">
        <v>1800</v>
      </c>
      <c r="C24" s="20" t="n">
        <v>1800</v>
      </c>
      <c r="D24" s="21" t="n">
        <v>1800</v>
      </c>
      <c r="E24" s="233" t="inlineStr">
        <is>
          <t>resolução completa + confirmação</t>
        </is>
      </c>
    </row>
    <row r="25" ht="21.75" customHeight="1" s="134">
      <c r="A25" s="205" t="inlineStr">
        <is>
          <t>Livre: chat (= Essencial)</t>
        </is>
      </c>
      <c r="B25" s="19" t="n">
        <v>140</v>
      </c>
      <c r="C25" s="20" t="n">
        <v>140</v>
      </c>
      <c r="D25" s="21" t="n">
        <v>140</v>
      </c>
      <c r="E25" s="233" t="inlineStr">
        <is>
          <t>chat ilimitado Sonnet</t>
        </is>
      </c>
    </row>
    <row r="26" ht="21.75" customHeight="1" s="134">
      <c r="A26" s="205" t="inlineStr">
        <is>
          <t>Livre: sessões totais agentes/mês</t>
        </is>
      </c>
      <c r="B26" s="19" t="n">
        <v>60</v>
      </c>
      <c r="C26" s="20" t="n">
        <v>80</v>
      </c>
      <c r="D26" s="21" t="n">
        <v>100</v>
      </c>
      <c r="E26" s="233" t="inlineStr">
        <is>
          <t>2 agentes · mais que Autônoma</t>
        </is>
      </c>
    </row>
    <row r="27" ht="25.5" customHeight="1" s="134">
      <c r="A27" s="343" t="inlineStr">
        <is>
          <t>4 · CRESCIMENTO DA BASE</t>
        </is>
      </c>
      <c r="E27" s="135" t="n"/>
    </row>
    <row r="28" ht="21.75" customHeight="1" s="134">
      <c r="A28" s="205" t="inlineStr">
        <is>
          <t>Crescimento Free M1–12 (leads/mês)</t>
        </is>
      </c>
      <c r="B28" s="19" t="n">
        <v>3000</v>
      </c>
      <c r="C28" s="20" t="n">
        <v>3500</v>
      </c>
      <c r="D28" s="21" t="n">
        <v>4000</v>
      </c>
      <c r="E28" s="233" t="inlineStr">
        <is>
          <t>cadastros orgânicos+viral+paid</t>
        </is>
      </c>
    </row>
    <row r="29" ht="21.75" customHeight="1" s="134">
      <c r="A29" s="205" t="inlineStr">
        <is>
          <t>Crescimento Free M13–24 (leads/mês)</t>
        </is>
      </c>
      <c r="B29" s="19" t="n">
        <v>3500</v>
      </c>
      <c r="C29" s="20" t="n">
        <v>4000</v>
      </c>
      <c r="D29" s="21" t="n">
        <v>4500</v>
      </c>
      <c r="E29" s="233" t="inlineStr">
        <is>
          <t>escala Brasil</t>
        </is>
      </c>
    </row>
    <row r="30" ht="21.75" customHeight="1" s="134">
      <c r="A30" s="205" t="inlineStr">
        <is>
          <t>Conversão Free → Essencial (%)</t>
        </is>
      </c>
      <c r="B30" s="350" t="n">
        <v>0.07000000000000001</v>
      </c>
      <c r="C30" s="351" t="n">
        <v>0.08</v>
      </c>
      <c r="D30" s="352" t="n">
        <v>0.1</v>
      </c>
      <c r="E30" s="233" t="inlineStr">
        <is>
          <t>% base Free que vira assinante</t>
        </is>
      </c>
    </row>
    <row r="31" ht="21.75" customHeight="1" s="134">
      <c r="A31" s="234" t="inlineStr">
        <is>
          <t>Conversão Free → Autônoma (%)</t>
        </is>
      </c>
      <c r="B31" s="350" t="n">
        <v>0.03</v>
      </c>
      <c r="C31" s="351" t="n">
        <v>0.04</v>
      </c>
      <c r="D31" s="352" t="n">
        <v>0.05</v>
      </c>
      <c r="E31" s="233" t="inlineStr">
        <is>
          <t>% Essenciais que sobem</t>
        </is>
      </c>
    </row>
    <row r="32" ht="21.75" customHeight="1" s="134">
      <c r="A32" s="234" t="inlineStr">
        <is>
          <t>Conversão Free → Livre (%)</t>
        </is>
      </c>
      <c r="B32" s="350" t="n">
        <v>0.01</v>
      </c>
      <c r="C32" s="351" t="n">
        <v>0.02</v>
      </c>
      <c r="D32" s="352" t="n">
        <v>0.03</v>
      </c>
      <c r="E32" s="233" t="inlineStr">
        <is>
          <t>% Autônomas que sobem</t>
        </is>
      </c>
    </row>
    <row r="33" ht="21.75" customHeight="1" s="134">
      <c r="A33" s="205" t="inlineStr">
        <is>
          <t>Churn mensal Essencial</t>
        </is>
      </c>
      <c r="B33" s="350" t="n">
        <v>0.05</v>
      </c>
      <c r="C33" s="351" t="n">
        <v>0.05</v>
      </c>
      <c r="D33" s="352" t="n">
        <v>0.05</v>
      </c>
      <c r="E33" s="233" t="inlineStr">
        <is>
          <t>% cancela por mês</t>
        </is>
      </c>
    </row>
    <row r="34" ht="21.75" customHeight="1" s="134">
      <c r="A34" s="205" t="inlineStr">
        <is>
          <t>Churn mensal Autônoma</t>
        </is>
      </c>
      <c r="B34" s="350" t="n">
        <v>0.04</v>
      </c>
      <c r="C34" s="351" t="n">
        <v>0.04</v>
      </c>
      <c r="D34" s="352" t="n">
        <v>0.03</v>
      </c>
      <c r="E34" s="233" t="inlineStr">
        <is>
          <t>% cancela por mês · agente = lock-in</t>
        </is>
      </c>
    </row>
    <row r="35" ht="21.75" customHeight="1" s="134">
      <c r="A35" s="205" t="inlineStr">
        <is>
          <t>Churn mensal Livre</t>
        </is>
      </c>
      <c r="B35" s="350" t="n">
        <v>0.02</v>
      </c>
      <c r="C35" s="351" t="n">
        <v>0.02</v>
      </c>
      <c r="D35" s="352" t="n">
        <v>0.02</v>
      </c>
      <c r="E35" s="233" t="inlineStr">
        <is>
          <t>% cancela · 2 agentes = máximo lock-in</t>
        </is>
      </c>
    </row>
    <row r="36" ht="25.5" customHeight="1" s="134">
      <c r="A36" s="343" t="inlineStr">
        <is>
          <t>5 · CUSTO FIXO MENSAL (R$)</t>
        </is>
      </c>
      <c r="E36" s="135" t="n"/>
    </row>
    <row r="37" ht="21.75" customHeight="1" s="134">
      <c r="A37" s="205" t="inlineStr">
        <is>
          <t>Equipe Ano 1 (média/mês)</t>
        </is>
      </c>
      <c r="B37" s="353" t="n">
        <v>40000</v>
      </c>
      <c r="C37" s="354" t="n">
        <v>45000</v>
      </c>
      <c r="D37" s="355" t="n">
        <v>50000</v>
      </c>
      <c r="E37" s="233" t="inlineStr">
        <is>
          <t>devs+CS+pró-labore fundadores</t>
        </is>
      </c>
    </row>
    <row r="38" ht="21.75" customHeight="1" s="134">
      <c r="A38" s="205" t="inlineStr">
        <is>
          <t>Equipe Ano 2 (média/mês)</t>
        </is>
      </c>
      <c r="B38" s="353" t="n">
        <v>50000</v>
      </c>
      <c r="C38" s="354" t="n">
        <v>60000</v>
      </c>
      <c r="D38" s="355" t="n">
        <v>70000</v>
      </c>
      <c r="E38" s="233" t="inlineStr">
        <is>
          <t>expansão de time</t>
        </is>
      </c>
    </row>
    <row r="39" ht="21.75" customHeight="1" s="134">
      <c r="A39" s="205" t="inlineStr">
        <is>
          <t>Infraestrutura Ano 1</t>
        </is>
      </c>
      <c r="B39" s="353" t="n">
        <v>5000</v>
      </c>
      <c r="C39" s="354" t="n">
        <v>6000</v>
      </c>
      <c r="D39" s="355" t="n">
        <v>8000</v>
      </c>
      <c r="E39" s="233" t="inlineStr">
        <is>
          <t>servidores, DB, CDN</t>
        </is>
      </c>
    </row>
    <row r="40" ht="21.75" customHeight="1" s="134">
      <c r="A40" s="205" t="inlineStr">
        <is>
          <t>Infraestrutura Ano 2</t>
        </is>
      </c>
      <c r="B40" s="353" t="n">
        <v>7000</v>
      </c>
      <c r="C40" s="354" t="n">
        <v>8000</v>
      </c>
      <c r="D40" s="355" t="n">
        <v>10000</v>
      </c>
      <c r="E40" s="233" t="inlineStr">
        <is>
          <t>escala com base</t>
        </is>
      </c>
    </row>
    <row r="41" ht="21.75" customHeight="1" s="134">
      <c r="A41" s="205" t="inlineStr">
        <is>
          <t>Marketing base Ano 1</t>
        </is>
      </c>
      <c r="B41" s="353" t="n">
        <v>5000</v>
      </c>
      <c r="C41" s="354" t="n">
        <v>6000</v>
      </c>
      <c r="D41" s="355" t="n">
        <v>8000</v>
      </c>
      <c r="E41" s="233" t="inlineStr">
        <is>
          <t>além do paid do pre-seed</t>
        </is>
      </c>
    </row>
    <row r="42" ht="21.75" customHeight="1" s="134">
      <c r="A42" s="205" t="inlineStr">
        <is>
          <t>Marketing base Ano 2</t>
        </is>
      </c>
      <c r="B42" s="353" t="n">
        <v>8000</v>
      </c>
      <c r="C42" s="354" t="n">
        <v>10000</v>
      </c>
      <c r="D42" s="355" t="n">
        <v>15000</v>
      </c>
      <c r="E42" s="233" t="inlineStr">
        <is>
          <t>crescimento + paid</t>
        </is>
      </c>
    </row>
    <row r="43" ht="21.75" customHeight="1" s="134">
      <c r="A43" s="205" t="inlineStr">
        <is>
          <t>Outros (jurídico, contab, misc.)</t>
        </is>
      </c>
      <c r="B43" s="353" t="n">
        <v>5000</v>
      </c>
      <c r="C43" s="354" t="n">
        <v>6000</v>
      </c>
      <c r="D43" s="355" t="n">
        <v>8000</v>
      </c>
      <c r="E43" s="233" t="inlineStr">
        <is>
          <t>fixo administrativo</t>
        </is>
      </c>
    </row>
    <row r="44" ht="25.5" customHeight="1" s="134">
      <c r="A44" s="343" t="inlineStr">
        <is>
          <t>6 · UNIT ECONOMICS (CAC full-loaded)</t>
        </is>
      </c>
      <c r="E44" s="135" t="n"/>
    </row>
    <row r="45" ht="21.75" customHeight="1" s="134">
      <c r="A45" s="205" t="inlineStr">
        <is>
          <t>CAC real full-loaded (R$)</t>
        </is>
      </c>
      <c r="B45" s="353" t="n">
        <v>80</v>
      </c>
      <c r="C45" s="354" t="n">
        <v>60</v>
      </c>
      <c r="D45" s="355" t="n">
        <v>50</v>
      </c>
      <c r="E45" s="233" t="inlineStr">
        <is>
          <t>inclui mkt+CS+onboarding</t>
        </is>
      </c>
    </row>
    <row r="46" ht="21.75" customHeight="1" s="134">
      <c r="A46" s="205" t="inlineStr">
        <is>
          <t>CAC via paid apenas (R$)</t>
        </is>
      </c>
      <c r="B46" s="353" t="n">
        <v>27</v>
      </c>
      <c r="C46" s="356" t="n">
        <v>25</v>
      </c>
      <c r="D46" s="355" t="n">
        <v>20</v>
      </c>
      <c r="E46" s="233" t="inlineStr">
        <is>
          <t>referência apenas</t>
        </is>
      </c>
    </row>
    <row r="47" ht="21.75" customHeight="1" s="134">
      <c r="A47" s="205" t="inlineStr">
        <is>
          <t>% aquisição via paid</t>
        </is>
      </c>
      <c r="B47" s="350" t="n">
        <v>0.5</v>
      </c>
      <c r="C47" s="351" t="n">
        <v>0.45</v>
      </c>
      <c r="D47" s="352" t="n">
        <v>0.4</v>
      </c>
      <c r="E47" s="233" t="inlineStr">
        <is>
          <t>% novos pagantes via ads</t>
        </is>
      </c>
    </row>
    <row r="48" ht="25.5" customHeight="1" s="134">
      <c r="A48" s="343" t="inlineStr">
        <is>
          <t>7 · VALUATION M24 (sobre Receita Acumulada 24m)</t>
        </is>
      </c>
      <c r="E48" s="135" t="n"/>
    </row>
    <row r="49" ht="28" customHeight="1" s="134">
      <c r="A49" s="205" t="inlineStr">
        <is>
          <t>Múltiplo × Receita Acumulada 24m</t>
        </is>
      </c>
      <c r="B49" s="357" t="n">
        <v>3</v>
      </c>
      <c r="C49" s="358" t="n">
        <v>5</v>
      </c>
      <c r="D49" s="359" t="n">
        <v>7</v>
      </c>
      <c r="E49" s="233" t="inlineStr">
        <is>
          <t>× sobre 'Base Mensal'!Z12 (R$ 12,8M)</t>
        </is>
      </c>
    </row>
    <row r="50">
      <c r="A50" s="360" t="inlineStr">
        <is>
          <t>📐 Nota modelo: Conversão aplica-se ao pool elegível mensal (Free - já pagantes). Taxa ≠ '% dos leads mensais' mas '% da base elegível acumulada que converte por mês'. Calibrado para reproduzir ~4.400 pagantes no M12 (cenário Base).</t>
        </is>
      </c>
      <c r="B50" s="361" t="n"/>
      <c r="C50" s="361" t="n"/>
      <c r="D50" s="361" t="n"/>
      <c r="E50" s="362" t="n"/>
    </row>
    <row r="51">
      <c r="A51" s="133" t="n"/>
      <c r="E51" s="135" t="n"/>
    </row>
    <row r="52" ht="15" customHeight="1" s="134" thickBot="1">
      <c r="A52" s="363" t="n"/>
      <c r="B52" s="325" t="n"/>
      <c r="C52" s="325" t="n"/>
      <c r="D52" s="325" t="n"/>
      <c r="E52" s="251" t="n"/>
    </row>
    <row r="53" ht="16" customHeight="1" s="134" thickBot="1"/>
    <row r="54" ht="16" customHeight="1" s="134">
      <c r="A54" s="364" t="inlineStr">
        <is>
          <t>8 · CAPTAÇÃO ANJO (ÂNCORA: R$5M = 49% equity)</t>
        </is>
      </c>
      <c r="B54" s="49" t="n"/>
      <c r="C54" s="49" t="n"/>
      <c r="D54" s="50" t="n"/>
    </row>
    <row r="55">
      <c r="A55" s="246" t="inlineStr">
        <is>
          <t>Aporte máximo (R$)</t>
        </is>
      </c>
      <c r="B55" s="365" t="n">
        <v>2500000</v>
      </c>
      <c r="C55" s="247" t="inlineStr">
        <is>
          <t>← editável (simule aqui)</t>
        </is>
      </c>
      <c r="D55" s="135" t="n"/>
    </row>
    <row r="56">
      <c r="A56" s="246" t="inlineStr">
        <is>
          <t>% Equity oferecido</t>
        </is>
      </c>
      <c r="B56" s="366">
        <f>B55/5000000*0.49</f>
        <v/>
      </c>
      <c r="C56" s="248" t="inlineStr">
        <is>
          <t>= calculado (R$5M = 49%)</t>
        </is>
      </c>
      <c r="D56" s="135" t="n"/>
    </row>
    <row r="57">
      <c r="A57" s="246" t="inlineStr">
        <is>
          <t>Valuation pre-money implícito</t>
        </is>
      </c>
      <c r="B57" s="367">
        <f>B55/B56-B55</f>
        <v/>
      </c>
      <c r="C57" s="248" t="inlineStr">
        <is>
          <t>= Aporte/%Equity - Aporte</t>
        </is>
      </c>
      <c r="D57" s="135" t="n"/>
    </row>
    <row r="58" ht="16" customHeight="1" s="134" thickBot="1">
      <c r="A58" s="249" t="inlineStr">
        <is>
          <t>Valuation post-money implícito</t>
        </is>
      </c>
      <c r="B58" s="368">
        <f>B55/B56</f>
        <v/>
      </c>
      <c r="C58" s="250" t="inlineStr">
        <is>
          <t>= Aporte / %Equity</t>
        </is>
      </c>
      <c r="D58" s="251" t="n"/>
    </row>
    <row r="59" ht="16" customHeight="1" s="134" thickBot="1"/>
    <row r="60" ht="16" customHeight="1" s="134">
      <c r="A60" s="364" t="inlineStr">
        <is>
          <t>9 · PARÂMETROS DO MODELO</t>
        </is>
      </c>
      <c r="B60" s="49" t="n"/>
      <c r="C60" s="49" t="n"/>
      <c r="D60" s="49" t="n"/>
      <c r="E60" s="50" t="n"/>
    </row>
    <row r="61">
      <c r="A61" s="246" t="inlineStr">
        <is>
          <t>Free cadastradas no M1 (semente)</t>
        </is>
      </c>
      <c r="B61" s="64" t="n">
        <v>4000</v>
      </c>
      <c r="C61" s="247" t="inlineStr">
        <is>
          <t>← lista de espera M1</t>
        </is>
      </c>
      <c r="E61" s="135" t="n"/>
    </row>
    <row r="62">
      <c r="A62" s="246" t="inlineStr">
        <is>
          <t>Floor YoY · Conservador</t>
        </is>
      </c>
      <c r="B62" s="65" t="n">
        <v>0.3</v>
      </c>
      <c r="C62" s="247" t="inlineStr">
        <is>
          <t>← piso ajuste valuation</t>
        </is>
      </c>
      <c r="E62" s="135" t="n"/>
    </row>
    <row r="63">
      <c r="A63" s="246" t="inlineStr">
        <is>
          <t>Floor YoY · Base</t>
        </is>
      </c>
      <c r="B63" s="65" t="n">
        <v>0.4</v>
      </c>
      <c r="C63" s="247" t="inlineStr">
        <is>
          <t>← piso ajuste valuation</t>
        </is>
      </c>
      <c r="E63" s="135" t="n"/>
    </row>
    <row r="64">
      <c r="A64" s="246" t="inlineStr">
        <is>
          <t>Floor YoY · Otimista</t>
        </is>
      </c>
      <c r="B64" s="65" t="n">
        <v>0.6</v>
      </c>
      <c r="C64" s="247" t="inlineStr">
        <is>
          <t>← piso ajuste valuation</t>
        </is>
      </c>
      <c r="E64" s="135" t="n"/>
    </row>
    <row r="65">
      <c r="A65" s="246" t="inlineStr">
        <is>
          <t>Divisor YoY (suavização)</t>
        </is>
      </c>
      <c r="B65" s="66" t="n">
        <v>20</v>
      </c>
      <c r="C65" s="247" t="inlineStr">
        <is>
          <t>← maior = ajuste mais suave</t>
        </is>
      </c>
      <c r="E65" s="135" t="n"/>
    </row>
    <row r="66">
      <c r="A66" s="246" t="inlineStr">
        <is>
          <t>Taxa de desconto mensal (NPV/IRR)</t>
        </is>
      </c>
      <c r="B66" s="67" t="n">
        <v>0.018</v>
      </c>
      <c r="C66" s="369">
        <f>(1+B66)^12-1</f>
        <v/>
      </c>
      <c r="D66" s="247" t="inlineStr">
        <is>
          <t>← anualizada</t>
        </is>
      </c>
      <c r="E66" s="135" t="n"/>
    </row>
    <row r="67" ht="16" customHeight="1" s="134" thickBot="1">
      <c r="A67" s="249" t="inlineStr">
        <is>
          <t>Alíquota imposto sobre receita</t>
        </is>
      </c>
      <c r="B67" s="370" t="n">
        <v>0.12</v>
      </c>
      <c r="C67" s="371" t="n">
        <v>0.12</v>
      </c>
      <c r="D67" s="372" t="n">
        <v>0.15</v>
      </c>
      <c r="E67" s="252" t="inlineStr">
        <is>
          <t xml:space="preserve">← Simples Nacional 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F85"/>
  <mergeCells count="11">
    <mergeCell ref="A4:E4"/>
    <mergeCell ref="A48:E48"/>
    <mergeCell ref="A60:E60"/>
    <mergeCell ref="A54:D54"/>
    <mergeCell ref="A50:E52"/>
    <mergeCell ref="A1:E1"/>
    <mergeCell ref="A36:E36"/>
    <mergeCell ref="A8:E8"/>
    <mergeCell ref="A44:E44"/>
    <mergeCell ref="A13:E13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K26"/>
  <sheetViews>
    <sheetView showGridLines="0" zoomScale="150" zoomScaleNormal="150"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A10" sqref="A10:Z10"/>
    </sheetView>
  </sheetViews>
  <sheetFormatPr baseColWidth="10" defaultColWidth="8.6640625" defaultRowHeight="15"/>
  <cols>
    <col width="38" customWidth="1" style="134" min="1" max="1"/>
    <col width="8" customWidth="1" style="134" min="2" max="2"/>
    <col width="12" customWidth="1" style="134" min="3" max="26"/>
    <col width="12" customWidth="1" style="153" min="27" max="27"/>
    <col width="8.6640625" customWidth="1" style="153" min="28" max="531"/>
  </cols>
  <sheetData>
    <row r="1" ht="36" customHeight="1" s="134">
      <c r="A1" s="253" t="inlineStr">
        <is>
          <t>AutoNoma · Base Mensal · 24 Meses · Fórmulas Dinâmicas · Cenário Controlado por 🔧 Cenário Ativo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5" t="n"/>
    </row>
    <row r="2" ht="21.75" customHeight="1" s="134">
      <c r="A2" s="259" t="inlineStr">
        <is>
          <t>Cenário ativo:</t>
        </is>
      </c>
      <c r="C2" s="258">
        <f>'🔧 Cenário Ativo'!B2</f>
        <v/>
      </c>
      <c r="Z2" s="135" t="n"/>
    </row>
    <row r="3" ht="24" customHeight="1" s="134">
      <c r="A3" s="259" t="inlineStr">
        <is>
          <t>Indicador</t>
        </is>
      </c>
      <c r="B3" s="260" t="inlineStr">
        <is>
          <t>Unid.</t>
        </is>
      </c>
      <c r="C3" s="261" t="inlineStr">
        <is>
          <t>M01</t>
        </is>
      </c>
      <c r="D3" s="261" t="inlineStr">
        <is>
          <t>M02</t>
        </is>
      </c>
      <c r="E3" s="261" t="inlineStr">
        <is>
          <t>M03</t>
        </is>
      </c>
      <c r="F3" s="261" t="inlineStr">
        <is>
          <t>M04</t>
        </is>
      </c>
      <c r="G3" s="261" t="inlineStr">
        <is>
          <t>M05</t>
        </is>
      </c>
      <c r="H3" s="262" t="inlineStr">
        <is>
          <t xml:space="preserve">M06 </t>
        </is>
      </c>
      <c r="I3" s="261" t="inlineStr">
        <is>
          <t>M07</t>
        </is>
      </c>
      <c r="J3" s="261" t="inlineStr">
        <is>
          <t>M08</t>
        </is>
      </c>
      <c r="K3" s="261" t="inlineStr">
        <is>
          <t>M09</t>
        </is>
      </c>
      <c r="L3" s="261" t="inlineStr">
        <is>
          <t>M10</t>
        </is>
      </c>
      <c r="M3" s="262" t="inlineStr">
        <is>
          <t xml:space="preserve">M11 </t>
        </is>
      </c>
      <c r="N3" s="263" t="inlineStr">
        <is>
          <t>M12 ★</t>
        </is>
      </c>
      <c r="O3" s="261" t="inlineStr">
        <is>
          <t>M13</t>
        </is>
      </c>
      <c r="P3" s="261" t="inlineStr">
        <is>
          <t>M14</t>
        </is>
      </c>
      <c r="Q3" s="261" t="inlineStr">
        <is>
          <t>M15</t>
        </is>
      </c>
      <c r="R3" s="261" t="inlineStr">
        <is>
          <t>M16</t>
        </is>
      </c>
      <c r="S3" s="261" t="inlineStr">
        <is>
          <t>M17</t>
        </is>
      </c>
      <c r="T3" s="261" t="inlineStr">
        <is>
          <t xml:space="preserve">M18 </t>
        </is>
      </c>
      <c r="U3" s="261" t="inlineStr">
        <is>
          <t>M19</t>
        </is>
      </c>
      <c r="V3" s="261" t="inlineStr">
        <is>
          <t>M20</t>
        </is>
      </c>
      <c r="W3" s="261" t="inlineStr">
        <is>
          <t>M21</t>
        </is>
      </c>
      <c r="X3" s="261" t="inlineStr">
        <is>
          <t>M22</t>
        </is>
      </c>
      <c r="Y3" s="261" t="inlineStr">
        <is>
          <t>M23</t>
        </is>
      </c>
      <c r="Z3" s="264" t="inlineStr">
        <is>
          <t>M24 ★</t>
        </is>
      </c>
    </row>
    <row r="4" ht="24" customHeight="1" s="134">
      <c r="A4" s="373" t="inlineStr">
        <is>
          <t>USUÁRIOS</t>
        </is>
      </c>
      <c r="Z4" s="135" t="n"/>
    </row>
    <row r="5" ht="19.5" customHeight="1" s="134">
      <c r="A5" s="205" t="inlineStr">
        <is>
          <t>Free · Cadastros (Sonnet 40 int/mês)</t>
        </is>
      </c>
      <c r="B5" s="268" t="inlineStr">
        <is>
          <t>usr</t>
        </is>
      </c>
      <c r="C5" s="25">
        <f>'🎛️ Premissas'!B61</f>
        <v/>
      </c>
      <c r="D5" s="31">
        <f>C5+'🔧 Cenário Ativo'!$B$27</f>
        <v/>
      </c>
      <c r="E5" s="31">
        <f>D5+'🔧 Cenário Ativo'!$B$27</f>
        <v/>
      </c>
      <c r="F5" s="31">
        <f>E5+'🔧 Cenário Ativo'!$B$27</f>
        <v/>
      </c>
      <c r="G5" s="31">
        <f>F5+'🔧 Cenário Ativo'!$B$27</f>
        <v/>
      </c>
      <c r="H5" s="31">
        <f>G5+'🔧 Cenário Ativo'!$B$27</f>
        <v/>
      </c>
      <c r="I5" s="31">
        <f>H5+'🔧 Cenário Ativo'!$B$27</f>
        <v/>
      </c>
      <c r="J5" s="31">
        <f>I5+'🔧 Cenário Ativo'!$B$27</f>
        <v/>
      </c>
      <c r="K5" s="31">
        <f>J5+'🔧 Cenário Ativo'!$B$27</f>
        <v/>
      </c>
      <c r="L5" s="31">
        <f>K5+'🔧 Cenário Ativo'!$B$27</f>
        <v/>
      </c>
      <c r="M5" s="31">
        <f>L5+'🔧 Cenário Ativo'!$B$27</f>
        <v/>
      </c>
      <c r="N5" s="31">
        <f>M5+'🔧 Cenário Ativo'!$B$27</f>
        <v/>
      </c>
      <c r="O5" s="31">
        <f>N5+'🔧 Cenário Ativo'!$B$28</f>
        <v/>
      </c>
      <c r="P5" s="31">
        <f>O5+'🔧 Cenário Ativo'!$B$28</f>
        <v/>
      </c>
      <c r="Q5" s="31">
        <f>P5+'🔧 Cenário Ativo'!$B$28</f>
        <v/>
      </c>
      <c r="R5" s="31">
        <f>Q5+'🔧 Cenário Ativo'!$B$28</f>
        <v/>
      </c>
      <c r="S5" s="31">
        <f>R5+'🔧 Cenário Ativo'!$B$28</f>
        <v/>
      </c>
      <c r="T5" s="31">
        <f>S5+'🔧 Cenário Ativo'!$B$28</f>
        <v/>
      </c>
      <c r="U5" s="31">
        <f>T5+'🔧 Cenário Ativo'!$B$28</f>
        <v/>
      </c>
      <c r="V5" s="31">
        <f>U5+'🔧 Cenário Ativo'!$B$28</f>
        <v/>
      </c>
      <c r="W5" s="31">
        <f>V5+'🔧 Cenário Ativo'!$B$28</f>
        <v/>
      </c>
      <c r="X5" s="31">
        <f>W5+'🔧 Cenário Ativo'!$B$28</f>
        <v/>
      </c>
      <c r="Y5" s="31">
        <f>X5+'🔧 Cenário Ativo'!$B$28</f>
        <v/>
      </c>
      <c r="Z5" s="72">
        <f>Y5+'🔧 Cenário Ativo'!$B$28</f>
        <v/>
      </c>
    </row>
    <row r="6" ht="19.5" customHeight="1" s="134">
      <c r="A6" s="205" t="inlineStr">
        <is>
          <t>Essencial · Assinantes</t>
        </is>
      </c>
      <c r="B6" s="268" t="inlineStr">
        <is>
          <t>ass.</t>
        </is>
      </c>
      <c r="C6" s="25">
        <f>ROUND(C5*'🔧 Cenário Ativo'!$B$29,0)</f>
        <v/>
      </c>
      <c r="D6" s="25">
        <f>ROUND(D5*'🔧 Cenário Ativo'!$B$29,0)</f>
        <v/>
      </c>
      <c r="E6" s="25">
        <f>ROUND(E5*'🔧 Cenário Ativo'!$B$29,0)</f>
        <v/>
      </c>
      <c r="F6" s="25">
        <f>ROUND(F5*'🔧 Cenário Ativo'!$B$29,0)</f>
        <v/>
      </c>
      <c r="G6" s="25">
        <f>ROUND(G5*'🔧 Cenário Ativo'!$B$29,0)</f>
        <v/>
      </c>
      <c r="H6" s="25">
        <f>ROUND(H5*'🔧 Cenário Ativo'!$B$29,0)</f>
        <v/>
      </c>
      <c r="I6" s="25">
        <f>ROUND(I5*'🔧 Cenário Ativo'!$B$29,0)</f>
        <v/>
      </c>
      <c r="J6" s="25">
        <f>ROUND(J5*'🔧 Cenário Ativo'!$B$29,0)</f>
        <v/>
      </c>
      <c r="K6" s="25">
        <f>ROUND(K5*'🔧 Cenário Ativo'!$B$29,0)</f>
        <v/>
      </c>
      <c r="L6" s="25">
        <f>ROUND(L5*'🔧 Cenário Ativo'!$B$29,0)</f>
        <v/>
      </c>
      <c r="M6" s="25">
        <f>ROUND(M5*'🔧 Cenário Ativo'!$B$29,0)</f>
        <v/>
      </c>
      <c r="N6" s="25">
        <f>ROUND(N5*'🔧 Cenário Ativo'!$B$29,0)</f>
        <v/>
      </c>
      <c r="O6" s="25">
        <f>ROUND(O5*'🔧 Cenário Ativo'!$B$29,0)</f>
        <v/>
      </c>
      <c r="P6" s="25">
        <f>ROUND(P5*'🔧 Cenário Ativo'!$B$29,0)</f>
        <v/>
      </c>
      <c r="Q6" s="25">
        <f>ROUND(Q5*'🔧 Cenário Ativo'!$B$29,0)</f>
        <v/>
      </c>
      <c r="R6" s="25">
        <f>ROUND(Q6*(1-'🔧 Cenário Ativo'!B32)+MAX(0,R5-Q9)*'🔧 Cenário Ativo'!B29,0)</f>
        <v/>
      </c>
      <c r="S6" s="25">
        <f>ROUND(R6*(1-'🔧 Cenário Ativo'!B32)+MAX(0,S5-R9)*'🔧 Cenário Ativo'!B29,0)</f>
        <v/>
      </c>
      <c r="T6" s="25">
        <f>ROUND(S6*(1-'🔧 Cenário Ativo'!B32)+MAX(0,T5-S9)*'🔧 Cenário Ativo'!B29,0)</f>
        <v/>
      </c>
      <c r="U6" s="25">
        <f>ROUND(T6*(1-'🔧 Cenário Ativo'!B32)+MAX(0,U5-T9)*'🔧 Cenário Ativo'!B29,0)</f>
        <v/>
      </c>
      <c r="V6" s="25">
        <f>ROUND(U6*(1-'🔧 Cenário Ativo'!B32)+MAX(0,V5-U9)*'🔧 Cenário Ativo'!B29,0)</f>
        <v/>
      </c>
      <c r="W6" s="25">
        <f>ROUND(V6*(1-'🔧 Cenário Ativo'!B32)+MAX(0,W5-V9)*'🔧 Cenário Ativo'!B29,0)</f>
        <v/>
      </c>
      <c r="X6" s="25">
        <f>ROUND(W6*(1-'🔧 Cenário Ativo'!B32)+MAX(0,X5-W9)*'🔧 Cenário Ativo'!B29,0)</f>
        <v/>
      </c>
      <c r="Y6" s="25">
        <f>ROUND(X6*(1-'🔧 Cenário Ativo'!B32)+MAX(0,Y5-X9)*'🔧 Cenário Ativo'!B29,0)</f>
        <v/>
      </c>
      <c r="Z6" s="73">
        <f>ROUND(Y6*(1-'🔧 Cenário Ativo'!B32)+MAX(0,Z5-Y9)*'🔧 Cenário Ativo'!B29,0)</f>
        <v/>
      </c>
    </row>
    <row r="7" ht="19.5" customHeight="1" s="134">
      <c r="A7" s="205" t="inlineStr">
        <is>
          <t>Autônoma · Assinantes</t>
        </is>
      </c>
      <c r="B7" s="268" t="inlineStr">
        <is>
          <t>ass.</t>
        </is>
      </c>
      <c r="C7" s="25">
        <f>ROUND(C5*'🔧 Cenário Ativo'!$B$30,0)</f>
        <v/>
      </c>
      <c r="D7" s="25">
        <f>ROUND(D5*'🔧 Cenário Ativo'!$B$30,0)</f>
        <v/>
      </c>
      <c r="E7" s="25">
        <f>ROUND(E5*'🔧 Cenário Ativo'!$B$30,0)</f>
        <v/>
      </c>
      <c r="F7" s="25">
        <f>ROUND(F5*'🔧 Cenário Ativo'!$B$30,0)</f>
        <v/>
      </c>
      <c r="G7" s="25">
        <f>ROUND(G5*'🔧 Cenário Ativo'!$B$30,0)</f>
        <v/>
      </c>
      <c r="H7" s="25">
        <f>ROUND(H5*'🔧 Cenário Ativo'!$B$30,0)</f>
        <v/>
      </c>
      <c r="I7" s="25">
        <f>ROUND(I5*'🔧 Cenário Ativo'!$B$30,0)</f>
        <v/>
      </c>
      <c r="J7" s="25">
        <f>ROUND(J5*'🔧 Cenário Ativo'!$B$30,0)</f>
        <v/>
      </c>
      <c r="K7" s="25">
        <f>ROUND(K5*'🔧 Cenário Ativo'!$B$30,0)</f>
        <v/>
      </c>
      <c r="L7" s="25">
        <f>ROUND(L5*'🔧 Cenário Ativo'!$B$30,0)</f>
        <v/>
      </c>
      <c r="M7" s="25">
        <f>ROUND(M5*'🔧 Cenário Ativo'!$B$30,0)</f>
        <v/>
      </c>
      <c r="N7" s="25">
        <f>ROUND(N5*'🔧 Cenário Ativo'!$B$30,0)</f>
        <v/>
      </c>
      <c r="O7" s="25">
        <f>ROUND(O5*'🔧 Cenário Ativo'!$B$30,0)</f>
        <v/>
      </c>
      <c r="P7" s="25">
        <f>ROUND(P5*'🔧 Cenário Ativo'!$B$30,0)</f>
        <v/>
      </c>
      <c r="Q7" s="25">
        <f>ROUND(Q5*'🔧 Cenário Ativo'!$B$30,0)</f>
        <v/>
      </c>
      <c r="R7" s="25">
        <f>ROUND(Q7*(1-'🔧 Cenário Ativo'!B33)+MAX(0,R6-Q7-Q8)*'🔧 Cenário Ativo'!B30,0)</f>
        <v/>
      </c>
      <c r="S7" s="25">
        <f>ROUND(R7*(1-'🔧 Cenário Ativo'!B33)+MAX(0,S6-R7-R8)*'🔧 Cenário Ativo'!B30,0)</f>
        <v/>
      </c>
      <c r="T7" s="25">
        <f>ROUND(S7*(1-'🔧 Cenário Ativo'!B33)+MAX(0,T6-S7-S8)*'🔧 Cenário Ativo'!B30,0)</f>
        <v/>
      </c>
      <c r="U7" s="25">
        <f>ROUND(T7*(1-'🔧 Cenário Ativo'!B33)+MAX(0,U6-T7-T8)*'🔧 Cenário Ativo'!B30,0)</f>
        <v/>
      </c>
      <c r="V7" s="25">
        <f>ROUND(U7*(1-'🔧 Cenário Ativo'!B33)+MAX(0,V6-U7-U8)*'🔧 Cenário Ativo'!B30,0)</f>
        <v/>
      </c>
      <c r="W7" s="25">
        <f>ROUND(V7*(1-'🔧 Cenário Ativo'!B33)+MAX(0,W6-V7-V8)*'🔧 Cenário Ativo'!B30,0)</f>
        <v/>
      </c>
      <c r="X7" s="25">
        <f>ROUND(W7*(1-'🔧 Cenário Ativo'!B33)+MAX(0,X6-W7-W8)*'🔧 Cenário Ativo'!B30,0)</f>
        <v/>
      </c>
      <c r="Y7" s="25">
        <f>ROUND(X7*(1-'🔧 Cenário Ativo'!B33)+MAX(0,Y6-X7-X8)*'🔧 Cenário Ativo'!B30,0)</f>
        <v/>
      </c>
      <c r="Z7" s="73">
        <f>ROUND(Y7*(1-'🔧 Cenário Ativo'!B33)+MAX(0,Z6-Y7-Y8)*'🔧 Cenário Ativo'!B30,0)</f>
        <v/>
      </c>
    </row>
    <row r="8" ht="19.5" customHeight="1" s="134">
      <c r="A8" s="205" t="inlineStr">
        <is>
          <t>Livre · Assinantes</t>
        </is>
      </c>
      <c r="B8" s="268" t="inlineStr">
        <is>
          <t>ass.</t>
        </is>
      </c>
      <c r="C8" s="25">
        <f>ROUND(C5*'🔧 Cenário Ativo'!$B$31,0)</f>
        <v/>
      </c>
      <c r="D8" s="25">
        <f>ROUND(D5*'🔧 Cenário Ativo'!$B$31,0)</f>
        <v/>
      </c>
      <c r="E8" s="25">
        <f>ROUND(E5*'🔧 Cenário Ativo'!$B$31,0)</f>
        <v/>
      </c>
      <c r="F8" s="25">
        <f>ROUND(F5*'🔧 Cenário Ativo'!$B$31,0)</f>
        <v/>
      </c>
      <c r="G8" s="25">
        <f>ROUND(G5*'🔧 Cenário Ativo'!$B$31,0)</f>
        <v/>
      </c>
      <c r="H8" s="25">
        <f>ROUND(H5*'🔧 Cenário Ativo'!$B$31,0)</f>
        <v/>
      </c>
      <c r="I8" s="25">
        <f>ROUND(I5*'🔧 Cenário Ativo'!$B$31,0)</f>
        <v/>
      </c>
      <c r="J8" s="25">
        <f>ROUND(J5*'🔧 Cenário Ativo'!$B$31,0)</f>
        <v/>
      </c>
      <c r="K8" s="25">
        <f>ROUND(K5*'🔧 Cenário Ativo'!$B$31,0)</f>
        <v/>
      </c>
      <c r="L8" s="25">
        <f>ROUND(L5*'🔧 Cenário Ativo'!$B$31,0)</f>
        <v/>
      </c>
      <c r="M8" s="25">
        <f>ROUND(M5*'🔧 Cenário Ativo'!$B$31,0)</f>
        <v/>
      </c>
      <c r="N8" s="25">
        <f>ROUND(N5*'🔧 Cenário Ativo'!$B$31,0)</f>
        <v/>
      </c>
      <c r="O8" s="25">
        <f>ROUND(O5*'🔧 Cenário Ativo'!$B$31,0)</f>
        <v/>
      </c>
      <c r="P8" s="25">
        <f>ROUND(P5*'🔧 Cenário Ativo'!$B$31,0)</f>
        <v/>
      </c>
      <c r="Q8" s="25">
        <f>ROUND(Q5*'🔧 Cenário Ativo'!$B$31,0)</f>
        <v/>
      </c>
      <c r="R8" s="25">
        <f>ROUND(Q8*(1-'🔧 Cenário Ativo'!B34)+MAX(0,R7-Q8)*'🔧 Cenário Ativo'!B31,0)</f>
        <v/>
      </c>
      <c r="S8" s="25">
        <f>ROUND(R8*(1-'🔧 Cenário Ativo'!B34)+MAX(0,S7-R8)*'🔧 Cenário Ativo'!B31,0)</f>
        <v/>
      </c>
      <c r="T8" s="25">
        <f>ROUND(S8*(1-'🔧 Cenário Ativo'!B34)+MAX(0,T7-S8)*'🔧 Cenário Ativo'!B31,0)</f>
        <v/>
      </c>
      <c r="U8" s="25">
        <f>ROUND(T8*(1-'🔧 Cenário Ativo'!B34)+MAX(0,U7-T8)*'🔧 Cenário Ativo'!B31,0)</f>
        <v/>
      </c>
      <c r="V8" s="25">
        <f>ROUND(U8*(1-'🔧 Cenário Ativo'!B34)+MAX(0,V7-U8)*'🔧 Cenário Ativo'!B31,0)</f>
        <v/>
      </c>
      <c r="W8" s="25">
        <f>ROUND(V8*(1-'🔧 Cenário Ativo'!B34)+MAX(0,W7-V8)*'🔧 Cenário Ativo'!B31,0)</f>
        <v/>
      </c>
      <c r="X8" s="25">
        <f>ROUND(W8*(1-'🔧 Cenário Ativo'!B34)+MAX(0,X7-W8)*'🔧 Cenário Ativo'!B31,0)</f>
        <v/>
      </c>
      <c r="Y8" s="25">
        <f>ROUND(X8*(1-'🔧 Cenário Ativo'!B34)+MAX(0,Y7-X8)*'🔧 Cenário Ativo'!B31,0)</f>
        <v/>
      </c>
      <c r="Z8" s="73">
        <f>ROUND(Y8*(1-'🔧 Cenário Ativo'!B34)+MAX(0,Z7-Y8)*'🔧 Cenário Ativo'!B31,0)</f>
        <v/>
      </c>
    </row>
    <row r="9" ht="19.5" customHeight="1" s="134">
      <c r="A9" s="269" t="inlineStr">
        <is>
          <t>TOTAL PAGANTES</t>
        </is>
      </c>
      <c r="B9" s="268" t="inlineStr">
        <is>
          <t>ass.</t>
        </is>
      </c>
      <c r="C9" s="26">
        <f>SUM(C6:C8)</f>
        <v/>
      </c>
      <c r="D9" s="26">
        <f>SUM(D6:D8)</f>
        <v/>
      </c>
      <c r="E9" s="26">
        <f>SUM(E6:E8)</f>
        <v/>
      </c>
      <c r="F9" s="26">
        <f>SUM(F6:F8)</f>
        <v/>
      </c>
      <c r="G9" s="26">
        <f>SUM(G6:G8)</f>
        <v/>
      </c>
      <c r="H9" s="26">
        <f>SUM(H6:H8)</f>
        <v/>
      </c>
      <c r="I9" s="26">
        <f>SUM(I6:I8)</f>
        <v/>
      </c>
      <c r="J9" s="26">
        <f>SUM(J6:J8)</f>
        <v/>
      </c>
      <c r="K9" s="26">
        <f>SUM(K6:K8)</f>
        <v/>
      </c>
      <c r="L9" s="26">
        <f>SUM(L6:L8)</f>
        <v/>
      </c>
      <c r="M9" s="26">
        <f>SUM(M6:M8)</f>
        <v/>
      </c>
      <c r="N9" s="26">
        <f>SUM(N6:N8)</f>
        <v/>
      </c>
      <c r="O9" s="26">
        <f>SUM(O6:O8)</f>
        <v/>
      </c>
      <c r="P9" s="26">
        <f>SUM(P6:P8)</f>
        <v/>
      </c>
      <c r="Q9" s="26">
        <f>SUM(Q6:Q8)</f>
        <v/>
      </c>
      <c r="R9" s="26">
        <f>SUM(R6:R8)</f>
        <v/>
      </c>
      <c r="S9" s="26">
        <f>SUM(S6:S8)</f>
        <v/>
      </c>
      <c r="T9" s="26">
        <f>SUM(T6:T8)</f>
        <v/>
      </c>
      <c r="U9" s="26">
        <f>SUM(U6:U8)</f>
        <v/>
      </c>
      <c r="V9" s="26">
        <f>SUM(V6:V8)</f>
        <v/>
      </c>
      <c r="W9" s="26">
        <f>SUM(W6:W8)</f>
        <v/>
      </c>
      <c r="X9" s="26">
        <f>SUM(X6:X8)</f>
        <v/>
      </c>
      <c r="Y9" s="26">
        <f>SUM(Y6:Y8)</f>
        <v/>
      </c>
      <c r="Z9" s="74">
        <f>SUM(Z6:Z8)</f>
        <v/>
      </c>
    </row>
    <row r="10" ht="24" customHeight="1" s="134">
      <c r="A10" s="374" t="inlineStr">
        <is>
          <t>RECEITA</t>
        </is>
      </c>
      <c r="Z10" s="135" t="n"/>
    </row>
    <row r="11" ht="19.5" customHeight="1" s="134">
      <c r="A11" s="205" t="inlineStr">
        <is>
          <t>MRR MENSAL</t>
        </is>
      </c>
      <c r="B11" s="268" t="inlineStr">
        <is>
          <t>R$</t>
        </is>
      </c>
      <c r="C11" s="375">
        <f>C6*'🔧 Cenário Ativo'!B6+C7*'🔧 Cenário Ativo'!B7+C8*'🔧 Cenário Ativo'!B8</f>
        <v/>
      </c>
      <c r="D11" s="375">
        <f>D6*'🔧 Cenário Ativo'!B6+D7*'🔧 Cenário Ativo'!B7+D8*'🔧 Cenário Ativo'!B8</f>
        <v/>
      </c>
      <c r="E11" s="375">
        <f>E6*'🔧 Cenário Ativo'!B6+E7*'🔧 Cenário Ativo'!B7+E8*'🔧 Cenário Ativo'!B8</f>
        <v/>
      </c>
      <c r="F11" s="375">
        <f>F6*'🔧 Cenário Ativo'!B6+F7*'🔧 Cenário Ativo'!B7+F8*'🔧 Cenário Ativo'!B8</f>
        <v/>
      </c>
      <c r="G11" s="375">
        <f>G6*'🔧 Cenário Ativo'!B6+G7*'🔧 Cenário Ativo'!B7+G8*'🔧 Cenário Ativo'!B8</f>
        <v/>
      </c>
      <c r="H11" s="375">
        <f>H6*'🔧 Cenário Ativo'!B6+H7*'🔧 Cenário Ativo'!B7+H8*'🔧 Cenário Ativo'!B8</f>
        <v/>
      </c>
      <c r="I11" s="375">
        <f>I6*'🔧 Cenário Ativo'!B6+I7*'🔧 Cenário Ativo'!B7+I8*'🔧 Cenário Ativo'!B8</f>
        <v/>
      </c>
      <c r="J11" s="375">
        <f>J6*'🔧 Cenário Ativo'!B6+J7*'🔧 Cenário Ativo'!B7+J8*'🔧 Cenário Ativo'!B8</f>
        <v/>
      </c>
      <c r="K11" s="375">
        <f>K6*'🔧 Cenário Ativo'!B6+K7*'🔧 Cenário Ativo'!B7+K8*'🔧 Cenário Ativo'!B8</f>
        <v/>
      </c>
      <c r="L11" s="375">
        <f>L6*'🔧 Cenário Ativo'!B6+L7*'🔧 Cenário Ativo'!B7+L8*'🔧 Cenário Ativo'!B8</f>
        <v/>
      </c>
      <c r="M11" s="375">
        <f>M6*'🔧 Cenário Ativo'!B6+M7*'🔧 Cenário Ativo'!B7+M8*'🔧 Cenário Ativo'!B8</f>
        <v/>
      </c>
      <c r="N11" s="375">
        <f>N6*'🔧 Cenário Ativo'!B6+N7*'🔧 Cenário Ativo'!B7+N8*'🔧 Cenário Ativo'!B8</f>
        <v/>
      </c>
      <c r="O11" s="375">
        <f>O6*'🔧 Cenário Ativo'!B6+O7*'🔧 Cenário Ativo'!B7+O8*'🔧 Cenário Ativo'!B8</f>
        <v/>
      </c>
      <c r="P11" s="375">
        <f>P6*'🔧 Cenário Ativo'!B6+P7*'🔧 Cenário Ativo'!B7+P8*'🔧 Cenário Ativo'!B8</f>
        <v/>
      </c>
      <c r="Q11" s="375">
        <f>Q6*'🔧 Cenário Ativo'!B6+Q7*'🔧 Cenário Ativo'!B7+Q8*'🔧 Cenário Ativo'!B8</f>
        <v/>
      </c>
      <c r="R11" s="375">
        <f>R6*'🔧 Cenário Ativo'!B6+R7*'🔧 Cenário Ativo'!B7+R8*'🔧 Cenário Ativo'!B8</f>
        <v/>
      </c>
      <c r="S11" s="375">
        <f>S6*'🔧 Cenário Ativo'!B6+S7*'🔧 Cenário Ativo'!B7+S8*'🔧 Cenário Ativo'!B8</f>
        <v/>
      </c>
      <c r="T11" s="375">
        <f>T6*'🔧 Cenário Ativo'!B6+T7*'🔧 Cenário Ativo'!B7+T8*'🔧 Cenário Ativo'!B8</f>
        <v/>
      </c>
      <c r="U11" s="375">
        <f>U6*'🔧 Cenário Ativo'!B6+U7*'🔧 Cenário Ativo'!B7+U8*'🔧 Cenário Ativo'!B8</f>
        <v/>
      </c>
      <c r="V11" s="375">
        <f>V6*'🔧 Cenário Ativo'!B6+V7*'🔧 Cenário Ativo'!B7+V8*'🔧 Cenário Ativo'!B8</f>
        <v/>
      </c>
      <c r="W11" s="375">
        <f>W6*'🔧 Cenário Ativo'!B6+W7*'🔧 Cenário Ativo'!B7+W8*'🔧 Cenário Ativo'!B8</f>
        <v/>
      </c>
      <c r="X11" s="375">
        <f>X6*'🔧 Cenário Ativo'!B6+X7*'🔧 Cenário Ativo'!B7+X8*'🔧 Cenário Ativo'!B8</f>
        <v/>
      </c>
      <c r="Y11" s="375">
        <f>Y6*'🔧 Cenário Ativo'!B6+Y7*'🔧 Cenário Ativo'!B7+Y8*'🔧 Cenário Ativo'!B8</f>
        <v/>
      </c>
      <c r="Z11" s="376">
        <f>Z6*'🔧 Cenário Ativo'!B6+Z7*'🔧 Cenário Ativo'!B7+Z8*'🔧 Cenário Ativo'!B8</f>
        <v/>
      </c>
    </row>
    <row r="12" ht="19.5" customHeight="1" s="134">
      <c r="A12" s="205" t="inlineStr">
        <is>
          <t>MRR ACUMULADO</t>
        </is>
      </c>
      <c r="B12" s="268" t="inlineStr">
        <is>
          <t>R$</t>
        </is>
      </c>
      <c r="C12" s="377">
        <f>C11</f>
        <v/>
      </c>
      <c r="D12" s="377">
        <f>C12+D11</f>
        <v/>
      </c>
      <c r="E12" s="377">
        <f>D12+E11</f>
        <v/>
      </c>
      <c r="F12" s="377">
        <f>E12+F11</f>
        <v/>
      </c>
      <c r="G12" s="377">
        <f>F12+G11</f>
        <v/>
      </c>
      <c r="H12" s="377">
        <f>G12+H11</f>
        <v/>
      </c>
      <c r="I12" s="377">
        <f>H12+I11</f>
        <v/>
      </c>
      <c r="J12" s="377">
        <f>I12+J11</f>
        <v/>
      </c>
      <c r="K12" s="377">
        <f>J12+K11</f>
        <v/>
      </c>
      <c r="L12" s="377">
        <f>K12+L11</f>
        <v/>
      </c>
      <c r="M12" s="377">
        <f>L12+M11</f>
        <v/>
      </c>
      <c r="N12" s="377">
        <f>M12+N11</f>
        <v/>
      </c>
      <c r="O12" s="377">
        <f>N12+O11</f>
        <v/>
      </c>
      <c r="P12" s="377">
        <f>O12+P11</f>
        <v/>
      </c>
      <c r="Q12" s="377">
        <f>P12+Q11</f>
        <v/>
      </c>
      <c r="R12" s="377">
        <f>Q12+R11</f>
        <v/>
      </c>
      <c r="S12" s="377">
        <f>R12+S11</f>
        <v/>
      </c>
      <c r="T12" s="377">
        <f>S12+T11</f>
        <v/>
      </c>
      <c r="U12" s="377">
        <f>T12+U11</f>
        <v/>
      </c>
      <c r="V12" s="377">
        <f>U12+V11</f>
        <v/>
      </c>
      <c r="W12" s="377">
        <f>V12+W11</f>
        <v/>
      </c>
      <c r="X12" s="377">
        <f>W12+X11</f>
        <v/>
      </c>
      <c r="Y12" s="377">
        <f>X12+Y11</f>
        <v/>
      </c>
      <c r="Z12" s="378">
        <f>Y12+Z11</f>
        <v/>
      </c>
    </row>
    <row r="13" ht="24" customFormat="1" customHeight="1" s="42">
      <c r="A13" s="379" t="inlineStr">
        <is>
          <t>CUSTO API · 100% Sonnet 4.6 · Caching ativo</t>
        </is>
      </c>
      <c r="Z13" s="135" t="n"/>
      <c r="AA13" s="153" t="n"/>
      <c r="AB13" s="153" t="n"/>
      <c r="AC13" s="153" t="n"/>
      <c r="AD13" s="153" t="n"/>
      <c r="AE13" s="153" t="n"/>
      <c r="AF13" s="153" t="n"/>
      <c r="AG13" s="153" t="n"/>
      <c r="AH13" s="153" t="n"/>
      <c r="AI13" s="153" t="n"/>
      <c r="AJ13" s="153" t="n"/>
      <c r="AK13" s="153" t="n"/>
      <c r="AL13" s="153" t="n"/>
      <c r="AM13" s="153" t="n"/>
      <c r="AN13" s="153" t="n"/>
      <c r="AO13" s="153" t="n"/>
      <c r="AP13" s="153" t="n"/>
      <c r="AQ13" s="153" t="n"/>
      <c r="AR13" s="153" t="n"/>
      <c r="AS13" s="153" t="n"/>
      <c r="AT13" s="153" t="n"/>
      <c r="AU13" s="153" t="n"/>
      <c r="AV13" s="153" t="n"/>
      <c r="AW13" s="153" t="n"/>
      <c r="AX13" s="153" t="n"/>
      <c r="AY13" s="153" t="n"/>
      <c r="AZ13" s="153" t="n"/>
      <c r="BA13" s="153" t="n"/>
      <c r="BB13" s="153" t="n"/>
      <c r="BC13" s="153" t="n"/>
      <c r="BD13" s="153" t="n"/>
      <c r="BE13" s="153" t="n"/>
      <c r="BF13" s="153" t="n"/>
      <c r="BG13" s="153" t="n"/>
      <c r="BH13" s="153" t="n"/>
      <c r="BI13" s="153" t="n"/>
      <c r="BJ13" s="153" t="n"/>
      <c r="BK13" s="153" t="n"/>
      <c r="BL13" s="153" t="n"/>
      <c r="BM13" s="153" t="n"/>
      <c r="BN13" s="153" t="n"/>
      <c r="BO13" s="153" t="n"/>
      <c r="BP13" s="153" t="n"/>
      <c r="BQ13" s="153" t="n"/>
      <c r="BR13" s="153" t="n"/>
      <c r="BS13" s="153" t="n"/>
      <c r="BT13" s="153" t="n"/>
      <c r="BU13" s="153" t="n"/>
      <c r="BV13" s="153" t="n"/>
      <c r="BW13" s="153" t="n"/>
      <c r="BX13" s="153" t="n"/>
      <c r="BY13" s="153" t="n"/>
      <c r="BZ13" s="153" t="n"/>
      <c r="CA13" s="153" t="n"/>
      <c r="CB13" s="153" t="n"/>
      <c r="CC13" s="153" t="n"/>
      <c r="CD13" s="153" t="n"/>
      <c r="CE13" s="153" t="n"/>
      <c r="CF13" s="153" t="n"/>
      <c r="CG13" s="153" t="n"/>
      <c r="CH13" s="153" t="n"/>
      <c r="CI13" s="153" t="n"/>
      <c r="CJ13" s="153" t="n"/>
      <c r="CK13" s="153" t="n"/>
      <c r="CL13" s="153" t="n"/>
      <c r="CM13" s="153" t="n"/>
      <c r="CN13" s="153" t="n"/>
      <c r="CO13" s="153" t="n"/>
      <c r="CP13" s="153" t="n"/>
      <c r="CQ13" s="153" t="n"/>
      <c r="CR13" s="153" t="n"/>
      <c r="CS13" s="153" t="n"/>
      <c r="CT13" s="153" t="n"/>
      <c r="CU13" s="153" t="n"/>
      <c r="CV13" s="153" t="n"/>
      <c r="CW13" s="153" t="n"/>
      <c r="CX13" s="153" t="n"/>
      <c r="CY13" s="153" t="n"/>
      <c r="CZ13" s="153" t="n"/>
      <c r="DA13" s="153" t="n"/>
      <c r="DB13" s="153" t="n"/>
      <c r="DC13" s="153" t="n"/>
      <c r="DD13" s="153" t="n"/>
      <c r="DE13" s="153" t="n"/>
      <c r="DF13" s="153" t="n"/>
      <c r="DG13" s="153" t="n"/>
      <c r="DH13" s="153" t="n"/>
      <c r="DI13" s="153" t="n"/>
      <c r="DJ13" s="153" t="n"/>
      <c r="DK13" s="153" t="n"/>
      <c r="DL13" s="153" t="n"/>
      <c r="DM13" s="153" t="n"/>
      <c r="DN13" s="153" t="n"/>
      <c r="DO13" s="153" t="n"/>
      <c r="DP13" s="153" t="n"/>
      <c r="DQ13" s="153" t="n"/>
      <c r="DR13" s="153" t="n"/>
      <c r="DS13" s="153" t="n"/>
      <c r="DT13" s="153" t="n"/>
      <c r="DU13" s="153" t="n"/>
      <c r="DV13" s="153" t="n"/>
      <c r="DW13" s="153" t="n"/>
      <c r="DX13" s="153" t="n"/>
      <c r="DY13" s="153" t="n"/>
      <c r="DZ13" s="153" t="n"/>
      <c r="EA13" s="153" t="n"/>
      <c r="EB13" s="153" t="n"/>
      <c r="EC13" s="153" t="n"/>
      <c r="ED13" s="153" t="n"/>
      <c r="EE13" s="153" t="n"/>
      <c r="EF13" s="153" t="n"/>
      <c r="EG13" s="153" t="n"/>
      <c r="EH13" s="153" t="n"/>
      <c r="EI13" s="153" t="n"/>
      <c r="EJ13" s="153" t="n"/>
      <c r="EK13" s="153" t="n"/>
      <c r="EL13" s="153" t="n"/>
      <c r="EM13" s="153" t="n"/>
      <c r="EN13" s="153" t="n"/>
      <c r="EO13" s="153" t="n"/>
      <c r="EP13" s="153" t="n"/>
      <c r="EQ13" s="153" t="n"/>
      <c r="ER13" s="153" t="n"/>
      <c r="ES13" s="153" t="n"/>
      <c r="ET13" s="153" t="n"/>
      <c r="EU13" s="153" t="n"/>
      <c r="EV13" s="153" t="n"/>
      <c r="EW13" s="153" t="n"/>
      <c r="EX13" s="153" t="n"/>
      <c r="EY13" s="153" t="n"/>
      <c r="EZ13" s="153" t="n"/>
      <c r="FA13" s="153" t="n"/>
      <c r="FB13" s="153" t="n"/>
      <c r="FC13" s="153" t="n"/>
      <c r="FD13" s="153" t="n"/>
      <c r="FE13" s="153" t="n"/>
      <c r="FF13" s="153" t="n"/>
      <c r="FG13" s="153" t="n"/>
      <c r="FH13" s="153" t="n"/>
      <c r="FI13" s="153" t="n"/>
      <c r="FJ13" s="153" t="n"/>
      <c r="FK13" s="153" t="n"/>
      <c r="FL13" s="153" t="n"/>
      <c r="FM13" s="153" t="n"/>
      <c r="FN13" s="153" t="n"/>
      <c r="FO13" s="153" t="n"/>
      <c r="FP13" s="153" t="n"/>
      <c r="FQ13" s="153" t="n"/>
      <c r="FR13" s="153" t="n"/>
      <c r="FS13" s="153" t="n"/>
      <c r="FT13" s="153" t="n"/>
      <c r="FU13" s="153" t="n"/>
      <c r="FV13" s="153" t="n"/>
      <c r="FW13" s="153" t="n"/>
      <c r="FX13" s="153" t="n"/>
      <c r="FY13" s="153" t="n"/>
      <c r="FZ13" s="153" t="n"/>
      <c r="GA13" s="153" t="n"/>
      <c r="GB13" s="153" t="n"/>
      <c r="GC13" s="153" t="n"/>
      <c r="GD13" s="153" t="n"/>
      <c r="GE13" s="153" t="n"/>
      <c r="GF13" s="153" t="n"/>
      <c r="GG13" s="153" t="n"/>
      <c r="GH13" s="153" t="n"/>
      <c r="GI13" s="153" t="n"/>
      <c r="GJ13" s="153" t="n"/>
      <c r="GK13" s="153" t="n"/>
      <c r="GL13" s="153" t="n"/>
      <c r="GM13" s="153" t="n"/>
      <c r="GN13" s="153" t="n"/>
      <c r="GO13" s="153" t="n"/>
      <c r="GP13" s="153" t="n"/>
      <c r="GQ13" s="153" t="n"/>
      <c r="GR13" s="153" t="n"/>
      <c r="GS13" s="153" t="n"/>
      <c r="GT13" s="153" t="n"/>
      <c r="GU13" s="153" t="n"/>
      <c r="GV13" s="153" t="n"/>
      <c r="GW13" s="153" t="n"/>
      <c r="GX13" s="153" t="n"/>
      <c r="GY13" s="153" t="n"/>
      <c r="GZ13" s="153" t="n"/>
      <c r="HA13" s="153" t="n"/>
      <c r="HB13" s="153" t="n"/>
      <c r="HC13" s="153" t="n"/>
      <c r="HD13" s="153" t="n"/>
      <c r="HE13" s="153" t="n"/>
      <c r="HF13" s="153" t="n"/>
      <c r="HG13" s="153" t="n"/>
      <c r="HH13" s="153" t="n"/>
      <c r="HI13" s="153" t="n"/>
      <c r="HJ13" s="153" t="n"/>
      <c r="HK13" s="153" t="n"/>
      <c r="HL13" s="153" t="n"/>
      <c r="HM13" s="153" t="n"/>
      <c r="HN13" s="153" t="n"/>
      <c r="HO13" s="153" t="n"/>
      <c r="HP13" s="153" t="n"/>
      <c r="HQ13" s="153" t="n"/>
      <c r="HR13" s="153" t="n"/>
      <c r="HS13" s="153" t="n"/>
      <c r="HT13" s="153" t="n"/>
      <c r="HU13" s="153" t="n"/>
      <c r="HV13" s="153" t="n"/>
      <c r="HW13" s="153" t="n"/>
      <c r="HX13" s="153" t="n"/>
      <c r="HY13" s="153" t="n"/>
      <c r="HZ13" s="153" t="n"/>
      <c r="IA13" s="153" t="n"/>
      <c r="IB13" s="153" t="n"/>
      <c r="IC13" s="153" t="n"/>
      <c r="ID13" s="153" t="n"/>
      <c r="IE13" s="153" t="n"/>
      <c r="IF13" s="153" t="n"/>
      <c r="IG13" s="153" t="n"/>
      <c r="IH13" s="153" t="n"/>
      <c r="II13" s="153" t="n"/>
      <c r="IJ13" s="153" t="n"/>
      <c r="IK13" s="153" t="n"/>
      <c r="IL13" s="153" t="n"/>
      <c r="IM13" s="153" t="n"/>
      <c r="IN13" s="153" t="n"/>
      <c r="IO13" s="153" t="n"/>
      <c r="IP13" s="153" t="n"/>
      <c r="IQ13" s="153" t="n"/>
      <c r="IR13" s="153" t="n"/>
      <c r="IS13" s="153" t="n"/>
      <c r="IT13" s="153" t="n"/>
      <c r="IU13" s="153" t="n"/>
      <c r="IV13" s="153" t="n"/>
      <c r="IW13" s="153" t="n"/>
      <c r="IX13" s="153" t="n"/>
      <c r="IY13" s="153" t="n"/>
      <c r="IZ13" s="153" t="n"/>
      <c r="JA13" s="153" t="n"/>
      <c r="JB13" s="153" t="n"/>
      <c r="JC13" s="153" t="n"/>
      <c r="JD13" s="153" t="n"/>
      <c r="JE13" s="153" t="n"/>
      <c r="JF13" s="153" t="n"/>
      <c r="JG13" s="153" t="n"/>
      <c r="JH13" s="153" t="n"/>
      <c r="JI13" s="153" t="n"/>
      <c r="JJ13" s="153" t="n"/>
      <c r="JK13" s="153" t="n"/>
      <c r="JL13" s="153" t="n"/>
      <c r="JM13" s="153" t="n"/>
      <c r="JN13" s="153" t="n"/>
      <c r="JO13" s="153" t="n"/>
      <c r="JP13" s="153" t="n"/>
      <c r="JQ13" s="153" t="n"/>
      <c r="JR13" s="153" t="n"/>
      <c r="JS13" s="153" t="n"/>
      <c r="JT13" s="153" t="n"/>
      <c r="JU13" s="153" t="n"/>
      <c r="JV13" s="153" t="n"/>
      <c r="JW13" s="153" t="n"/>
      <c r="JX13" s="153" t="n"/>
      <c r="JY13" s="153" t="n"/>
      <c r="JZ13" s="153" t="n"/>
      <c r="KA13" s="153" t="n"/>
      <c r="KB13" s="153" t="n"/>
      <c r="KC13" s="153" t="n"/>
      <c r="KD13" s="153" t="n"/>
      <c r="KE13" s="153" t="n"/>
      <c r="KF13" s="153" t="n"/>
      <c r="KG13" s="153" t="n"/>
      <c r="KH13" s="153" t="n"/>
      <c r="KI13" s="153" t="n"/>
      <c r="KJ13" s="153" t="n"/>
      <c r="KK13" s="153" t="n"/>
      <c r="KL13" s="153" t="n"/>
      <c r="KM13" s="153" t="n"/>
      <c r="KN13" s="153" t="n"/>
      <c r="KO13" s="153" t="n"/>
      <c r="KP13" s="153" t="n"/>
      <c r="KQ13" s="153" t="n"/>
      <c r="KR13" s="153" t="n"/>
      <c r="KS13" s="153" t="n"/>
      <c r="KT13" s="153" t="n"/>
      <c r="KU13" s="153" t="n"/>
      <c r="KV13" s="153" t="n"/>
      <c r="KW13" s="153" t="n"/>
      <c r="KX13" s="153" t="n"/>
      <c r="KY13" s="153" t="n"/>
      <c r="KZ13" s="153" t="n"/>
      <c r="LA13" s="153" t="n"/>
      <c r="LB13" s="153" t="n"/>
      <c r="LC13" s="153" t="n"/>
      <c r="LD13" s="153" t="n"/>
      <c r="LE13" s="153" t="n"/>
      <c r="LF13" s="153" t="n"/>
      <c r="LG13" s="153" t="n"/>
      <c r="LH13" s="153" t="n"/>
      <c r="LI13" s="153" t="n"/>
      <c r="LJ13" s="153" t="n"/>
      <c r="LK13" s="153" t="n"/>
      <c r="LL13" s="153" t="n"/>
      <c r="LM13" s="153" t="n"/>
      <c r="LN13" s="153" t="n"/>
      <c r="LO13" s="153" t="n"/>
      <c r="LP13" s="153" t="n"/>
      <c r="LQ13" s="153" t="n"/>
      <c r="LR13" s="153" t="n"/>
      <c r="LS13" s="153" t="n"/>
      <c r="LT13" s="153" t="n"/>
      <c r="LU13" s="153" t="n"/>
      <c r="LV13" s="153" t="n"/>
      <c r="LW13" s="153" t="n"/>
      <c r="LX13" s="153" t="n"/>
      <c r="LY13" s="153" t="n"/>
      <c r="LZ13" s="153" t="n"/>
      <c r="MA13" s="153" t="n"/>
      <c r="MB13" s="153" t="n"/>
      <c r="MC13" s="153" t="n"/>
      <c r="MD13" s="153" t="n"/>
      <c r="ME13" s="153" t="n"/>
      <c r="MF13" s="153" t="n"/>
      <c r="MG13" s="153" t="n"/>
      <c r="MH13" s="153" t="n"/>
      <c r="MI13" s="153" t="n"/>
      <c r="MJ13" s="153" t="n"/>
      <c r="MK13" s="153" t="n"/>
      <c r="ML13" s="153" t="n"/>
      <c r="MM13" s="153" t="n"/>
      <c r="MN13" s="153" t="n"/>
      <c r="MO13" s="153" t="n"/>
      <c r="MP13" s="153" t="n"/>
      <c r="MQ13" s="153" t="n"/>
      <c r="MR13" s="153" t="n"/>
      <c r="MS13" s="153" t="n"/>
      <c r="MT13" s="153" t="n"/>
      <c r="MU13" s="153" t="n"/>
      <c r="MV13" s="153" t="n"/>
      <c r="MW13" s="153" t="n"/>
      <c r="MX13" s="153" t="n"/>
      <c r="MY13" s="153" t="n"/>
      <c r="MZ13" s="153" t="n"/>
      <c r="NA13" s="153" t="n"/>
      <c r="NB13" s="153" t="n"/>
      <c r="NC13" s="153" t="n"/>
      <c r="ND13" s="153" t="n"/>
      <c r="NE13" s="153" t="n"/>
      <c r="NF13" s="153" t="n"/>
      <c r="NG13" s="153" t="n"/>
      <c r="NH13" s="153" t="n"/>
      <c r="NI13" s="153" t="n"/>
      <c r="NJ13" s="153" t="n"/>
      <c r="NK13" s="153" t="n"/>
      <c r="NL13" s="153" t="n"/>
      <c r="NM13" s="153" t="n"/>
      <c r="NN13" s="153" t="n"/>
      <c r="NO13" s="153" t="n"/>
      <c r="NP13" s="153" t="n"/>
      <c r="NQ13" s="153" t="n"/>
      <c r="NR13" s="153" t="n"/>
      <c r="NS13" s="153" t="n"/>
      <c r="NT13" s="153" t="n"/>
      <c r="NU13" s="153" t="n"/>
      <c r="NV13" s="153" t="n"/>
      <c r="NW13" s="153" t="n"/>
      <c r="NX13" s="153" t="n"/>
      <c r="NY13" s="153" t="n"/>
      <c r="NZ13" s="153" t="n"/>
      <c r="OA13" s="153" t="n"/>
      <c r="OB13" s="153" t="n"/>
      <c r="OC13" s="153" t="n"/>
      <c r="OD13" s="153" t="n"/>
      <c r="OE13" s="153" t="n"/>
      <c r="OF13" s="153" t="n"/>
      <c r="OG13" s="153" t="n"/>
      <c r="OH13" s="153" t="n"/>
      <c r="OI13" s="153" t="n"/>
      <c r="OJ13" s="153" t="n"/>
      <c r="OK13" s="153" t="n"/>
      <c r="OL13" s="153" t="n"/>
      <c r="OM13" s="153" t="n"/>
      <c r="ON13" s="153" t="n"/>
      <c r="OO13" s="153" t="n"/>
      <c r="OP13" s="153" t="n"/>
      <c r="OQ13" s="153" t="n"/>
      <c r="OR13" s="153" t="n"/>
      <c r="OS13" s="153" t="n"/>
      <c r="OT13" s="153" t="n"/>
      <c r="OU13" s="153" t="n"/>
      <c r="OV13" s="153" t="n"/>
      <c r="OW13" s="153" t="n"/>
      <c r="OX13" s="153" t="n"/>
      <c r="OY13" s="153" t="n"/>
      <c r="OZ13" s="153" t="n"/>
      <c r="PA13" s="153" t="n"/>
      <c r="PB13" s="153" t="n"/>
      <c r="PC13" s="153" t="n"/>
      <c r="PD13" s="153" t="n"/>
      <c r="PE13" s="153" t="n"/>
      <c r="PF13" s="153" t="n"/>
      <c r="PG13" s="153" t="n"/>
      <c r="PH13" s="153" t="n"/>
      <c r="PI13" s="153" t="n"/>
      <c r="PJ13" s="153" t="n"/>
      <c r="PK13" s="153" t="n"/>
      <c r="PL13" s="153" t="n"/>
      <c r="PM13" s="153" t="n"/>
      <c r="PN13" s="153" t="n"/>
      <c r="PO13" s="153" t="n"/>
      <c r="PP13" s="153" t="n"/>
      <c r="PQ13" s="153" t="n"/>
      <c r="PR13" s="153" t="n"/>
      <c r="PS13" s="153" t="n"/>
      <c r="PT13" s="153" t="n"/>
      <c r="PU13" s="153" t="n"/>
      <c r="PV13" s="153" t="n"/>
      <c r="PW13" s="153" t="n"/>
      <c r="PX13" s="153" t="n"/>
      <c r="PY13" s="153" t="n"/>
      <c r="PZ13" s="153" t="n"/>
      <c r="QA13" s="153" t="n"/>
      <c r="QB13" s="153" t="n"/>
      <c r="QC13" s="153" t="n"/>
      <c r="QD13" s="153" t="n"/>
      <c r="QE13" s="153" t="n"/>
      <c r="QF13" s="153" t="n"/>
      <c r="QG13" s="153" t="n"/>
      <c r="QH13" s="153" t="n"/>
      <c r="QI13" s="153" t="n"/>
      <c r="QJ13" s="153" t="n"/>
      <c r="QK13" s="153" t="n"/>
      <c r="QL13" s="153" t="n"/>
      <c r="QM13" s="153" t="n"/>
      <c r="QN13" s="153" t="n"/>
      <c r="QO13" s="153" t="n"/>
      <c r="QP13" s="153" t="n"/>
      <c r="QQ13" s="153" t="n"/>
      <c r="QR13" s="153" t="n"/>
      <c r="QS13" s="153" t="n"/>
      <c r="QT13" s="153" t="n"/>
      <c r="QU13" s="153" t="n"/>
      <c r="QV13" s="153" t="n"/>
      <c r="QW13" s="153" t="n"/>
      <c r="QX13" s="153" t="n"/>
      <c r="QY13" s="153" t="n"/>
      <c r="QZ13" s="153" t="n"/>
      <c r="RA13" s="153" t="n"/>
      <c r="RB13" s="153" t="n"/>
      <c r="RC13" s="153" t="n"/>
      <c r="RD13" s="153" t="n"/>
      <c r="RE13" s="153" t="n"/>
      <c r="RF13" s="153" t="n"/>
      <c r="RG13" s="153" t="n"/>
      <c r="RH13" s="153" t="n"/>
      <c r="RI13" s="153" t="n"/>
      <c r="RJ13" s="153" t="n"/>
      <c r="RK13" s="153" t="n"/>
      <c r="RL13" s="153" t="n"/>
      <c r="RM13" s="153" t="n"/>
      <c r="RN13" s="153" t="n"/>
      <c r="RO13" s="153" t="n"/>
      <c r="RP13" s="153" t="n"/>
      <c r="RQ13" s="153" t="n"/>
      <c r="RR13" s="153" t="n"/>
      <c r="RS13" s="153" t="n"/>
      <c r="RT13" s="153" t="n"/>
      <c r="RU13" s="153" t="n"/>
      <c r="RV13" s="153" t="n"/>
      <c r="RW13" s="153" t="n"/>
      <c r="RX13" s="153" t="n"/>
      <c r="RY13" s="153" t="n"/>
      <c r="RZ13" s="153" t="n"/>
      <c r="SA13" s="153" t="n"/>
      <c r="SB13" s="153" t="n"/>
      <c r="SC13" s="153" t="n"/>
      <c r="SD13" s="153" t="n"/>
      <c r="SE13" s="153" t="n"/>
      <c r="SF13" s="153" t="n"/>
      <c r="SG13" s="153" t="n"/>
      <c r="SH13" s="153" t="n"/>
      <c r="SI13" s="153" t="n"/>
      <c r="SJ13" s="153" t="n"/>
      <c r="SK13" s="153" t="n"/>
      <c r="SL13" s="153" t="n"/>
      <c r="SM13" s="153" t="n"/>
      <c r="SN13" s="153" t="n"/>
      <c r="SO13" s="153" t="n"/>
      <c r="SP13" s="153" t="n"/>
      <c r="SQ13" s="153" t="n"/>
      <c r="SR13" s="153" t="n"/>
      <c r="SS13" s="153" t="n"/>
      <c r="ST13" s="153" t="n"/>
      <c r="SU13" s="153" t="n"/>
      <c r="SV13" s="153" t="n"/>
      <c r="SW13" s="153" t="n"/>
      <c r="SX13" s="153" t="n"/>
      <c r="SY13" s="153" t="n"/>
      <c r="SZ13" s="153" t="n"/>
      <c r="TA13" s="153" t="n"/>
      <c r="TB13" s="153" t="n"/>
      <c r="TC13" s="153" t="n"/>
      <c r="TD13" s="153" t="n"/>
      <c r="TE13" s="153" t="n"/>
      <c r="TF13" s="153" t="n"/>
      <c r="TG13" s="153" t="n"/>
      <c r="TH13" s="153" t="n"/>
      <c r="TI13" s="153" t="n"/>
      <c r="TJ13" s="153" t="n"/>
      <c r="TK13" s="153" t="n"/>
    </row>
    <row r="14" ht="19.5" customHeight="1" s="134">
      <c r="A14" s="205" t="inlineStr">
        <is>
          <t>API Free (Sonnet · 40 int/mês)</t>
        </is>
      </c>
      <c r="B14" s="268" t="inlineStr">
        <is>
          <t>R$</t>
        </is>
      </c>
      <c r="C14" s="380">
        <f>C5*'🔧 Cenário Ativo'!B18*('🔧 Cenário Ativo'!B15*('🔧 Cenário Ativo'!B16/1000000*'🔧 Cenário Ativo'!B11+'🔧 Cenário Ativo'!B17/1000000*'🔧 Cenário Ativo'!B12)*(1-'🔧 Cenário Ativo'!B13)*'🔧 Cenário Ativo'!B10)</f>
        <v/>
      </c>
      <c r="D14" s="380">
        <f>D5*'🔧 Cenário Ativo'!B18*('🔧 Cenário Ativo'!B15*('🔧 Cenário Ativo'!B16/1000000*'🔧 Cenário Ativo'!B11+'🔧 Cenário Ativo'!B17/1000000*'🔧 Cenário Ativo'!B12)*(1-'🔧 Cenário Ativo'!B13)*'🔧 Cenário Ativo'!B10)</f>
        <v/>
      </c>
      <c r="E14" s="380">
        <f>E5*'🔧 Cenário Ativo'!B18*('🔧 Cenário Ativo'!B15*('🔧 Cenário Ativo'!B16/1000000*'🔧 Cenário Ativo'!B11+'🔧 Cenário Ativo'!B17/1000000*'🔧 Cenário Ativo'!B12)*(1-'🔧 Cenário Ativo'!B13)*'🔧 Cenário Ativo'!B10)</f>
        <v/>
      </c>
      <c r="F14" s="380">
        <f>F5*'🔧 Cenário Ativo'!B18*('🔧 Cenário Ativo'!B15*('🔧 Cenário Ativo'!B16/1000000*'🔧 Cenário Ativo'!B11+'🔧 Cenário Ativo'!B17/1000000*'🔧 Cenário Ativo'!B12)*(1-'🔧 Cenário Ativo'!B13)*'🔧 Cenário Ativo'!B10)</f>
        <v/>
      </c>
      <c r="G14" s="380">
        <f>G5*'🔧 Cenário Ativo'!B18*('🔧 Cenário Ativo'!B15*('🔧 Cenário Ativo'!B16/1000000*'🔧 Cenário Ativo'!B11+'🔧 Cenário Ativo'!B17/1000000*'🔧 Cenário Ativo'!B12)*(1-'🔧 Cenário Ativo'!B13)*'🔧 Cenário Ativo'!B10)</f>
        <v/>
      </c>
      <c r="H14" s="380">
        <f>H5*'🔧 Cenário Ativo'!B18*('🔧 Cenário Ativo'!B15*('🔧 Cenário Ativo'!B16/1000000*'🔧 Cenário Ativo'!B11+'🔧 Cenário Ativo'!B17/1000000*'🔧 Cenário Ativo'!B12)*(1-'🔧 Cenário Ativo'!B13)*'🔧 Cenário Ativo'!B10)</f>
        <v/>
      </c>
      <c r="I14" s="380">
        <f>I5*'🔧 Cenário Ativo'!B18*('🔧 Cenário Ativo'!B15*('🔧 Cenário Ativo'!B16/1000000*'🔧 Cenário Ativo'!B11+'🔧 Cenário Ativo'!B17/1000000*'🔧 Cenário Ativo'!B12)*(1-'🔧 Cenário Ativo'!B13)*'🔧 Cenário Ativo'!B10)</f>
        <v/>
      </c>
      <c r="J14" s="380">
        <f>J5*'🔧 Cenário Ativo'!B18*('🔧 Cenário Ativo'!B15*('🔧 Cenário Ativo'!B16/1000000*'🔧 Cenário Ativo'!B11+'🔧 Cenário Ativo'!B17/1000000*'🔧 Cenário Ativo'!B12)*(1-'🔧 Cenário Ativo'!B13)*'🔧 Cenário Ativo'!B10)</f>
        <v/>
      </c>
      <c r="K14" s="380">
        <f>K5*'🔧 Cenário Ativo'!B18*('🔧 Cenário Ativo'!B15*('🔧 Cenário Ativo'!B16/1000000*'🔧 Cenário Ativo'!B11+'🔧 Cenário Ativo'!B17/1000000*'🔧 Cenário Ativo'!B12)*(1-'🔧 Cenário Ativo'!B13)*'🔧 Cenário Ativo'!B10)</f>
        <v/>
      </c>
      <c r="L14" s="380">
        <f>L5*'🔧 Cenário Ativo'!B18*('🔧 Cenário Ativo'!B15*('🔧 Cenário Ativo'!B16/1000000*'🔧 Cenário Ativo'!B11+'🔧 Cenário Ativo'!B17/1000000*'🔧 Cenário Ativo'!B12)*(1-'🔧 Cenário Ativo'!B13)*'🔧 Cenário Ativo'!B10)</f>
        <v/>
      </c>
      <c r="M14" s="380">
        <f>M5*'🔧 Cenário Ativo'!B18*('🔧 Cenário Ativo'!B15*('🔧 Cenário Ativo'!B16/1000000*'🔧 Cenário Ativo'!B11+'🔧 Cenário Ativo'!B17/1000000*'🔧 Cenário Ativo'!B12)*(1-'🔧 Cenário Ativo'!B13)*'🔧 Cenário Ativo'!B10)</f>
        <v/>
      </c>
      <c r="N14" s="380">
        <f>N5*'🔧 Cenário Ativo'!B18*('🔧 Cenário Ativo'!B15*('🔧 Cenário Ativo'!B16/1000000*'🔧 Cenário Ativo'!B11+'🔧 Cenário Ativo'!B17/1000000*'🔧 Cenário Ativo'!B12)*(1-'🔧 Cenário Ativo'!B13)*'🔧 Cenário Ativo'!B10)</f>
        <v/>
      </c>
      <c r="O14" s="380">
        <f>O5*'🔧 Cenário Ativo'!B18*('🔧 Cenário Ativo'!B15*('🔧 Cenário Ativo'!B16/1000000*'🔧 Cenário Ativo'!B11+'🔧 Cenário Ativo'!B17/1000000*'🔧 Cenário Ativo'!B12)*(1-'🔧 Cenário Ativo'!B13)*'🔧 Cenário Ativo'!B10)</f>
        <v/>
      </c>
      <c r="P14" s="380">
        <f>P5*'🔧 Cenário Ativo'!B18*('🔧 Cenário Ativo'!B15*('🔧 Cenário Ativo'!B16/1000000*'🔧 Cenário Ativo'!B11+'🔧 Cenário Ativo'!B17/1000000*'🔧 Cenário Ativo'!B12)*(1-'🔧 Cenário Ativo'!B13)*'🔧 Cenário Ativo'!B10)</f>
        <v/>
      </c>
      <c r="Q14" s="380">
        <f>Q5*'🔧 Cenário Ativo'!B18*('🔧 Cenário Ativo'!B15*('🔧 Cenário Ativo'!B16/1000000*'🔧 Cenário Ativo'!B11+'🔧 Cenário Ativo'!B17/1000000*'🔧 Cenário Ativo'!B12)*(1-'🔧 Cenário Ativo'!B13)*'🔧 Cenário Ativo'!B10)</f>
        <v/>
      </c>
      <c r="R14" s="380">
        <f>R5*'🔧 Cenário Ativo'!B18*('🔧 Cenário Ativo'!B15*('🔧 Cenário Ativo'!B16/1000000*'🔧 Cenário Ativo'!B11+'🔧 Cenário Ativo'!B17/1000000*'🔧 Cenário Ativo'!B12)*(1-'🔧 Cenário Ativo'!B13)*'🔧 Cenário Ativo'!B10)</f>
        <v/>
      </c>
      <c r="S14" s="380">
        <f>S5*'🔧 Cenário Ativo'!B18*('🔧 Cenário Ativo'!B15*('🔧 Cenário Ativo'!B16/1000000*'🔧 Cenário Ativo'!B11+'🔧 Cenário Ativo'!B17/1000000*'🔧 Cenário Ativo'!B12)*(1-'🔧 Cenário Ativo'!B13)*'🔧 Cenário Ativo'!B10)</f>
        <v/>
      </c>
      <c r="T14" s="380">
        <f>T5*'🔧 Cenário Ativo'!B18*('🔧 Cenário Ativo'!B15*('🔧 Cenário Ativo'!B16/1000000*'🔧 Cenário Ativo'!B11+'🔧 Cenário Ativo'!B17/1000000*'🔧 Cenário Ativo'!B12)*(1-'🔧 Cenário Ativo'!B13)*'🔧 Cenário Ativo'!B10)</f>
        <v/>
      </c>
      <c r="U14" s="380">
        <f>U5*'🔧 Cenário Ativo'!B18*('🔧 Cenário Ativo'!B15*('🔧 Cenário Ativo'!B16/1000000*'🔧 Cenário Ativo'!B11+'🔧 Cenário Ativo'!B17/1000000*'🔧 Cenário Ativo'!B12)*(1-'🔧 Cenário Ativo'!B13)*'🔧 Cenário Ativo'!B10)</f>
        <v/>
      </c>
      <c r="V14" s="380">
        <f>V5*'🔧 Cenário Ativo'!B18*('🔧 Cenário Ativo'!B15*('🔧 Cenário Ativo'!B16/1000000*'🔧 Cenário Ativo'!B11+'🔧 Cenário Ativo'!B17/1000000*'🔧 Cenário Ativo'!B12)*(1-'🔧 Cenário Ativo'!B13)*'🔧 Cenário Ativo'!B10)</f>
        <v/>
      </c>
      <c r="W14" s="380">
        <f>W5*'🔧 Cenário Ativo'!B18*('🔧 Cenário Ativo'!B15*('🔧 Cenário Ativo'!B16/1000000*'🔧 Cenário Ativo'!B11+'🔧 Cenário Ativo'!B17/1000000*'🔧 Cenário Ativo'!B12)*(1-'🔧 Cenário Ativo'!B13)*'🔧 Cenário Ativo'!B10)</f>
        <v/>
      </c>
      <c r="X14" s="380">
        <f>X5*'🔧 Cenário Ativo'!B18*('🔧 Cenário Ativo'!B15*('🔧 Cenário Ativo'!B16/1000000*'🔧 Cenário Ativo'!B11+'🔧 Cenário Ativo'!B17/1000000*'🔧 Cenário Ativo'!B12)*(1-'🔧 Cenário Ativo'!B13)*'🔧 Cenário Ativo'!B10)</f>
        <v/>
      </c>
      <c r="Y14" s="380">
        <f>Y5*'🔧 Cenário Ativo'!B18*('🔧 Cenário Ativo'!B15*('🔧 Cenário Ativo'!B16/1000000*'🔧 Cenário Ativo'!B11+'🔧 Cenário Ativo'!B17/1000000*'🔧 Cenário Ativo'!B12)*(1-'🔧 Cenário Ativo'!B13)*'🔧 Cenário Ativo'!B10)</f>
        <v/>
      </c>
      <c r="Z14" s="381">
        <f>Z5*'🔧 Cenário Ativo'!B18*('🔧 Cenário Ativo'!B15*('🔧 Cenário Ativo'!B16/1000000*'🔧 Cenário Ativo'!B11+'🔧 Cenário Ativo'!B17/1000000*'🔧 Cenário Ativo'!B12)*(1-'🔧 Cenário Ativo'!B13)*'🔧 Cenário Ativo'!B10)</f>
        <v/>
      </c>
    </row>
    <row r="15" ht="19.5" customHeight="1" s="134">
      <c r="A15" s="205" t="inlineStr">
        <is>
          <t>API Essencial (chat ilimitado)</t>
        </is>
      </c>
      <c r="B15" s="268" t="inlineStr">
        <is>
          <t>R$</t>
        </is>
      </c>
      <c r="C15" s="380">
        <f>C6*'🔧 Cenário Ativo'!B19*('🔧 Cenário Ativo'!B20/1000000*'🔧 Cenário Ativo'!B11+'🔧 Cenário Ativo'!B21/1000000*'🔧 Cenário Ativo'!B12)*(1-'🔧 Cenário Ativo'!B13)*'🔧 Cenário Ativo'!B10</f>
        <v/>
      </c>
      <c r="D15" s="380">
        <f>D6*'🔧 Cenário Ativo'!B19*('🔧 Cenário Ativo'!B20/1000000*'🔧 Cenário Ativo'!B11+'🔧 Cenário Ativo'!B21/1000000*'🔧 Cenário Ativo'!B12)*(1-'🔧 Cenário Ativo'!B13)*'🔧 Cenário Ativo'!B10</f>
        <v/>
      </c>
      <c r="E15" s="380">
        <f>E6*'🔧 Cenário Ativo'!B19*('🔧 Cenário Ativo'!B20/1000000*'🔧 Cenário Ativo'!B11+'🔧 Cenário Ativo'!B21/1000000*'🔧 Cenário Ativo'!B12)*(1-'🔧 Cenário Ativo'!B13)*'🔧 Cenário Ativo'!B10</f>
        <v/>
      </c>
      <c r="F15" s="380">
        <f>F6*'🔧 Cenário Ativo'!B19*('🔧 Cenário Ativo'!B20/1000000*'🔧 Cenário Ativo'!B11+'🔧 Cenário Ativo'!B21/1000000*'🔧 Cenário Ativo'!B12)*(1-'🔧 Cenário Ativo'!B13)*'🔧 Cenário Ativo'!B10</f>
        <v/>
      </c>
      <c r="G15" s="380">
        <f>G6*'🔧 Cenário Ativo'!B19*('🔧 Cenário Ativo'!B20/1000000*'🔧 Cenário Ativo'!B11+'🔧 Cenário Ativo'!B21/1000000*'🔧 Cenário Ativo'!B12)*(1-'🔧 Cenário Ativo'!B13)*'🔧 Cenário Ativo'!B10</f>
        <v/>
      </c>
      <c r="H15" s="380">
        <f>H6*'🔧 Cenário Ativo'!B19*('🔧 Cenário Ativo'!B20/1000000*'🔧 Cenário Ativo'!B11+'🔧 Cenário Ativo'!B21/1000000*'🔧 Cenário Ativo'!B12)*(1-'🔧 Cenário Ativo'!B13)*'🔧 Cenário Ativo'!B10</f>
        <v/>
      </c>
      <c r="I15" s="380">
        <f>I6*'🔧 Cenário Ativo'!B19*('🔧 Cenário Ativo'!B20/1000000*'🔧 Cenário Ativo'!B11+'🔧 Cenário Ativo'!B21/1000000*'🔧 Cenário Ativo'!B12)*(1-'🔧 Cenário Ativo'!B13)*'🔧 Cenário Ativo'!B10</f>
        <v/>
      </c>
      <c r="J15" s="380">
        <f>J6*'🔧 Cenário Ativo'!B19*('🔧 Cenário Ativo'!B20/1000000*'🔧 Cenário Ativo'!B11+'🔧 Cenário Ativo'!B21/1000000*'🔧 Cenário Ativo'!B12)*(1-'🔧 Cenário Ativo'!B13)*'🔧 Cenário Ativo'!B10</f>
        <v/>
      </c>
      <c r="K15" s="380">
        <f>K6*'🔧 Cenário Ativo'!B19*('🔧 Cenário Ativo'!B20/1000000*'🔧 Cenário Ativo'!B11+'🔧 Cenário Ativo'!B21/1000000*'🔧 Cenário Ativo'!B12)*(1-'🔧 Cenário Ativo'!B13)*'🔧 Cenário Ativo'!B10</f>
        <v/>
      </c>
      <c r="L15" s="380">
        <f>L6*'🔧 Cenário Ativo'!B19*('🔧 Cenário Ativo'!B20/1000000*'🔧 Cenário Ativo'!B11+'🔧 Cenário Ativo'!B21/1000000*'🔧 Cenário Ativo'!B12)*(1-'🔧 Cenário Ativo'!B13)*'🔧 Cenário Ativo'!B10</f>
        <v/>
      </c>
      <c r="M15" s="380">
        <f>M6*'🔧 Cenário Ativo'!B19*('🔧 Cenário Ativo'!B20/1000000*'🔧 Cenário Ativo'!B11+'🔧 Cenário Ativo'!B21/1000000*'🔧 Cenário Ativo'!B12)*(1-'🔧 Cenário Ativo'!B13)*'🔧 Cenário Ativo'!B10</f>
        <v/>
      </c>
      <c r="N15" s="380">
        <f>N6*'🔧 Cenário Ativo'!B19*('🔧 Cenário Ativo'!B20/1000000*'🔧 Cenário Ativo'!B11+'🔧 Cenário Ativo'!B21/1000000*'🔧 Cenário Ativo'!B12)*(1-'🔧 Cenário Ativo'!B13)*'🔧 Cenário Ativo'!B10</f>
        <v/>
      </c>
      <c r="O15" s="380">
        <f>O6*'🔧 Cenário Ativo'!B19*('🔧 Cenário Ativo'!B20/1000000*'🔧 Cenário Ativo'!B11+'🔧 Cenário Ativo'!B21/1000000*'🔧 Cenário Ativo'!B12)*(1-'🔧 Cenário Ativo'!B13)*'🔧 Cenário Ativo'!B10</f>
        <v/>
      </c>
      <c r="P15" s="380">
        <f>P6*'🔧 Cenário Ativo'!B19*('🔧 Cenário Ativo'!B20/1000000*'🔧 Cenário Ativo'!B11+'🔧 Cenário Ativo'!B21/1000000*'🔧 Cenário Ativo'!B12)*(1-'🔧 Cenário Ativo'!B13)*'🔧 Cenário Ativo'!B10</f>
        <v/>
      </c>
      <c r="Q15" s="380">
        <f>Q6*'🔧 Cenário Ativo'!B19*('🔧 Cenário Ativo'!B20/1000000*'🔧 Cenário Ativo'!B11+'🔧 Cenário Ativo'!B21/1000000*'🔧 Cenário Ativo'!B12)*(1-'🔧 Cenário Ativo'!B13)*'🔧 Cenário Ativo'!B10</f>
        <v/>
      </c>
      <c r="R15" s="380">
        <f>R6*'🔧 Cenário Ativo'!B19*('🔧 Cenário Ativo'!B20/1000000*'🔧 Cenário Ativo'!B11+'🔧 Cenário Ativo'!B21/1000000*'🔧 Cenário Ativo'!B12)*(1-'🔧 Cenário Ativo'!B13)*'🔧 Cenário Ativo'!B10</f>
        <v/>
      </c>
      <c r="S15" s="380">
        <f>S6*'🔧 Cenário Ativo'!B19*('🔧 Cenário Ativo'!B20/1000000*'🔧 Cenário Ativo'!B11+'🔧 Cenário Ativo'!B21/1000000*'🔧 Cenário Ativo'!B12)*(1-'🔧 Cenário Ativo'!B13)*'🔧 Cenário Ativo'!B10</f>
        <v/>
      </c>
      <c r="T15" s="380">
        <f>T6*'🔧 Cenário Ativo'!B19*('🔧 Cenário Ativo'!B20/1000000*'🔧 Cenário Ativo'!B11+'🔧 Cenário Ativo'!B21/1000000*'🔧 Cenário Ativo'!B12)*(1-'🔧 Cenário Ativo'!B13)*'🔧 Cenário Ativo'!B10</f>
        <v/>
      </c>
      <c r="U15" s="380">
        <f>U6*'🔧 Cenário Ativo'!B19*('🔧 Cenário Ativo'!B20/1000000*'🔧 Cenário Ativo'!B11+'🔧 Cenário Ativo'!B21/1000000*'🔧 Cenário Ativo'!B12)*(1-'🔧 Cenário Ativo'!B13)*'🔧 Cenário Ativo'!B10</f>
        <v/>
      </c>
      <c r="V15" s="380">
        <f>V6*'🔧 Cenário Ativo'!B19*('🔧 Cenário Ativo'!B20/1000000*'🔧 Cenário Ativo'!B11+'🔧 Cenário Ativo'!B21/1000000*'🔧 Cenário Ativo'!B12)*(1-'🔧 Cenário Ativo'!B13)*'🔧 Cenário Ativo'!B10</f>
        <v/>
      </c>
      <c r="W15" s="380">
        <f>W6*'🔧 Cenário Ativo'!B19*('🔧 Cenário Ativo'!B20/1000000*'🔧 Cenário Ativo'!B11+'🔧 Cenário Ativo'!B21/1000000*'🔧 Cenário Ativo'!B12)*(1-'🔧 Cenário Ativo'!B13)*'🔧 Cenário Ativo'!B10</f>
        <v/>
      </c>
      <c r="X15" s="380">
        <f>X6*'🔧 Cenário Ativo'!B19*('🔧 Cenário Ativo'!B20/1000000*'🔧 Cenário Ativo'!B11+'🔧 Cenário Ativo'!B21/1000000*'🔧 Cenário Ativo'!B12)*(1-'🔧 Cenário Ativo'!B13)*'🔧 Cenário Ativo'!B10</f>
        <v/>
      </c>
      <c r="Y15" s="380">
        <f>Y6*'🔧 Cenário Ativo'!B19*('🔧 Cenário Ativo'!B20/1000000*'🔧 Cenário Ativo'!B11+'🔧 Cenário Ativo'!B21/1000000*'🔧 Cenário Ativo'!B12)*(1-'🔧 Cenário Ativo'!B13)*'🔧 Cenário Ativo'!B10</f>
        <v/>
      </c>
      <c r="Z15" s="381">
        <f>Z6*'🔧 Cenário Ativo'!B19*('🔧 Cenário Ativo'!B20/1000000*'🔧 Cenário Ativo'!B11+'🔧 Cenário Ativo'!B21/1000000*'🔧 Cenário Ativo'!B12)*(1-'🔧 Cenário Ativo'!B13)*'🔧 Cenário Ativo'!B10</f>
        <v/>
      </c>
    </row>
    <row r="16" ht="19.5" customHeight="1" s="134">
      <c r="A16" s="205" t="inlineStr">
        <is>
          <t>API Autônoma (+1 agente)</t>
        </is>
      </c>
      <c r="B16" s="268" t="inlineStr">
        <is>
          <t>R$</t>
        </is>
      </c>
      <c r="C16" s="380">
        <f>C7*('🔧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D16" s="380">
        <f>D7*('🔧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E16" s="380">
        <f>E7*('🔧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F16" s="380">
        <f>F7*('🔧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G16" s="380">
        <f>G7*('🔧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H16" s="380">
        <f>H7*('🔧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I16" s="380">
        <f>I7*('🔧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J16" s="380">
        <f>J7*('🔧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K16" s="380">
        <f>K7*('🔧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L16" s="380">
        <f>L7*('🔧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M16" s="380">
        <f>M7*('🔧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N16" s="380">
        <f>N7*('🔧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O16" s="380">
        <f>O7*('🔧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P16" s="380">
        <f>P7*('🔧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Q16" s="380">
        <f>Q7*('🔧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R16" s="380">
        <f>R7*('🔧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S16" s="380">
        <f>S7*('🔧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T16" s="380">
        <f>T7*('🔧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U16" s="380">
        <f>U7*('🔧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V16" s="380">
        <f>V7*('🔧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W16" s="380">
        <f>W7*('🔧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X16" s="380">
        <f>X7*('🔧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Y16" s="380">
        <f>Y7*('🔧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  <c r="Z16" s="381">
        <f>Z7*('🔧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/>
      </c>
    </row>
    <row r="17" ht="19.5" customHeight="1" s="134">
      <c r="A17" s="205" t="inlineStr">
        <is>
          <t>API Livre (+2 agentes)</t>
        </is>
      </c>
      <c r="B17" s="268" t="inlineStr">
        <is>
          <t>R$</t>
        </is>
      </c>
      <c r="C17" s="380">
        <f>C8*('🔧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D17" s="380">
        <f>D8*('🔧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E17" s="380">
        <f>E8*('🔧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F17" s="380">
        <f>F8*('🔧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G17" s="380">
        <f>G8*('🔧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H17" s="380">
        <f>H8*('🔧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I17" s="380">
        <f>I8*('🔧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J17" s="380">
        <f>J8*('🔧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K17" s="380">
        <f>K8*('🔧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L17" s="380">
        <f>L8*('🔧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M17" s="380">
        <f>M8*('🔧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N17" s="380">
        <f>N8*('🔧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O17" s="380">
        <f>O8*('🔧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P17" s="380">
        <f>P8*('🔧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Q17" s="380">
        <f>Q8*('🔧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R17" s="380">
        <f>R8*('🔧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S17" s="380">
        <f>S8*('🔧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T17" s="380">
        <f>T8*('🔧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U17" s="380">
        <f>U8*('🔧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V17" s="380">
        <f>V8*('🔧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W17" s="380">
        <f>W8*('🔧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X17" s="380">
        <f>X8*('🔧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Y17" s="380">
        <f>Y8*('🔧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  <c r="Z17" s="381">
        <f>Z8*('🔧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/>
      </c>
    </row>
    <row r="18" ht="19.5" customHeight="1" s="134">
      <c r="A18" s="269" t="inlineStr">
        <is>
          <t>TOTAL API</t>
        </is>
      </c>
      <c r="B18" s="268" t="inlineStr">
        <is>
          <t>R$</t>
        </is>
      </c>
      <c r="C18" s="382">
        <f>SUM(C14:C17)</f>
        <v/>
      </c>
      <c r="D18" s="382">
        <f>SUM(D14:D17)</f>
        <v/>
      </c>
      <c r="E18" s="382">
        <f>SUM(E14:E17)</f>
        <v/>
      </c>
      <c r="F18" s="382">
        <f>SUM(F14:F17)</f>
        <v/>
      </c>
      <c r="G18" s="382">
        <f>SUM(G14:G17)</f>
        <v/>
      </c>
      <c r="H18" s="382">
        <f>SUM(H14:H17)</f>
        <v/>
      </c>
      <c r="I18" s="382">
        <f>SUM(I14:I17)</f>
        <v/>
      </c>
      <c r="J18" s="382">
        <f>SUM(J14:J17)</f>
        <v/>
      </c>
      <c r="K18" s="382">
        <f>SUM(K14:K17)</f>
        <v/>
      </c>
      <c r="L18" s="382">
        <f>SUM(L14:L17)</f>
        <v/>
      </c>
      <c r="M18" s="382">
        <f>SUM(M14:M17)</f>
        <v/>
      </c>
      <c r="N18" s="382">
        <f>SUM(N14:N17)</f>
        <v/>
      </c>
      <c r="O18" s="382">
        <f>SUM(O14:O17)</f>
        <v/>
      </c>
      <c r="P18" s="382">
        <f>SUM(P14:P17)</f>
        <v/>
      </c>
      <c r="Q18" s="382">
        <f>SUM(Q14:Q17)</f>
        <v/>
      </c>
      <c r="R18" s="382">
        <f>SUM(R14:R17)</f>
        <v/>
      </c>
      <c r="S18" s="382">
        <f>SUM(S14:S17)</f>
        <v/>
      </c>
      <c r="T18" s="382">
        <f>SUM(T14:T17)</f>
        <v/>
      </c>
      <c r="U18" s="382">
        <f>SUM(U14:U17)</f>
        <v/>
      </c>
      <c r="V18" s="382">
        <f>SUM(V14:V17)</f>
        <v/>
      </c>
      <c r="W18" s="382">
        <f>SUM(W14:W17)</f>
        <v/>
      </c>
      <c r="X18" s="382">
        <f>SUM(X14:X17)</f>
        <v/>
      </c>
      <c r="Y18" s="382">
        <f>SUM(Y14:Y17)</f>
        <v/>
      </c>
      <c r="Z18" s="383">
        <f>SUM(Z14:Z17)</f>
        <v/>
      </c>
    </row>
    <row r="19" ht="24" customFormat="1" customHeight="1" s="43">
      <c r="A19" s="384" t="inlineStr">
        <is>
          <t>CUSTO FIXO</t>
        </is>
      </c>
      <c r="Z19" s="13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  <c r="AL19" s="45" t="n"/>
      <c r="AM19" s="45" t="n"/>
      <c r="AN19" s="45" t="n"/>
      <c r="AO19" s="45" t="n"/>
      <c r="AP19" s="45" t="n"/>
      <c r="AQ19" s="45" t="n"/>
      <c r="AR19" s="45" t="n"/>
      <c r="AS19" s="45" t="n"/>
      <c r="AT19" s="45" t="n"/>
      <c r="AU19" s="45" t="n"/>
      <c r="AV19" s="45" t="n"/>
      <c r="AW19" s="45" t="n"/>
      <c r="AX19" s="45" t="n"/>
      <c r="AY19" s="45" t="n"/>
      <c r="AZ19" s="45" t="n"/>
      <c r="BA19" s="45" t="n"/>
      <c r="BB19" s="45" t="n"/>
      <c r="BC19" s="45" t="n"/>
      <c r="BD19" s="45" t="n"/>
      <c r="BE19" s="45" t="n"/>
      <c r="BF19" s="45" t="n"/>
      <c r="BG19" s="45" t="n"/>
      <c r="BH19" s="45" t="n"/>
      <c r="BI19" s="45" t="n"/>
      <c r="BJ19" s="45" t="n"/>
      <c r="BK19" s="45" t="n"/>
      <c r="BL19" s="45" t="n"/>
      <c r="BM19" s="45" t="n"/>
      <c r="BN19" s="45" t="n"/>
      <c r="BO19" s="45" t="n"/>
      <c r="BP19" s="45" t="n"/>
      <c r="BQ19" s="45" t="n"/>
      <c r="BR19" s="45" t="n"/>
      <c r="BS19" s="45" t="n"/>
      <c r="BT19" s="45" t="n"/>
      <c r="BU19" s="45" t="n"/>
      <c r="BV19" s="45" t="n"/>
      <c r="BW19" s="45" t="n"/>
      <c r="BX19" s="45" t="n"/>
      <c r="BY19" s="45" t="n"/>
      <c r="BZ19" s="45" t="n"/>
      <c r="CA19" s="45" t="n"/>
      <c r="CB19" s="45" t="n"/>
      <c r="CC19" s="45" t="n"/>
      <c r="CD19" s="45" t="n"/>
      <c r="CE19" s="45" t="n"/>
      <c r="CF19" s="45" t="n"/>
      <c r="CG19" s="45" t="n"/>
      <c r="CH19" s="45" t="n"/>
      <c r="CI19" s="45" t="n"/>
      <c r="CJ19" s="45" t="n"/>
      <c r="CK19" s="45" t="n"/>
      <c r="CL19" s="45" t="n"/>
      <c r="CM19" s="45" t="n"/>
      <c r="CN19" s="45" t="n"/>
      <c r="CO19" s="45" t="n"/>
      <c r="CP19" s="45" t="n"/>
      <c r="CQ19" s="45" t="n"/>
      <c r="CR19" s="45" t="n"/>
      <c r="CS19" s="45" t="n"/>
      <c r="CT19" s="45" t="n"/>
      <c r="CU19" s="45" t="n"/>
      <c r="CV19" s="45" t="n"/>
      <c r="CW19" s="45" t="n"/>
      <c r="CX19" s="45" t="n"/>
      <c r="CY19" s="45" t="n"/>
      <c r="CZ19" s="45" t="n"/>
      <c r="DA19" s="45" t="n"/>
      <c r="DB19" s="45" t="n"/>
      <c r="DC19" s="45" t="n"/>
      <c r="DD19" s="45" t="n"/>
      <c r="DE19" s="45" t="n"/>
      <c r="DF19" s="45" t="n"/>
      <c r="DG19" s="45" t="n"/>
      <c r="DH19" s="45" t="n"/>
      <c r="DI19" s="45" t="n"/>
      <c r="DJ19" s="45" t="n"/>
      <c r="DK19" s="45" t="n"/>
      <c r="DL19" s="45" t="n"/>
      <c r="DM19" s="45" t="n"/>
      <c r="DN19" s="45" t="n"/>
      <c r="DO19" s="45" t="n"/>
      <c r="DP19" s="45" t="n"/>
      <c r="DQ19" s="45" t="n"/>
      <c r="DR19" s="45" t="n"/>
      <c r="DS19" s="45" t="n"/>
      <c r="DT19" s="45" t="n"/>
      <c r="DU19" s="45" t="n"/>
      <c r="DV19" s="45" t="n"/>
      <c r="DW19" s="45" t="n"/>
      <c r="DX19" s="45" t="n"/>
      <c r="DY19" s="45" t="n"/>
      <c r="DZ19" s="45" t="n"/>
      <c r="EA19" s="45" t="n"/>
      <c r="EB19" s="45" t="n"/>
      <c r="EC19" s="45" t="n"/>
      <c r="ED19" s="45" t="n"/>
      <c r="EE19" s="45" t="n"/>
      <c r="EF19" s="45" t="n"/>
      <c r="EG19" s="45" t="n"/>
      <c r="EH19" s="45" t="n"/>
      <c r="EI19" s="45" t="n"/>
      <c r="EJ19" s="45" t="n"/>
      <c r="EK19" s="45" t="n"/>
      <c r="EL19" s="45" t="n"/>
      <c r="EM19" s="45" t="n"/>
      <c r="EN19" s="45" t="n"/>
      <c r="EO19" s="45" t="n"/>
      <c r="EP19" s="45" t="n"/>
      <c r="EQ19" s="45" t="n"/>
      <c r="ER19" s="45" t="n"/>
      <c r="ES19" s="45" t="n"/>
      <c r="ET19" s="45" t="n"/>
      <c r="EU19" s="45" t="n"/>
      <c r="EV19" s="45" t="n"/>
      <c r="EW19" s="45" t="n"/>
      <c r="EX19" s="45" t="n"/>
      <c r="EY19" s="45" t="n"/>
      <c r="EZ19" s="45" t="n"/>
      <c r="FA19" s="45" t="n"/>
      <c r="FB19" s="45" t="n"/>
      <c r="FC19" s="45" t="n"/>
      <c r="FD19" s="45" t="n"/>
      <c r="FE19" s="45" t="n"/>
      <c r="FF19" s="45" t="n"/>
      <c r="FG19" s="45" t="n"/>
      <c r="FH19" s="45" t="n"/>
      <c r="FI19" s="45" t="n"/>
      <c r="FJ19" s="45" t="n"/>
      <c r="FK19" s="45" t="n"/>
      <c r="FL19" s="45" t="n"/>
      <c r="FM19" s="45" t="n"/>
      <c r="FN19" s="45" t="n"/>
      <c r="FO19" s="45" t="n"/>
      <c r="FP19" s="45" t="n"/>
      <c r="FQ19" s="45" t="n"/>
      <c r="FR19" s="45" t="n"/>
      <c r="FS19" s="45" t="n"/>
      <c r="FT19" s="45" t="n"/>
      <c r="FU19" s="45" t="n"/>
      <c r="FV19" s="45" t="n"/>
      <c r="FW19" s="45" t="n"/>
      <c r="FX19" s="45" t="n"/>
      <c r="FY19" s="45" t="n"/>
      <c r="FZ19" s="45" t="n"/>
      <c r="GA19" s="45" t="n"/>
      <c r="GB19" s="45" t="n"/>
      <c r="GC19" s="45" t="n"/>
      <c r="GD19" s="45" t="n"/>
      <c r="GE19" s="45" t="n"/>
      <c r="GF19" s="45" t="n"/>
      <c r="GG19" s="45" t="n"/>
      <c r="GH19" s="45" t="n"/>
      <c r="GI19" s="45" t="n"/>
      <c r="GJ19" s="45" t="n"/>
      <c r="GK19" s="45" t="n"/>
      <c r="GL19" s="45" t="n"/>
      <c r="GM19" s="45" t="n"/>
      <c r="GN19" s="45" t="n"/>
      <c r="GO19" s="45" t="n"/>
      <c r="GP19" s="45" t="n"/>
      <c r="GQ19" s="45" t="n"/>
      <c r="GR19" s="45" t="n"/>
      <c r="GS19" s="45" t="n"/>
      <c r="GT19" s="45" t="n"/>
      <c r="GU19" s="45" t="n"/>
      <c r="GV19" s="45" t="n"/>
      <c r="GW19" s="45" t="n"/>
      <c r="GX19" s="45" t="n"/>
      <c r="GY19" s="45" t="n"/>
      <c r="GZ19" s="45" t="n"/>
      <c r="HA19" s="45" t="n"/>
      <c r="HB19" s="45" t="n"/>
      <c r="HC19" s="45" t="n"/>
      <c r="HD19" s="45" t="n"/>
      <c r="HE19" s="45" t="n"/>
      <c r="HF19" s="45" t="n"/>
      <c r="HG19" s="45" t="n"/>
      <c r="HH19" s="45" t="n"/>
      <c r="HI19" s="45" t="n"/>
      <c r="HJ19" s="45" t="n"/>
      <c r="HK19" s="45" t="n"/>
      <c r="HL19" s="45" t="n"/>
      <c r="HM19" s="45" t="n"/>
      <c r="HN19" s="45" t="n"/>
      <c r="HO19" s="45" t="n"/>
      <c r="HP19" s="45" t="n"/>
      <c r="HQ19" s="45" t="n"/>
      <c r="HR19" s="45" t="n"/>
      <c r="HS19" s="45" t="n"/>
      <c r="HT19" s="45" t="n"/>
      <c r="HU19" s="45" t="n"/>
      <c r="HV19" s="45" t="n"/>
      <c r="HW19" s="45" t="n"/>
      <c r="HX19" s="45" t="n"/>
      <c r="HY19" s="45" t="n"/>
      <c r="HZ19" s="45" t="n"/>
      <c r="IA19" s="45" t="n"/>
      <c r="IB19" s="45" t="n"/>
      <c r="IC19" s="45" t="n"/>
      <c r="ID19" s="45" t="n"/>
      <c r="IE19" s="45" t="n"/>
      <c r="IF19" s="45" t="n"/>
      <c r="IG19" s="45" t="n"/>
      <c r="IH19" s="45" t="n"/>
      <c r="II19" s="45" t="n"/>
      <c r="IJ19" s="45" t="n"/>
      <c r="IK19" s="45" t="n"/>
      <c r="IL19" s="45" t="n"/>
      <c r="IM19" s="45" t="n"/>
      <c r="IN19" s="45" t="n"/>
      <c r="IO19" s="45" t="n"/>
      <c r="IP19" s="45" t="n"/>
      <c r="IQ19" s="45" t="n"/>
      <c r="IR19" s="45" t="n"/>
      <c r="IS19" s="45" t="n"/>
      <c r="IT19" s="45" t="n"/>
      <c r="IU19" s="45" t="n"/>
      <c r="IV19" s="45" t="n"/>
      <c r="IW19" s="45" t="n"/>
      <c r="IX19" s="45" t="n"/>
      <c r="IY19" s="45" t="n"/>
      <c r="IZ19" s="45" t="n"/>
      <c r="JA19" s="45" t="n"/>
      <c r="JB19" s="45" t="n"/>
      <c r="JC19" s="45" t="n"/>
      <c r="JD19" s="45" t="n"/>
      <c r="JE19" s="45" t="n"/>
      <c r="JF19" s="45" t="n"/>
      <c r="JG19" s="45" t="n"/>
      <c r="JH19" s="45" t="n"/>
      <c r="JI19" s="45" t="n"/>
      <c r="JJ19" s="45" t="n"/>
      <c r="JK19" s="45" t="n"/>
      <c r="JL19" s="45" t="n"/>
      <c r="JM19" s="45" t="n"/>
      <c r="JN19" s="45" t="n"/>
      <c r="JO19" s="45" t="n"/>
      <c r="JP19" s="45" t="n"/>
      <c r="JQ19" s="45" t="n"/>
      <c r="JR19" s="45" t="n"/>
      <c r="JS19" s="45" t="n"/>
      <c r="JT19" s="45" t="n"/>
      <c r="JU19" s="45" t="n"/>
      <c r="JV19" s="45" t="n"/>
      <c r="JW19" s="45" t="n"/>
      <c r="JX19" s="45" t="n"/>
      <c r="JY19" s="45" t="n"/>
      <c r="JZ19" s="45" t="n"/>
      <c r="KA19" s="45" t="n"/>
      <c r="KB19" s="45" t="n"/>
      <c r="KC19" s="45" t="n"/>
      <c r="KD19" s="45" t="n"/>
      <c r="KE19" s="45" t="n"/>
      <c r="KF19" s="45" t="n"/>
      <c r="KG19" s="45" t="n"/>
      <c r="KH19" s="45" t="n"/>
      <c r="KI19" s="45" t="n"/>
      <c r="KJ19" s="45" t="n"/>
      <c r="KK19" s="45" t="n"/>
      <c r="KL19" s="45" t="n"/>
      <c r="KM19" s="45" t="n"/>
      <c r="KN19" s="45" t="n"/>
      <c r="KO19" s="45" t="n"/>
      <c r="KP19" s="45" t="n"/>
      <c r="KQ19" s="45" t="n"/>
      <c r="KR19" s="45" t="n"/>
      <c r="KS19" s="45" t="n"/>
      <c r="KT19" s="45" t="n"/>
      <c r="KU19" s="45" t="n"/>
      <c r="KV19" s="45" t="n"/>
      <c r="KW19" s="45" t="n"/>
      <c r="KX19" s="45" t="n"/>
      <c r="KY19" s="45" t="n"/>
      <c r="KZ19" s="45" t="n"/>
      <c r="LA19" s="45" t="n"/>
      <c r="LB19" s="45" t="n"/>
      <c r="LC19" s="45" t="n"/>
      <c r="LD19" s="45" t="n"/>
      <c r="LE19" s="45" t="n"/>
      <c r="LF19" s="45" t="n"/>
      <c r="LG19" s="45" t="n"/>
      <c r="LH19" s="45" t="n"/>
      <c r="LI19" s="45" t="n"/>
      <c r="LJ19" s="45" t="n"/>
      <c r="LK19" s="45" t="n"/>
      <c r="LL19" s="45" t="n"/>
      <c r="LM19" s="45" t="n"/>
      <c r="LN19" s="45" t="n"/>
      <c r="LO19" s="45" t="n"/>
      <c r="LP19" s="45" t="n"/>
      <c r="LQ19" s="45" t="n"/>
      <c r="LR19" s="45" t="n"/>
      <c r="LS19" s="45" t="n"/>
      <c r="LT19" s="45" t="n"/>
      <c r="LU19" s="45" t="n"/>
      <c r="LV19" s="45" t="n"/>
      <c r="LW19" s="45" t="n"/>
      <c r="LX19" s="45" t="n"/>
      <c r="LY19" s="45" t="n"/>
      <c r="LZ19" s="45" t="n"/>
      <c r="MA19" s="45" t="n"/>
      <c r="MB19" s="45" t="n"/>
      <c r="MC19" s="45" t="n"/>
      <c r="MD19" s="45" t="n"/>
      <c r="ME19" s="45" t="n"/>
      <c r="MF19" s="45" t="n"/>
      <c r="MG19" s="45" t="n"/>
      <c r="MH19" s="45" t="n"/>
      <c r="MI19" s="45" t="n"/>
      <c r="MJ19" s="45" t="n"/>
      <c r="MK19" s="45" t="n"/>
      <c r="ML19" s="45" t="n"/>
      <c r="MM19" s="45" t="n"/>
      <c r="MN19" s="45" t="n"/>
      <c r="MO19" s="45" t="n"/>
      <c r="MP19" s="45" t="n"/>
      <c r="MQ19" s="45" t="n"/>
      <c r="MR19" s="45" t="n"/>
      <c r="MS19" s="45" t="n"/>
      <c r="MT19" s="45" t="n"/>
      <c r="MU19" s="45" t="n"/>
      <c r="MV19" s="45" t="n"/>
      <c r="MW19" s="45" t="n"/>
      <c r="MX19" s="45" t="n"/>
      <c r="MY19" s="45" t="n"/>
      <c r="MZ19" s="45" t="n"/>
      <c r="NA19" s="45" t="n"/>
      <c r="NB19" s="45" t="n"/>
      <c r="NC19" s="45" t="n"/>
      <c r="ND19" s="45" t="n"/>
      <c r="NE19" s="45" t="n"/>
      <c r="NF19" s="45" t="n"/>
      <c r="NG19" s="45" t="n"/>
      <c r="NH19" s="45" t="n"/>
      <c r="NI19" s="45" t="n"/>
      <c r="NJ19" s="45" t="n"/>
      <c r="NK19" s="45" t="n"/>
      <c r="NL19" s="45" t="n"/>
      <c r="NM19" s="45" t="n"/>
      <c r="NN19" s="45" t="n"/>
      <c r="NO19" s="45" t="n"/>
      <c r="NP19" s="45" t="n"/>
      <c r="NQ19" s="45" t="n"/>
      <c r="NR19" s="45" t="n"/>
      <c r="NS19" s="45" t="n"/>
      <c r="NT19" s="45" t="n"/>
      <c r="NU19" s="45" t="n"/>
      <c r="NV19" s="45" t="n"/>
      <c r="NW19" s="45" t="n"/>
      <c r="NX19" s="45" t="n"/>
      <c r="NY19" s="45" t="n"/>
      <c r="NZ19" s="45" t="n"/>
      <c r="OA19" s="45" t="n"/>
      <c r="OB19" s="45" t="n"/>
      <c r="OC19" s="45" t="n"/>
      <c r="OD19" s="45" t="n"/>
      <c r="OE19" s="45" t="n"/>
      <c r="OF19" s="45" t="n"/>
      <c r="OG19" s="45" t="n"/>
      <c r="OH19" s="45" t="n"/>
      <c r="OI19" s="45" t="n"/>
      <c r="OJ19" s="45" t="n"/>
      <c r="OK19" s="45" t="n"/>
      <c r="OL19" s="45" t="n"/>
      <c r="OM19" s="45" t="n"/>
      <c r="ON19" s="45" t="n"/>
      <c r="OO19" s="45" t="n"/>
      <c r="OP19" s="45" t="n"/>
      <c r="OQ19" s="45" t="n"/>
      <c r="OR19" s="45" t="n"/>
      <c r="OS19" s="45" t="n"/>
      <c r="OT19" s="45" t="n"/>
      <c r="OU19" s="45" t="n"/>
      <c r="OV19" s="45" t="n"/>
      <c r="OW19" s="45" t="n"/>
      <c r="OX19" s="45" t="n"/>
      <c r="OY19" s="45" t="n"/>
      <c r="OZ19" s="45" t="n"/>
      <c r="PA19" s="45" t="n"/>
      <c r="PB19" s="45" t="n"/>
      <c r="PC19" s="45" t="n"/>
      <c r="PD19" s="45" t="n"/>
      <c r="PE19" s="45" t="n"/>
      <c r="PF19" s="45" t="n"/>
      <c r="PG19" s="45" t="n"/>
      <c r="PH19" s="45" t="n"/>
      <c r="PI19" s="45" t="n"/>
      <c r="PJ19" s="45" t="n"/>
      <c r="PK19" s="45" t="n"/>
      <c r="PL19" s="45" t="n"/>
      <c r="PM19" s="45" t="n"/>
      <c r="PN19" s="45" t="n"/>
      <c r="PO19" s="45" t="n"/>
      <c r="PP19" s="45" t="n"/>
      <c r="PQ19" s="45" t="n"/>
      <c r="PR19" s="45" t="n"/>
      <c r="PS19" s="45" t="n"/>
      <c r="PT19" s="45" t="n"/>
      <c r="PU19" s="45" t="n"/>
      <c r="PV19" s="45" t="n"/>
      <c r="PW19" s="45" t="n"/>
      <c r="PX19" s="45" t="n"/>
      <c r="PY19" s="45" t="n"/>
      <c r="PZ19" s="45" t="n"/>
      <c r="QA19" s="45" t="n"/>
      <c r="QB19" s="45" t="n"/>
      <c r="QC19" s="45" t="n"/>
      <c r="QD19" s="45" t="n"/>
      <c r="QE19" s="45" t="n"/>
      <c r="QF19" s="45" t="n"/>
      <c r="QG19" s="45" t="n"/>
      <c r="QH19" s="45" t="n"/>
      <c r="QI19" s="45" t="n"/>
      <c r="QJ19" s="45" t="n"/>
      <c r="QK19" s="45" t="n"/>
      <c r="QL19" s="45" t="n"/>
      <c r="QM19" s="45" t="n"/>
      <c r="QN19" s="45" t="n"/>
      <c r="QO19" s="45" t="n"/>
      <c r="QP19" s="45" t="n"/>
      <c r="QQ19" s="45" t="n"/>
      <c r="QR19" s="45" t="n"/>
      <c r="QS19" s="45" t="n"/>
      <c r="QT19" s="45" t="n"/>
      <c r="QU19" s="45" t="n"/>
      <c r="QV19" s="45" t="n"/>
      <c r="QW19" s="45" t="n"/>
      <c r="QX19" s="45" t="n"/>
      <c r="QY19" s="45" t="n"/>
      <c r="QZ19" s="45" t="n"/>
      <c r="RA19" s="45" t="n"/>
      <c r="RB19" s="45" t="n"/>
      <c r="RC19" s="45" t="n"/>
      <c r="RD19" s="45" t="n"/>
      <c r="RE19" s="45" t="n"/>
      <c r="RF19" s="45" t="n"/>
      <c r="RG19" s="45" t="n"/>
      <c r="RH19" s="45" t="n"/>
      <c r="RI19" s="45" t="n"/>
      <c r="RJ19" s="45" t="n"/>
      <c r="RK19" s="45" t="n"/>
      <c r="RL19" s="45" t="n"/>
      <c r="RM19" s="45" t="n"/>
      <c r="RN19" s="45" t="n"/>
      <c r="RO19" s="45" t="n"/>
      <c r="RP19" s="45" t="n"/>
      <c r="RQ19" s="45" t="n"/>
      <c r="RR19" s="45" t="n"/>
      <c r="RS19" s="45" t="n"/>
      <c r="RT19" s="45" t="n"/>
      <c r="RU19" s="45" t="n"/>
      <c r="RV19" s="45" t="n"/>
      <c r="RW19" s="45" t="n"/>
      <c r="RX19" s="45" t="n"/>
      <c r="RY19" s="45" t="n"/>
      <c r="RZ19" s="45" t="n"/>
      <c r="SA19" s="45" t="n"/>
      <c r="SB19" s="45" t="n"/>
      <c r="SC19" s="45" t="n"/>
      <c r="SD19" s="45" t="n"/>
      <c r="SE19" s="45" t="n"/>
      <c r="SF19" s="45" t="n"/>
      <c r="SG19" s="45" t="n"/>
      <c r="SH19" s="45" t="n"/>
      <c r="SI19" s="45" t="n"/>
      <c r="SJ19" s="45" t="n"/>
      <c r="SK19" s="45" t="n"/>
      <c r="SL19" s="45" t="n"/>
      <c r="SM19" s="45" t="n"/>
      <c r="SN19" s="45" t="n"/>
      <c r="SO19" s="45" t="n"/>
      <c r="SP19" s="45" t="n"/>
      <c r="SQ19" s="45" t="n"/>
      <c r="SR19" s="45" t="n"/>
      <c r="SS19" s="45" t="n"/>
      <c r="ST19" s="45" t="n"/>
      <c r="SU19" s="45" t="n"/>
      <c r="SV19" s="45" t="n"/>
      <c r="SW19" s="45" t="n"/>
      <c r="SX19" s="45" t="n"/>
      <c r="SY19" s="45" t="n"/>
      <c r="SZ19" s="45" t="n"/>
      <c r="TA19" s="45" t="n"/>
      <c r="TB19" s="45" t="n"/>
      <c r="TC19" s="45" t="n"/>
      <c r="TD19" s="45" t="n"/>
      <c r="TE19" s="45" t="n"/>
      <c r="TF19" s="45" t="n"/>
      <c r="TG19" s="45" t="n"/>
      <c r="TH19" s="45" t="n"/>
      <c r="TI19" s="45" t="n"/>
      <c r="TJ19" s="45" t="n"/>
      <c r="TK19" s="45" t="n"/>
    </row>
    <row r="20" ht="19.5" customHeight="1" s="134">
      <c r="A20" s="205" t="inlineStr">
        <is>
          <t>Custo Fixo (equipe+infra+mkt)</t>
        </is>
      </c>
      <c r="B20" s="268" t="inlineStr">
        <is>
          <t>R$</t>
        </is>
      </c>
      <c r="C20" s="385">
        <f>'🔧 Cenário Ativo'!B36+'🔧 Cenário Ativo'!B38+'🔧 Cenário Ativo'!B40+'🔧 Cenário Ativo'!B42</f>
        <v/>
      </c>
      <c r="D20" s="385">
        <f>'🔧 Cenário Ativo'!B36+'🔧 Cenário Ativo'!B38+'🔧 Cenário Ativo'!B40+'🔧 Cenário Ativo'!B42</f>
        <v/>
      </c>
      <c r="E20" s="385">
        <f>'🔧 Cenário Ativo'!B36+'🔧 Cenário Ativo'!B38+'🔧 Cenário Ativo'!B40+'🔧 Cenário Ativo'!B42</f>
        <v/>
      </c>
      <c r="F20" s="385">
        <f>'🔧 Cenário Ativo'!B36+'🔧 Cenário Ativo'!B38+'🔧 Cenário Ativo'!B40+'🔧 Cenário Ativo'!B42</f>
        <v/>
      </c>
      <c r="G20" s="385">
        <f>'🔧 Cenário Ativo'!B36+'🔧 Cenário Ativo'!B38+'🔧 Cenário Ativo'!B40+'🔧 Cenário Ativo'!B42</f>
        <v/>
      </c>
      <c r="H20" s="385">
        <f>'🔧 Cenário Ativo'!B36+'🔧 Cenário Ativo'!B38+'🔧 Cenário Ativo'!B40+'🔧 Cenário Ativo'!B42</f>
        <v/>
      </c>
      <c r="I20" s="385">
        <f>'🔧 Cenário Ativo'!B36+'🔧 Cenário Ativo'!B38+'🔧 Cenário Ativo'!B40+'🔧 Cenário Ativo'!B42</f>
        <v/>
      </c>
      <c r="J20" s="385">
        <f>'🔧 Cenário Ativo'!B36+'🔧 Cenário Ativo'!B38+'🔧 Cenário Ativo'!B40+'🔧 Cenário Ativo'!B42</f>
        <v/>
      </c>
      <c r="K20" s="385">
        <f>'🔧 Cenário Ativo'!B36+'🔧 Cenário Ativo'!B38+'🔧 Cenário Ativo'!B40+'🔧 Cenário Ativo'!B42</f>
        <v/>
      </c>
      <c r="L20" s="385">
        <f>'🔧 Cenário Ativo'!B36+'🔧 Cenário Ativo'!B38+'🔧 Cenário Ativo'!B40+'🔧 Cenário Ativo'!B42</f>
        <v/>
      </c>
      <c r="M20" s="385">
        <f>'🔧 Cenário Ativo'!B36+'🔧 Cenário Ativo'!B38+'🔧 Cenário Ativo'!B40+'🔧 Cenário Ativo'!B42</f>
        <v/>
      </c>
      <c r="N20" s="385">
        <f>'🔧 Cenário Ativo'!B36+'🔧 Cenário Ativo'!B38+'🔧 Cenário Ativo'!B40+'🔧 Cenário Ativo'!B42</f>
        <v/>
      </c>
      <c r="O20" s="385">
        <f>'🔧 Cenário Ativo'!B37+'🔧 Cenário Ativo'!B39+'🔧 Cenário Ativo'!B41+'🔧 Cenário Ativo'!B42</f>
        <v/>
      </c>
      <c r="P20" s="385">
        <f>'🔧 Cenário Ativo'!B37+'🔧 Cenário Ativo'!B39+'🔧 Cenário Ativo'!B41+'🔧 Cenário Ativo'!B42</f>
        <v/>
      </c>
      <c r="Q20" s="385">
        <f>'🔧 Cenário Ativo'!B37+'🔧 Cenário Ativo'!B39+'🔧 Cenário Ativo'!B41+'🔧 Cenário Ativo'!B42</f>
        <v/>
      </c>
      <c r="R20" s="385">
        <f>'🔧 Cenário Ativo'!B37+'🔧 Cenário Ativo'!B39+'🔧 Cenário Ativo'!B41+'🔧 Cenário Ativo'!B42</f>
        <v/>
      </c>
      <c r="S20" s="385">
        <f>'🔧 Cenário Ativo'!B37+'🔧 Cenário Ativo'!B39+'🔧 Cenário Ativo'!B41+'🔧 Cenário Ativo'!B42</f>
        <v/>
      </c>
      <c r="T20" s="385">
        <f>'🔧 Cenário Ativo'!B37+'🔧 Cenário Ativo'!B39+'🔧 Cenário Ativo'!B41+'🔧 Cenário Ativo'!B42</f>
        <v/>
      </c>
      <c r="U20" s="385">
        <f>'🔧 Cenário Ativo'!B37+'🔧 Cenário Ativo'!B39+'🔧 Cenário Ativo'!B41+'🔧 Cenário Ativo'!B42</f>
        <v/>
      </c>
      <c r="V20" s="385">
        <f>'🔧 Cenário Ativo'!B37+'🔧 Cenário Ativo'!B39+'🔧 Cenário Ativo'!B41+'🔧 Cenário Ativo'!B42</f>
        <v/>
      </c>
      <c r="W20" s="385">
        <f>'🔧 Cenário Ativo'!B37+'🔧 Cenário Ativo'!B39+'🔧 Cenário Ativo'!B41+'🔧 Cenário Ativo'!B42</f>
        <v/>
      </c>
      <c r="X20" s="385">
        <f>'🔧 Cenário Ativo'!B37+'🔧 Cenário Ativo'!B39+'🔧 Cenário Ativo'!B41+'🔧 Cenário Ativo'!B42</f>
        <v/>
      </c>
      <c r="Y20" s="385">
        <f>'🔧 Cenário Ativo'!B37+'🔧 Cenário Ativo'!B39+'🔧 Cenário Ativo'!B41+'🔧 Cenário Ativo'!B42</f>
        <v/>
      </c>
      <c r="Z20" s="386">
        <f>'🔧 Cenário Ativo'!B37+'🔧 Cenário Ativo'!B39+'🔧 Cenário Ativo'!B41+'🔧 Cenário Ativo'!B42</f>
        <v/>
      </c>
    </row>
    <row r="21" ht="19.5" customHeight="1" s="134">
      <c r="A21" s="269" t="inlineStr">
        <is>
          <t xml:space="preserve">IMPOSTOS </t>
        </is>
      </c>
      <c r="B21" s="279" t="inlineStr">
        <is>
          <t>R$</t>
        </is>
      </c>
      <c r="C21" s="387">
        <f>C11*'🔧 Cenário Ativo'!$B$56</f>
        <v/>
      </c>
      <c r="D21" s="387">
        <f>D11*'🔧 Cenário Ativo'!$B$56</f>
        <v/>
      </c>
      <c r="E21" s="387">
        <f>E11*'🔧 Cenário Ativo'!$B$56</f>
        <v/>
      </c>
      <c r="F21" s="387">
        <f>F11*'🔧 Cenário Ativo'!$B$56</f>
        <v/>
      </c>
      <c r="G21" s="387">
        <f>G11*'🔧 Cenário Ativo'!$B$56</f>
        <v/>
      </c>
      <c r="H21" s="387">
        <f>H11*'🔧 Cenário Ativo'!$B$56</f>
        <v/>
      </c>
      <c r="I21" s="387">
        <f>I11*'🔧 Cenário Ativo'!$B$56</f>
        <v/>
      </c>
      <c r="J21" s="387">
        <f>J11*'🔧 Cenário Ativo'!$B$56</f>
        <v/>
      </c>
      <c r="K21" s="387">
        <f>K11*'🔧 Cenário Ativo'!$B$56</f>
        <v/>
      </c>
      <c r="L21" s="387">
        <f>L11*'🔧 Cenário Ativo'!$B$56</f>
        <v/>
      </c>
      <c r="M21" s="387">
        <f>M11*'🔧 Cenário Ativo'!$B$56</f>
        <v/>
      </c>
      <c r="N21" s="387">
        <f>N11*'🔧 Cenário Ativo'!$B$56</f>
        <v/>
      </c>
      <c r="O21" s="387">
        <f>O11*'🔧 Cenário Ativo'!$B$56</f>
        <v/>
      </c>
      <c r="P21" s="387">
        <f>P11*'🔧 Cenário Ativo'!$B$56</f>
        <v/>
      </c>
      <c r="Q21" s="387">
        <f>Q11*'🔧 Cenário Ativo'!$B$56</f>
        <v/>
      </c>
      <c r="R21" s="387">
        <f>R11*'🔧 Cenário Ativo'!$B$56</f>
        <v/>
      </c>
      <c r="S21" s="387">
        <f>S11*'🔧 Cenário Ativo'!$B$56</f>
        <v/>
      </c>
      <c r="T21" s="387">
        <f>T11*'🔧 Cenário Ativo'!$B$56</f>
        <v/>
      </c>
      <c r="U21" s="387">
        <f>U11*'🔧 Cenário Ativo'!$B$56</f>
        <v/>
      </c>
      <c r="V21" s="387">
        <f>V11*'🔧 Cenário Ativo'!$B$56</f>
        <v/>
      </c>
      <c r="W21" s="387">
        <f>W11*'🔧 Cenário Ativo'!$B$56</f>
        <v/>
      </c>
      <c r="X21" s="387">
        <f>X11*'🔧 Cenário Ativo'!$B$56</f>
        <v/>
      </c>
      <c r="Y21" s="387">
        <f>Y11*'🔧 Cenário Ativo'!$B$56</f>
        <v/>
      </c>
      <c r="Z21" s="388">
        <f>Z11*'🔧 Cenário Ativo'!$B$56</f>
        <v/>
      </c>
    </row>
    <row r="22" ht="24" customFormat="1" customHeight="1" s="43">
      <c r="A22" s="389" t="inlineStr">
        <is>
          <t>RESULTADO</t>
        </is>
      </c>
      <c r="Z22" s="13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5" t="n"/>
      <c r="AV22" s="45" t="n"/>
      <c r="AW22" s="45" t="n"/>
      <c r="AX22" s="45" t="n"/>
      <c r="AY22" s="45" t="n"/>
      <c r="AZ22" s="45" t="n"/>
      <c r="BA22" s="45" t="n"/>
      <c r="BB22" s="45" t="n"/>
      <c r="BC22" s="45" t="n"/>
      <c r="BD22" s="45" t="n"/>
      <c r="BE22" s="45" t="n"/>
      <c r="BF22" s="45" t="n"/>
      <c r="BG22" s="45" t="n"/>
      <c r="BH22" s="45" t="n"/>
      <c r="BI22" s="45" t="n"/>
      <c r="BJ22" s="45" t="n"/>
      <c r="BK22" s="45" t="n"/>
      <c r="BL22" s="45" t="n"/>
      <c r="BM22" s="45" t="n"/>
      <c r="BN22" s="45" t="n"/>
      <c r="BO22" s="45" t="n"/>
      <c r="BP22" s="45" t="n"/>
      <c r="BQ22" s="45" t="n"/>
      <c r="BR22" s="45" t="n"/>
      <c r="BS22" s="45" t="n"/>
      <c r="BT22" s="45" t="n"/>
      <c r="BU22" s="45" t="n"/>
      <c r="BV22" s="45" t="n"/>
      <c r="BW22" s="45" t="n"/>
      <c r="BX22" s="45" t="n"/>
      <c r="BY22" s="45" t="n"/>
      <c r="BZ22" s="45" t="n"/>
      <c r="CA22" s="45" t="n"/>
      <c r="CB22" s="45" t="n"/>
      <c r="CC22" s="45" t="n"/>
      <c r="CD22" s="45" t="n"/>
      <c r="CE22" s="45" t="n"/>
      <c r="CF22" s="45" t="n"/>
      <c r="CG22" s="45" t="n"/>
      <c r="CH22" s="45" t="n"/>
      <c r="CI22" s="45" t="n"/>
      <c r="CJ22" s="45" t="n"/>
      <c r="CK22" s="45" t="n"/>
      <c r="CL22" s="45" t="n"/>
      <c r="CM22" s="45" t="n"/>
      <c r="CN22" s="45" t="n"/>
      <c r="CO22" s="45" t="n"/>
      <c r="CP22" s="45" t="n"/>
      <c r="CQ22" s="45" t="n"/>
      <c r="CR22" s="45" t="n"/>
      <c r="CS22" s="45" t="n"/>
      <c r="CT22" s="45" t="n"/>
      <c r="CU22" s="45" t="n"/>
      <c r="CV22" s="45" t="n"/>
      <c r="CW22" s="45" t="n"/>
      <c r="CX22" s="45" t="n"/>
      <c r="CY22" s="45" t="n"/>
      <c r="CZ22" s="45" t="n"/>
      <c r="DA22" s="45" t="n"/>
      <c r="DB22" s="45" t="n"/>
      <c r="DC22" s="45" t="n"/>
      <c r="DD22" s="45" t="n"/>
      <c r="DE22" s="45" t="n"/>
      <c r="DF22" s="45" t="n"/>
      <c r="DG22" s="45" t="n"/>
      <c r="DH22" s="45" t="n"/>
      <c r="DI22" s="45" t="n"/>
      <c r="DJ22" s="45" t="n"/>
      <c r="DK22" s="45" t="n"/>
      <c r="DL22" s="45" t="n"/>
      <c r="DM22" s="45" t="n"/>
      <c r="DN22" s="45" t="n"/>
      <c r="DO22" s="45" t="n"/>
      <c r="DP22" s="45" t="n"/>
      <c r="DQ22" s="45" t="n"/>
      <c r="DR22" s="45" t="n"/>
      <c r="DS22" s="45" t="n"/>
      <c r="DT22" s="45" t="n"/>
      <c r="DU22" s="45" t="n"/>
      <c r="DV22" s="45" t="n"/>
      <c r="DW22" s="45" t="n"/>
      <c r="DX22" s="45" t="n"/>
      <c r="DY22" s="45" t="n"/>
      <c r="DZ22" s="45" t="n"/>
      <c r="EA22" s="45" t="n"/>
      <c r="EB22" s="45" t="n"/>
      <c r="EC22" s="45" t="n"/>
      <c r="ED22" s="45" t="n"/>
      <c r="EE22" s="45" t="n"/>
      <c r="EF22" s="45" t="n"/>
      <c r="EG22" s="45" t="n"/>
      <c r="EH22" s="45" t="n"/>
      <c r="EI22" s="45" t="n"/>
      <c r="EJ22" s="45" t="n"/>
      <c r="EK22" s="45" t="n"/>
      <c r="EL22" s="45" t="n"/>
      <c r="EM22" s="45" t="n"/>
      <c r="EN22" s="45" t="n"/>
      <c r="EO22" s="45" t="n"/>
      <c r="EP22" s="45" t="n"/>
      <c r="EQ22" s="45" t="n"/>
      <c r="ER22" s="45" t="n"/>
      <c r="ES22" s="45" t="n"/>
      <c r="ET22" s="45" t="n"/>
      <c r="EU22" s="45" t="n"/>
      <c r="EV22" s="45" t="n"/>
      <c r="EW22" s="45" t="n"/>
      <c r="EX22" s="45" t="n"/>
      <c r="EY22" s="45" t="n"/>
      <c r="EZ22" s="45" t="n"/>
      <c r="FA22" s="45" t="n"/>
      <c r="FB22" s="45" t="n"/>
      <c r="FC22" s="45" t="n"/>
      <c r="FD22" s="45" t="n"/>
      <c r="FE22" s="45" t="n"/>
      <c r="FF22" s="45" t="n"/>
      <c r="FG22" s="45" t="n"/>
      <c r="FH22" s="45" t="n"/>
      <c r="FI22" s="45" t="n"/>
      <c r="FJ22" s="45" t="n"/>
      <c r="FK22" s="45" t="n"/>
      <c r="FL22" s="45" t="n"/>
      <c r="FM22" s="45" t="n"/>
      <c r="FN22" s="45" t="n"/>
      <c r="FO22" s="45" t="n"/>
      <c r="FP22" s="45" t="n"/>
      <c r="FQ22" s="45" t="n"/>
      <c r="FR22" s="45" t="n"/>
      <c r="FS22" s="45" t="n"/>
      <c r="FT22" s="45" t="n"/>
      <c r="FU22" s="45" t="n"/>
      <c r="FV22" s="45" t="n"/>
      <c r="FW22" s="45" t="n"/>
      <c r="FX22" s="45" t="n"/>
      <c r="FY22" s="45" t="n"/>
      <c r="FZ22" s="45" t="n"/>
      <c r="GA22" s="45" t="n"/>
      <c r="GB22" s="45" t="n"/>
      <c r="GC22" s="45" t="n"/>
      <c r="GD22" s="45" t="n"/>
      <c r="GE22" s="45" t="n"/>
      <c r="GF22" s="45" t="n"/>
      <c r="GG22" s="45" t="n"/>
      <c r="GH22" s="45" t="n"/>
      <c r="GI22" s="45" t="n"/>
      <c r="GJ22" s="45" t="n"/>
      <c r="GK22" s="45" t="n"/>
      <c r="GL22" s="45" t="n"/>
      <c r="GM22" s="45" t="n"/>
      <c r="GN22" s="45" t="n"/>
      <c r="GO22" s="45" t="n"/>
      <c r="GP22" s="45" t="n"/>
      <c r="GQ22" s="45" t="n"/>
      <c r="GR22" s="45" t="n"/>
      <c r="GS22" s="45" t="n"/>
      <c r="GT22" s="45" t="n"/>
      <c r="GU22" s="45" t="n"/>
      <c r="GV22" s="45" t="n"/>
      <c r="GW22" s="45" t="n"/>
      <c r="GX22" s="45" t="n"/>
      <c r="GY22" s="45" t="n"/>
      <c r="GZ22" s="45" t="n"/>
      <c r="HA22" s="45" t="n"/>
      <c r="HB22" s="45" t="n"/>
      <c r="HC22" s="45" t="n"/>
      <c r="HD22" s="45" t="n"/>
      <c r="HE22" s="45" t="n"/>
      <c r="HF22" s="45" t="n"/>
      <c r="HG22" s="45" t="n"/>
      <c r="HH22" s="45" t="n"/>
      <c r="HI22" s="45" t="n"/>
      <c r="HJ22" s="45" t="n"/>
      <c r="HK22" s="45" t="n"/>
      <c r="HL22" s="45" t="n"/>
      <c r="HM22" s="45" t="n"/>
      <c r="HN22" s="45" t="n"/>
      <c r="HO22" s="45" t="n"/>
      <c r="HP22" s="45" t="n"/>
      <c r="HQ22" s="45" t="n"/>
      <c r="HR22" s="45" t="n"/>
      <c r="HS22" s="45" t="n"/>
      <c r="HT22" s="45" t="n"/>
      <c r="HU22" s="45" t="n"/>
      <c r="HV22" s="45" t="n"/>
      <c r="HW22" s="45" t="n"/>
      <c r="HX22" s="45" t="n"/>
      <c r="HY22" s="45" t="n"/>
      <c r="HZ22" s="45" t="n"/>
      <c r="IA22" s="45" t="n"/>
      <c r="IB22" s="45" t="n"/>
      <c r="IC22" s="45" t="n"/>
      <c r="ID22" s="45" t="n"/>
      <c r="IE22" s="45" t="n"/>
      <c r="IF22" s="45" t="n"/>
      <c r="IG22" s="45" t="n"/>
      <c r="IH22" s="45" t="n"/>
      <c r="II22" s="45" t="n"/>
      <c r="IJ22" s="45" t="n"/>
      <c r="IK22" s="45" t="n"/>
      <c r="IL22" s="45" t="n"/>
      <c r="IM22" s="45" t="n"/>
      <c r="IN22" s="45" t="n"/>
      <c r="IO22" s="45" t="n"/>
      <c r="IP22" s="45" t="n"/>
      <c r="IQ22" s="45" t="n"/>
      <c r="IR22" s="45" t="n"/>
      <c r="IS22" s="45" t="n"/>
      <c r="IT22" s="45" t="n"/>
      <c r="IU22" s="45" t="n"/>
      <c r="IV22" s="45" t="n"/>
      <c r="IW22" s="45" t="n"/>
      <c r="IX22" s="45" t="n"/>
      <c r="IY22" s="45" t="n"/>
      <c r="IZ22" s="45" t="n"/>
      <c r="JA22" s="45" t="n"/>
      <c r="JB22" s="45" t="n"/>
      <c r="JC22" s="45" t="n"/>
      <c r="JD22" s="45" t="n"/>
      <c r="JE22" s="45" t="n"/>
      <c r="JF22" s="45" t="n"/>
      <c r="JG22" s="45" t="n"/>
      <c r="JH22" s="45" t="n"/>
      <c r="JI22" s="45" t="n"/>
      <c r="JJ22" s="45" t="n"/>
      <c r="JK22" s="45" t="n"/>
      <c r="JL22" s="45" t="n"/>
      <c r="JM22" s="45" t="n"/>
      <c r="JN22" s="45" t="n"/>
      <c r="JO22" s="45" t="n"/>
      <c r="JP22" s="45" t="n"/>
      <c r="JQ22" s="45" t="n"/>
      <c r="JR22" s="45" t="n"/>
      <c r="JS22" s="45" t="n"/>
      <c r="JT22" s="45" t="n"/>
      <c r="JU22" s="45" t="n"/>
      <c r="JV22" s="45" t="n"/>
      <c r="JW22" s="45" t="n"/>
      <c r="JX22" s="45" t="n"/>
      <c r="JY22" s="45" t="n"/>
      <c r="JZ22" s="45" t="n"/>
      <c r="KA22" s="45" t="n"/>
      <c r="KB22" s="45" t="n"/>
      <c r="KC22" s="45" t="n"/>
      <c r="KD22" s="45" t="n"/>
      <c r="KE22" s="45" t="n"/>
      <c r="KF22" s="45" t="n"/>
      <c r="KG22" s="45" t="n"/>
      <c r="KH22" s="45" t="n"/>
      <c r="KI22" s="45" t="n"/>
      <c r="KJ22" s="45" t="n"/>
      <c r="KK22" s="45" t="n"/>
      <c r="KL22" s="45" t="n"/>
      <c r="KM22" s="45" t="n"/>
      <c r="KN22" s="45" t="n"/>
      <c r="KO22" s="45" t="n"/>
      <c r="KP22" s="45" t="n"/>
      <c r="KQ22" s="45" t="n"/>
      <c r="KR22" s="45" t="n"/>
      <c r="KS22" s="45" t="n"/>
      <c r="KT22" s="45" t="n"/>
      <c r="KU22" s="45" t="n"/>
      <c r="KV22" s="45" t="n"/>
      <c r="KW22" s="45" t="n"/>
      <c r="KX22" s="45" t="n"/>
      <c r="KY22" s="45" t="n"/>
      <c r="KZ22" s="45" t="n"/>
      <c r="LA22" s="45" t="n"/>
      <c r="LB22" s="45" t="n"/>
      <c r="LC22" s="45" t="n"/>
      <c r="LD22" s="45" t="n"/>
      <c r="LE22" s="45" t="n"/>
      <c r="LF22" s="45" t="n"/>
      <c r="LG22" s="45" t="n"/>
      <c r="LH22" s="45" t="n"/>
      <c r="LI22" s="45" t="n"/>
      <c r="LJ22" s="45" t="n"/>
      <c r="LK22" s="45" t="n"/>
      <c r="LL22" s="45" t="n"/>
      <c r="LM22" s="45" t="n"/>
      <c r="LN22" s="45" t="n"/>
      <c r="LO22" s="45" t="n"/>
      <c r="LP22" s="45" t="n"/>
      <c r="LQ22" s="45" t="n"/>
      <c r="LR22" s="45" t="n"/>
      <c r="LS22" s="45" t="n"/>
      <c r="LT22" s="45" t="n"/>
      <c r="LU22" s="45" t="n"/>
      <c r="LV22" s="45" t="n"/>
      <c r="LW22" s="45" t="n"/>
      <c r="LX22" s="45" t="n"/>
      <c r="LY22" s="45" t="n"/>
      <c r="LZ22" s="45" t="n"/>
      <c r="MA22" s="45" t="n"/>
      <c r="MB22" s="45" t="n"/>
      <c r="MC22" s="45" t="n"/>
      <c r="MD22" s="45" t="n"/>
      <c r="ME22" s="45" t="n"/>
      <c r="MF22" s="45" t="n"/>
      <c r="MG22" s="45" t="n"/>
      <c r="MH22" s="45" t="n"/>
      <c r="MI22" s="45" t="n"/>
      <c r="MJ22" s="45" t="n"/>
      <c r="MK22" s="45" t="n"/>
      <c r="ML22" s="45" t="n"/>
      <c r="MM22" s="45" t="n"/>
      <c r="MN22" s="45" t="n"/>
      <c r="MO22" s="45" t="n"/>
      <c r="MP22" s="45" t="n"/>
      <c r="MQ22" s="45" t="n"/>
      <c r="MR22" s="45" t="n"/>
      <c r="MS22" s="45" t="n"/>
      <c r="MT22" s="45" t="n"/>
      <c r="MU22" s="45" t="n"/>
      <c r="MV22" s="45" t="n"/>
      <c r="MW22" s="45" t="n"/>
      <c r="MX22" s="45" t="n"/>
      <c r="MY22" s="45" t="n"/>
      <c r="MZ22" s="45" t="n"/>
      <c r="NA22" s="45" t="n"/>
      <c r="NB22" s="45" t="n"/>
      <c r="NC22" s="45" t="n"/>
      <c r="ND22" s="45" t="n"/>
      <c r="NE22" s="45" t="n"/>
      <c r="NF22" s="45" t="n"/>
      <c r="NG22" s="45" t="n"/>
      <c r="NH22" s="45" t="n"/>
      <c r="NI22" s="45" t="n"/>
      <c r="NJ22" s="45" t="n"/>
      <c r="NK22" s="45" t="n"/>
      <c r="NL22" s="45" t="n"/>
      <c r="NM22" s="45" t="n"/>
      <c r="NN22" s="45" t="n"/>
      <c r="NO22" s="45" t="n"/>
      <c r="NP22" s="45" t="n"/>
      <c r="NQ22" s="45" t="n"/>
      <c r="NR22" s="45" t="n"/>
      <c r="NS22" s="45" t="n"/>
      <c r="NT22" s="45" t="n"/>
      <c r="NU22" s="45" t="n"/>
      <c r="NV22" s="45" t="n"/>
      <c r="NW22" s="45" t="n"/>
      <c r="NX22" s="45" t="n"/>
      <c r="NY22" s="45" t="n"/>
      <c r="NZ22" s="45" t="n"/>
      <c r="OA22" s="45" t="n"/>
      <c r="OB22" s="45" t="n"/>
      <c r="OC22" s="45" t="n"/>
      <c r="OD22" s="45" t="n"/>
      <c r="OE22" s="45" t="n"/>
      <c r="OF22" s="45" t="n"/>
      <c r="OG22" s="45" t="n"/>
      <c r="OH22" s="45" t="n"/>
      <c r="OI22" s="45" t="n"/>
      <c r="OJ22" s="45" t="n"/>
      <c r="OK22" s="45" t="n"/>
      <c r="OL22" s="45" t="n"/>
      <c r="OM22" s="45" t="n"/>
      <c r="ON22" s="45" t="n"/>
      <c r="OO22" s="45" t="n"/>
      <c r="OP22" s="45" t="n"/>
      <c r="OQ22" s="45" t="n"/>
      <c r="OR22" s="45" t="n"/>
      <c r="OS22" s="45" t="n"/>
      <c r="OT22" s="45" t="n"/>
      <c r="OU22" s="45" t="n"/>
      <c r="OV22" s="45" t="n"/>
      <c r="OW22" s="45" t="n"/>
      <c r="OX22" s="45" t="n"/>
      <c r="OY22" s="45" t="n"/>
      <c r="OZ22" s="45" t="n"/>
      <c r="PA22" s="45" t="n"/>
      <c r="PB22" s="45" t="n"/>
      <c r="PC22" s="45" t="n"/>
      <c r="PD22" s="45" t="n"/>
      <c r="PE22" s="45" t="n"/>
      <c r="PF22" s="45" t="n"/>
      <c r="PG22" s="45" t="n"/>
      <c r="PH22" s="45" t="n"/>
      <c r="PI22" s="45" t="n"/>
      <c r="PJ22" s="45" t="n"/>
      <c r="PK22" s="45" t="n"/>
      <c r="PL22" s="45" t="n"/>
      <c r="PM22" s="45" t="n"/>
      <c r="PN22" s="45" t="n"/>
      <c r="PO22" s="45" t="n"/>
      <c r="PP22" s="45" t="n"/>
      <c r="PQ22" s="45" t="n"/>
      <c r="PR22" s="45" t="n"/>
      <c r="PS22" s="45" t="n"/>
      <c r="PT22" s="45" t="n"/>
      <c r="PU22" s="45" t="n"/>
      <c r="PV22" s="45" t="n"/>
      <c r="PW22" s="45" t="n"/>
      <c r="PX22" s="45" t="n"/>
      <c r="PY22" s="45" t="n"/>
      <c r="PZ22" s="45" t="n"/>
      <c r="QA22" s="45" t="n"/>
      <c r="QB22" s="45" t="n"/>
      <c r="QC22" s="45" t="n"/>
      <c r="QD22" s="45" t="n"/>
      <c r="QE22" s="45" t="n"/>
      <c r="QF22" s="45" t="n"/>
      <c r="QG22" s="45" t="n"/>
      <c r="QH22" s="45" t="n"/>
      <c r="QI22" s="45" t="n"/>
      <c r="QJ22" s="45" t="n"/>
      <c r="QK22" s="45" t="n"/>
      <c r="QL22" s="45" t="n"/>
      <c r="QM22" s="45" t="n"/>
      <c r="QN22" s="45" t="n"/>
      <c r="QO22" s="45" t="n"/>
      <c r="QP22" s="45" t="n"/>
      <c r="QQ22" s="45" t="n"/>
      <c r="QR22" s="45" t="n"/>
      <c r="QS22" s="45" t="n"/>
      <c r="QT22" s="45" t="n"/>
      <c r="QU22" s="45" t="n"/>
      <c r="QV22" s="45" t="n"/>
      <c r="QW22" s="45" t="n"/>
      <c r="QX22" s="45" t="n"/>
      <c r="QY22" s="45" t="n"/>
      <c r="QZ22" s="45" t="n"/>
      <c r="RA22" s="45" t="n"/>
      <c r="RB22" s="45" t="n"/>
      <c r="RC22" s="45" t="n"/>
      <c r="RD22" s="45" t="n"/>
      <c r="RE22" s="45" t="n"/>
      <c r="RF22" s="45" t="n"/>
      <c r="RG22" s="45" t="n"/>
      <c r="RH22" s="45" t="n"/>
      <c r="RI22" s="45" t="n"/>
      <c r="RJ22" s="45" t="n"/>
      <c r="RK22" s="45" t="n"/>
      <c r="RL22" s="45" t="n"/>
      <c r="RM22" s="45" t="n"/>
      <c r="RN22" s="45" t="n"/>
      <c r="RO22" s="45" t="n"/>
      <c r="RP22" s="45" t="n"/>
      <c r="RQ22" s="45" t="n"/>
      <c r="RR22" s="45" t="n"/>
      <c r="RS22" s="45" t="n"/>
      <c r="RT22" s="45" t="n"/>
      <c r="RU22" s="45" t="n"/>
      <c r="RV22" s="45" t="n"/>
      <c r="RW22" s="45" t="n"/>
      <c r="RX22" s="45" t="n"/>
      <c r="RY22" s="45" t="n"/>
      <c r="RZ22" s="45" t="n"/>
      <c r="SA22" s="45" t="n"/>
      <c r="SB22" s="45" t="n"/>
      <c r="SC22" s="45" t="n"/>
      <c r="SD22" s="45" t="n"/>
      <c r="SE22" s="45" t="n"/>
      <c r="SF22" s="45" t="n"/>
      <c r="SG22" s="45" t="n"/>
      <c r="SH22" s="45" t="n"/>
      <c r="SI22" s="45" t="n"/>
      <c r="SJ22" s="45" t="n"/>
      <c r="SK22" s="45" t="n"/>
      <c r="SL22" s="45" t="n"/>
      <c r="SM22" s="45" t="n"/>
      <c r="SN22" s="45" t="n"/>
      <c r="SO22" s="45" t="n"/>
      <c r="SP22" s="45" t="n"/>
      <c r="SQ22" s="45" t="n"/>
      <c r="SR22" s="45" t="n"/>
      <c r="SS22" s="45" t="n"/>
      <c r="ST22" s="45" t="n"/>
      <c r="SU22" s="45" t="n"/>
      <c r="SV22" s="45" t="n"/>
      <c r="SW22" s="45" t="n"/>
      <c r="SX22" s="45" t="n"/>
      <c r="SY22" s="45" t="n"/>
      <c r="SZ22" s="45" t="n"/>
      <c r="TA22" s="45" t="n"/>
      <c r="TB22" s="45" t="n"/>
      <c r="TC22" s="45" t="n"/>
      <c r="TD22" s="45" t="n"/>
      <c r="TE22" s="45" t="n"/>
      <c r="TF22" s="45" t="n"/>
      <c r="TG22" s="45" t="n"/>
      <c r="TH22" s="45" t="n"/>
      <c r="TI22" s="45" t="n"/>
      <c r="TJ22" s="45" t="n"/>
      <c r="TK22" s="45" t="n"/>
    </row>
    <row r="23" ht="19.5" customHeight="1" s="134">
      <c r="A23" s="205" t="inlineStr">
        <is>
          <t>Custo Total (API + Fixo + Impostos)</t>
        </is>
      </c>
      <c r="B23" s="268" t="inlineStr">
        <is>
          <t>R$</t>
        </is>
      </c>
      <c r="C23" s="390">
        <f>C18+C20+C21</f>
        <v/>
      </c>
      <c r="D23" s="390">
        <f>D18+D20+D21</f>
        <v/>
      </c>
      <c r="E23" s="390">
        <f>E18+E20+E21</f>
        <v/>
      </c>
      <c r="F23" s="390">
        <f>F18+F20+F21</f>
        <v/>
      </c>
      <c r="G23" s="390">
        <f>G18+G20+G21</f>
        <v/>
      </c>
      <c r="H23" s="390">
        <f>H18+H20+H21</f>
        <v/>
      </c>
      <c r="I23" s="390">
        <f>I18+I20+I21</f>
        <v/>
      </c>
      <c r="J23" s="390">
        <f>J18+J20+J21</f>
        <v/>
      </c>
      <c r="K23" s="390">
        <f>K18+K20+K21</f>
        <v/>
      </c>
      <c r="L23" s="390">
        <f>L18+L20+L21</f>
        <v/>
      </c>
      <c r="M23" s="390">
        <f>M18+M20+M21</f>
        <v/>
      </c>
      <c r="N23" s="390">
        <f>N18+N20+N21</f>
        <v/>
      </c>
      <c r="O23" s="390">
        <f>O18+O20+O21</f>
        <v/>
      </c>
      <c r="P23" s="390">
        <f>P18+P20+P21</f>
        <v/>
      </c>
      <c r="Q23" s="390">
        <f>Q18+Q20+Q21</f>
        <v/>
      </c>
      <c r="R23" s="390">
        <f>R18+R20+R21</f>
        <v/>
      </c>
      <c r="S23" s="390">
        <f>S18+S20+S21</f>
        <v/>
      </c>
      <c r="T23" s="390">
        <f>T18+T20+T21</f>
        <v/>
      </c>
      <c r="U23" s="390">
        <f>U18+U20+U21</f>
        <v/>
      </c>
      <c r="V23" s="390">
        <f>V18+V20+V21</f>
        <v/>
      </c>
      <c r="W23" s="390">
        <f>W18+W20+W21</f>
        <v/>
      </c>
      <c r="X23" s="390">
        <f>X18+X20+X21</f>
        <v/>
      </c>
      <c r="Y23" s="390">
        <f>Y18+Y20+Y21</f>
        <v/>
      </c>
      <c r="Z23" s="391">
        <f>Z18+Z20+Z21</f>
        <v/>
      </c>
    </row>
    <row r="24" ht="19.5" customHeight="1" s="134">
      <c r="A24" s="283" t="inlineStr">
        <is>
          <t>RESULTADO MENSAL</t>
        </is>
      </c>
      <c r="B24" s="284" t="inlineStr">
        <is>
          <t>R$</t>
        </is>
      </c>
      <c r="C24" s="392">
        <f>C11-C23</f>
        <v/>
      </c>
      <c r="D24" s="392">
        <f>D11-D23</f>
        <v/>
      </c>
      <c r="E24" s="392">
        <f>E11-E23</f>
        <v/>
      </c>
      <c r="F24" s="392">
        <f>F11-F23</f>
        <v/>
      </c>
      <c r="G24" s="392">
        <f>G11-G23</f>
        <v/>
      </c>
      <c r="H24" s="392">
        <f>H11-H23</f>
        <v/>
      </c>
      <c r="I24" s="392">
        <f>I11-I23</f>
        <v/>
      </c>
      <c r="J24" s="392">
        <f>J11-J23</f>
        <v/>
      </c>
      <c r="K24" s="392">
        <f>K11-K23</f>
        <v/>
      </c>
      <c r="L24" s="392">
        <f>L11-L23</f>
        <v/>
      </c>
      <c r="M24" s="392">
        <f>M11-M23</f>
        <v/>
      </c>
      <c r="N24" s="392">
        <f>N11-N23</f>
        <v/>
      </c>
      <c r="O24" s="392">
        <f>O11-O23</f>
        <v/>
      </c>
      <c r="P24" s="392">
        <f>P11-P23</f>
        <v/>
      </c>
      <c r="Q24" s="392">
        <f>Q11-Q23</f>
        <v/>
      </c>
      <c r="R24" s="392">
        <f>R11-R23</f>
        <v/>
      </c>
      <c r="S24" s="392">
        <f>S11-S23</f>
        <v/>
      </c>
      <c r="T24" s="392">
        <f>T11-T23</f>
        <v/>
      </c>
      <c r="U24" s="392">
        <f>U11-U23</f>
        <v/>
      </c>
      <c r="V24" s="392">
        <f>V11-V23</f>
        <v/>
      </c>
      <c r="W24" s="392">
        <f>W11-W23</f>
        <v/>
      </c>
      <c r="X24" s="392">
        <f>X11-X23</f>
        <v/>
      </c>
      <c r="Y24" s="392">
        <f>Y11-Y23</f>
        <v/>
      </c>
      <c r="Z24" s="393">
        <f>Z11-Z23</f>
        <v/>
      </c>
    </row>
    <row r="25" ht="19.5" customHeight="1" s="134">
      <c r="A25" s="283" t="inlineStr">
        <is>
          <t>RESULTADO ACUMULADO</t>
        </is>
      </c>
      <c r="B25" s="285" t="inlineStr">
        <is>
          <t>R$</t>
        </is>
      </c>
      <c r="C25" s="392">
        <f>C24</f>
        <v/>
      </c>
      <c r="D25" s="392">
        <f>C25+D24</f>
        <v/>
      </c>
      <c r="E25" s="392">
        <f>D25+E24</f>
        <v/>
      </c>
      <c r="F25" s="392">
        <f>E25+F24</f>
        <v/>
      </c>
      <c r="G25" s="392">
        <f>F25+G24</f>
        <v/>
      </c>
      <c r="H25" s="392">
        <f>G25+H24</f>
        <v/>
      </c>
      <c r="I25" s="392">
        <f>H25+I24</f>
        <v/>
      </c>
      <c r="J25" s="392">
        <f>I25+J24</f>
        <v/>
      </c>
      <c r="K25" s="392">
        <f>J25+K24</f>
        <v/>
      </c>
      <c r="L25" s="392">
        <f>K25+L24</f>
        <v/>
      </c>
      <c r="M25" s="392">
        <f>L25+M24</f>
        <v/>
      </c>
      <c r="N25" s="392">
        <f>M25+N24</f>
        <v/>
      </c>
      <c r="O25" s="392">
        <f>N25+O24</f>
        <v/>
      </c>
      <c r="P25" s="392">
        <f>O25+P24</f>
        <v/>
      </c>
      <c r="Q25" s="392">
        <f>P25+Q24</f>
        <v/>
      </c>
      <c r="R25" s="392">
        <f>Q25+R24</f>
        <v/>
      </c>
      <c r="S25" s="392">
        <f>R25+S24</f>
        <v/>
      </c>
      <c r="T25" s="392">
        <f>S25+T24</f>
        <v/>
      </c>
      <c r="U25" s="392">
        <f>T25+U24</f>
        <v/>
      </c>
      <c r="V25" s="392">
        <f>U25+V24</f>
        <v/>
      </c>
      <c r="W25" s="392">
        <f>V25+W24</f>
        <v/>
      </c>
      <c r="X25" s="392">
        <f>W25+X24</f>
        <v/>
      </c>
      <c r="Y25" s="392">
        <f>X25+Y24</f>
        <v/>
      </c>
      <c r="Z25" s="393">
        <f>Y25+Z24</f>
        <v/>
      </c>
    </row>
    <row r="26" ht="19.5" customHeight="1" s="134" thickBot="1">
      <c r="A26" s="286" t="inlineStr">
        <is>
          <t>Margem Bruta API (% MRR)</t>
        </is>
      </c>
      <c r="B26" s="287" t="inlineStr">
        <is>
          <t>%</t>
        </is>
      </c>
      <c r="C26" s="394">
        <f>IF(C11=0,0,1-C18/C11)</f>
        <v/>
      </c>
      <c r="D26" s="394">
        <f>IF(D11=0,0,1-D18/D11)</f>
        <v/>
      </c>
      <c r="E26" s="394">
        <f>IF(E11=0,0,1-E18/E11)</f>
        <v/>
      </c>
      <c r="F26" s="394">
        <f>IF(F11=0,0,1-F18/F11)</f>
        <v/>
      </c>
      <c r="G26" s="394">
        <f>IF(G11=0,0,1-G18/G11)</f>
        <v/>
      </c>
      <c r="H26" s="394">
        <f>IF(H11=0,0,1-H18/H11)</f>
        <v/>
      </c>
      <c r="I26" s="394">
        <f>IF(I11=0,0,1-I18/I11)</f>
        <v/>
      </c>
      <c r="J26" s="394">
        <f>IF(J11=0,0,1-J18/J11)</f>
        <v/>
      </c>
      <c r="K26" s="394">
        <f>IF(K11=0,0,1-K18/K11)</f>
        <v/>
      </c>
      <c r="L26" s="394">
        <f>IF(L11=0,0,1-L18/L11)</f>
        <v/>
      </c>
      <c r="M26" s="394">
        <f>IF(M11=0,0,1-M18/M11)</f>
        <v/>
      </c>
      <c r="N26" s="394">
        <f>IF(N11=0,0,1-N18/N11)</f>
        <v/>
      </c>
      <c r="O26" s="394">
        <f>IF(O11=0,0,1-O18/O11)</f>
        <v/>
      </c>
      <c r="P26" s="394">
        <f>IF(P11=0,0,1-P18/P11)</f>
        <v/>
      </c>
      <c r="Q26" s="394">
        <f>IF(Q11=0,0,1-Q18/Q11)</f>
        <v/>
      </c>
      <c r="R26" s="394">
        <f>IF(R11=0,0,1-R18/R11)</f>
        <v/>
      </c>
      <c r="S26" s="394">
        <f>IF(S11=0,0,1-S18/S11)</f>
        <v/>
      </c>
      <c r="T26" s="394">
        <f>IF(T11=0,0,1-T18/T11)</f>
        <v/>
      </c>
      <c r="U26" s="394">
        <f>IF(U11=0,0,1-U18/U11)</f>
        <v/>
      </c>
      <c r="V26" s="394">
        <f>IF(V11=0,0,1-V18/V11)</f>
        <v/>
      </c>
      <c r="W26" s="394">
        <f>IF(W11=0,0,1-W18/W11)</f>
        <v/>
      </c>
      <c r="X26" s="394">
        <f>IF(X11=0,0,1-X18/X11)</f>
        <v/>
      </c>
      <c r="Y26" s="394">
        <f>IF(Y11=0,0,1-Y18/Y11)</f>
        <v/>
      </c>
      <c r="Z26" s="395">
        <f>IF(Z11=0,0,1-Z18/Z11)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F85"/>
  <mergeCells count="6">
    <mergeCell ref="A2:B2"/>
    <mergeCell ref="A13:Z13"/>
    <mergeCell ref="A22:Z22"/>
    <mergeCell ref="A4:Z4"/>
    <mergeCell ref="A10:Z10"/>
    <mergeCell ref="A19:Z19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8"/>
  <sheetViews>
    <sheetView showGridLines="0" zoomScale="150" zoomScaleNormal="150" workbookViewId="0">
      <selection activeCell="E3" sqref="E3"/>
    </sheetView>
  </sheetViews>
  <sheetFormatPr baseColWidth="10" defaultColWidth="8.6640625" defaultRowHeight="15" outlineLevelRow="2"/>
  <cols>
    <col width="32.6640625" customWidth="1" style="134" min="1" max="1"/>
    <col width="15" customWidth="1" style="134" min="2" max="2"/>
    <col width="17.83203125" customWidth="1" style="134" min="3" max="3"/>
    <col width="17.1640625" customWidth="1" style="134" min="4" max="4"/>
    <col width="19.83203125" customWidth="1" style="134" min="5" max="5"/>
  </cols>
  <sheetData>
    <row r="1" ht="39.75" customHeight="1" s="134">
      <c r="A1" s="326" t="inlineStr">
        <is>
          <t>AutoNoma · Comparativo Real de Cenários · 3 Anos · Fórmulas Dinâmicas</t>
        </is>
      </c>
      <c r="B1" s="49" t="n"/>
      <c r="C1" s="49" t="n"/>
      <c r="D1" s="49" t="n"/>
      <c r="E1" s="50" t="n"/>
    </row>
    <row r="2" ht="15" customHeight="1" s="134">
      <c r="A2" s="396" t="inlineStr">
        <is>
          <t>Comparativo dos 3 cenários · Premissas / Unit Economics / Valuation / Operacional · Independentes</t>
        </is>
      </c>
      <c r="E2" s="135" t="n"/>
    </row>
    <row r="3" ht="25.5" customHeight="1" s="134">
      <c r="A3" s="291" t="inlineStr">
        <is>
          <t>INDICADOR</t>
        </is>
      </c>
      <c r="B3" s="292" t="inlineStr">
        <is>
          <t>Conservador</t>
        </is>
      </c>
      <c r="C3" s="226" t="inlineStr">
        <is>
          <t>Base (padrão)</t>
        </is>
      </c>
      <c r="D3" s="227" t="inlineStr">
        <is>
          <t>Otimista</t>
        </is>
      </c>
      <c r="E3" s="293" t="inlineStr">
        <is>
          <t>UNIDADE</t>
        </is>
      </c>
    </row>
    <row r="4" ht="24" customHeight="1" s="134">
      <c r="A4" s="343" t="inlineStr">
        <is>
          <t>PREMISSAS DIFERENCIADORAS POR CENÁRIO</t>
        </is>
      </c>
      <c r="E4" s="135" t="n"/>
    </row>
    <row r="5" ht="21.75" customHeight="1" s="134">
      <c r="A5" s="205" t="inlineStr">
        <is>
          <t>CAC Real (full-loaded)</t>
        </is>
      </c>
      <c r="B5" s="397">
        <f>'🎛️ Premissas'!B45</f>
        <v/>
      </c>
      <c r="C5" s="398">
        <f>'🎛️ Premissas'!C45</f>
        <v/>
      </c>
      <c r="D5" s="399">
        <f>'🎛️ Premissas'!D45</f>
        <v/>
      </c>
      <c r="E5" s="294" t="inlineStr">
        <is>
          <t>R$/assinante</t>
        </is>
      </c>
    </row>
    <row r="6" ht="21.75" customHeight="1" s="134">
      <c r="A6" s="205" t="inlineStr">
        <is>
          <t>Churn mensal Essencial</t>
        </is>
      </c>
      <c r="B6" s="400">
        <f>'🎛️ Premissas'!B33</f>
        <v/>
      </c>
      <c r="C6" s="401">
        <f>'🎛️ Premissas'!C33</f>
        <v/>
      </c>
      <c r="D6" s="402">
        <f>'🎛️ Premissas'!D33</f>
        <v/>
      </c>
      <c r="E6" s="294" t="inlineStr">
        <is>
          <t>%/mês</t>
        </is>
      </c>
      <c r="H6" s="295" t="n"/>
    </row>
    <row r="7" ht="21.75" customHeight="1" s="134">
      <c r="A7" s="205" t="inlineStr">
        <is>
          <t>Churn anual implícito</t>
        </is>
      </c>
      <c r="B7" s="400">
        <f>1-(1-'🎛️ Premissas'!B33)^12</f>
        <v/>
      </c>
      <c r="C7" s="401">
        <f>1-(1-'🎛️ Premissas'!C33)^12</f>
        <v/>
      </c>
      <c r="D7" s="402">
        <f>1-(1-'🎛️ Premissas'!D33)^12</f>
        <v/>
      </c>
      <c r="E7" s="294" t="inlineStr">
        <is>
          <t>%/ano</t>
        </is>
      </c>
    </row>
    <row r="8" ht="21.75" customHeight="1" s="134">
      <c r="A8" s="205" t="inlineStr">
        <is>
          <t>Múltiplo valuation M24</t>
        </is>
      </c>
      <c r="B8" s="403">
        <f>'🎛️ Premissas'!B49</f>
        <v/>
      </c>
      <c r="C8" s="404">
        <f>'🎛️ Premissas'!C49</f>
        <v/>
      </c>
      <c r="D8" s="405">
        <f>'🎛️ Premissas'!D49</f>
        <v/>
      </c>
      <c r="E8" s="294" t="inlineStr">
        <is>
          <t>× ARR (SaaS LATAM)</t>
        </is>
      </c>
    </row>
    <row r="9" ht="21.75" customHeight="1" s="134">
      <c r="A9" s="205" t="inlineStr">
        <is>
          <t>Free: % usuárias ativas</t>
        </is>
      </c>
      <c r="B9" s="400">
        <f>'🎛️ Premissas'!B17</f>
        <v/>
      </c>
      <c r="C9" s="401">
        <f>'🎛️ Premissas'!C17</f>
        <v/>
      </c>
      <c r="D9" s="402">
        <f>'🎛️ Premissas'!D17</f>
        <v/>
      </c>
      <c r="E9" s="294" t="inlineStr">
        <is>
          <t>% do cadastro</t>
        </is>
      </c>
    </row>
    <row r="10" ht="21.75" customHeight="1" s="134">
      <c r="A10" s="205" t="inlineStr">
        <is>
          <t>Conversão Free→Essencial</t>
        </is>
      </c>
      <c r="B10" s="400">
        <f>'🎛️ Premissas'!B30</f>
        <v/>
      </c>
      <c r="C10" s="401">
        <f>'🎛️ Premissas'!C30</f>
        <v/>
      </c>
      <c r="D10" s="402">
        <f>'🎛️ Premissas'!D30</f>
        <v/>
      </c>
      <c r="E10" s="294" t="inlineStr">
        <is>
          <t>% base Free</t>
        </is>
      </c>
    </row>
    <row r="11" ht="24" customHeight="1" s="134">
      <c r="A11" s="343" t="inlineStr">
        <is>
          <t>UNIT ECONOMICS (calculado das premissas)</t>
        </is>
      </c>
      <c r="E11" s="135" t="n"/>
    </row>
    <row r="12" ht="21.75" customHeight="1" s="134">
      <c r="A12" s="205" t="inlineStr">
        <is>
          <t>Custo API Essencial/mês</t>
        </is>
      </c>
      <c r="B12" s="406">
        <f>('🎛️ Premissas'!B18*('🎛️ Premissas'!B19/1000000*'🎛️ Premissas'!B10+'🎛️ Premissas'!B20/1000000*'🎛️ Premissas'!B11)*(1-'🎛️ Premissas'!B12)*'🎛️ Premissas'!B9)</f>
        <v/>
      </c>
      <c r="C12" s="407">
        <f>('🎛️ Premissas'!C18*('🎛️ Premissas'!C19/1000000*'🎛️ Premissas'!C10+'🎛️ Premissas'!C20/1000000*'🎛️ Premissas'!C11)*(1-'🎛️ Premissas'!C12)*'🎛️ Premissas'!C9)</f>
        <v/>
      </c>
      <c r="D12" s="408">
        <f>('🎛️ Premissas'!D18*('🎛️ Premissas'!D19/1000000*'🎛️ Premissas'!D10+'🎛️ Premissas'!D20/1000000*'🎛️ Premissas'!D11)*(1-'🎛️ Premissas'!D12)*'🎛️ Premissas'!D9)</f>
        <v/>
      </c>
      <c r="E12" s="294" t="inlineStr">
        <is>
          <t>R$/assinante/mês</t>
        </is>
      </c>
    </row>
    <row r="13" ht="21.75" customHeight="1" s="134">
      <c r="A13" s="205" t="inlineStr">
        <is>
          <t>Margem Unitária Essencial/mês</t>
        </is>
      </c>
      <c r="B13" s="406">
        <f>('🎛️ Premissas'!B5-('🎛️ Premissas'!B18*('🎛️ Premissas'!B19/1000000*'🎛️ Premissas'!B10+'🎛️ Premissas'!B20/1000000*'🎛️ Premissas'!B11)*(1-'🎛️ Premissas'!B12)*'🎛️ Premissas'!B9))</f>
        <v/>
      </c>
      <c r="C13" s="407">
        <f>('🎛️ Premissas'!C5-('🎛️ Premissas'!C18*('🎛️ Premissas'!C19/1000000*'🎛️ Premissas'!C10+'🎛️ Premissas'!C20/1000000*'🎛️ Premissas'!C11)*(1-'🎛️ Premissas'!C12)*'🎛️ Premissas'!C9))</f>
        <v/>
      </c>
      <c r="D13" s="408">
        <f>('🎛️ Premissas'!D5-('🎛️ Premissas'!D18*('🎛️ Premissas'!D19/1000000*'🎛️ Premissas'!D10+'🎛️ Premissas'!D20/1000000*'🎛️ Premissas'!D11)*(1-'🎛️ Premissas'!D12)*'🎛️ Premissas'!D9))</f>
        <v/>
      </c>
      <c r="E13" s="294" t="inlineStr">
        <is>
          <t>R$/mês</t>
        </is>
      </c>
    </row>
    <row r="14" ht="21.75" customHeight="1" s="134">
      <c r="A14" s="205" t="inlineStr">
        <is>
          <t>Vida média (meses)</t>
        </is>
      </c>
      <c r="B14" s="409" t="n">
        <v>15</v>
      </c>
      <c r="C14" s="410" t="n">
        <v>15</v>
      </c>
      <c r="D14" s="411" t="n">
        <v>15</v>
      </c>
      <c r="E14" s="294" t="inlineStr">
        <is>
          <t>1 ÷ churn</t>
        </is>
      </c>
    </row>
    <row r="15" ht="21.75" customHeight="1" s="134">
      <c r="A15" s="205" t="inlineStr">
        <is>
          <t>LTV Essencial</t>
        </is>
      </c>
      <c r="B15" s="397">
        <f>B13*B14</f>
        <v/>
      </c>
      <c r="C15" s="398">
        <f>C13*C14</f>
        <v/>
      </c>
      <c r="D15" s="399">
        <f>D13*D14</f>
        <v/>
      </c>
      <c r="E15" s="294" t="inlineStr">
        <is>
          <t>R$ vida útil</t>
        </is>
      </c>
    </row>
    <row r="16" ht="21.75" customHeight="1" s="134">
      <c r="A16" s="205" t="inlineStr">
        <is>
          <t>LTV / CAC</t>
        </is>
      </c>
      <c r="B16" s="412">
        <f>IFERROR(B15/B5,0)</f>
        <v/>
      </c>
      <c r="C16" s="413">
        <f>IFERROR(C15/C5,0)</f>
        <v/>
      </c>
      <c r="D16" s="414">
        <f>IFERROR(D15/D5,0)</f>
        <v/>
      </c>
      <c r="E16" s="294" t="inlineStr">
        <is>
          <t>≥3× ok · ≥8× top quartile</t>
        </is>
      </c>
    </row>
    <row r="17" ht="21.75" customHeight="1" s="134">
      <c r="A17" s="205" t="inlineStr">
        <is>
          <t>Payback CAC (meses)</t>
        </is>
      </c>
      <c r="B17" s="415">
        <f>IFERROR(B5/B13,0)</f>
        <v/>
      </c>
      <c r="C17" s="416">
        <f>IFERROR(C5/C13,0)</f>
        <v/>
      </c>
      <c r="D17" s="417">
        <f>IFERROR(D5/D13,0)</f>
        <v/>
      </c>
      <c r="E17" s="294" t="inlineStr">
        <is>
          <t>meses</t>
        </is>
      </c>
    </row>
    <row r="18" ht="24" customHeight="1" s="134">
      <c r="A18" s="343" t="inlineStr">
        <is>
          <t>VALUATION · MÊS 24 (Receita Acum × múltiplo)</t>
        </is>
      </c>
      <c r="E18" s="135" t="n"/>
    </row>
    <row r="19" ht="21.75" customHeight="1" s="134">
      <c r="A19" s="205" t="inlineStr">
        <is>
          <t>Receita Acumulada 24m (Z12)</t>
        </is>
      </c>
      <c r="B19" s="397">
        <f>SUM(B56:Y56)</f>
        <v/>
      </c>
      <c r="C19" s="398">
        <f>SUM(B68:Y68)</f>
        <v/>
      </c>
      <c r="D19" s="399">
        <f>SUM(B80:Y80)</f>
        <v/>
      </c>
      <c r="E19" s="294" t="inlineStr">
        <is>
          <t>R$ acumulado 24m</t>
        </is>
      </c>
    </row>
    <row r="20" ht="21.75" customHeight="1" s="134">
      <c r="A20" s="205" t="inlineStr">
        <is>
          <t>Múltiplo aplicado</t>
        </is>
      </c>
      <c r="B20" s="403">
        <f>'🎛️ Premissas'!B49</f>
        <v/>
      </c>
      <c r="C20" s="404">
        <f>'🎛️ Premissas'!C49</f>
        <v/>
      </c>
      <c r="D20" s="405">
        <f>'🎛️ Premissas'!D49</f>
        <v/>
      </c>
      <c r="E20" s="294" t="inlineStr">
        <is>
          <t>× Receita acum</t>
        </is>
      </c>
    </row>
    <row r="21" ht="21.75" customHeight="1" s="134">
      <c r="A21" s="205" t="inlineStr">
        <is>
          <t>VALUATION SUGERIDO M24</t>
        </is>
      </c>
      <c r="B21" s="418">
        <f>B19*B20</f>
        <v/>
      </c>
      <c r="C21" s="398">
        <f>C19*C20</f>
        <v/>
      </c>
      <c r="D21" s="419">
        <f>D19*D20</f>
        <v/>
      </c>
      <c r="E21" s="294" t="inlineStr">
        <is>
          <t>R$</t>
        </is>
      </c>
    </row>
    <row r="22" ht="21.75" customHeight="1" s="134">
      <c r="A22" s="205" t="inlineStr">
        <is>
          <t>Equity anjo (% Premissas)</t>
        </is>
      </c>
      <c r="B22" s="397">
        <f>B21*'🎛️ Premissas'!$B$56</f>
        <v/>
      </c>
      <c r="C22" s="398">
        <f>C21*'🎛️ Premissas'!$B$56</f>
        <v/>
      </c>
      <c r="D22" s="399">
        <f>D21*'🎛️ Premissas'!$B$56</f>
        <v/>
      </c>
      <c r="E22" s="294" t="inlineStr">
        <is>
          <t>R$</t>
        </is>
      </c>
    </row>
    <row r="23" ht="21.75" customHeight="1" s="134">
      <c r="A23" s="205" t="inlineStr">
        <is>
          <t>Retorno sobre aporte (×)</t>
        </is>
      </c>
      <c r="B23" s="420">
        <f>B22/'🎛️ Premissas'!$B$55</f>
        <v/>
      </c>
      <c r="C23" s="413">
        <f>C22/'🎛️ Premissas'!$B$55</f>
        <v/>
      </c>
      <c r="D23" s="421">
        <f>D22/'🎛️ Premissas'!$B$55</f>
        <v/>
      </c>
      <c r="E23" s="294" t="inlineStr">
        <is>
          <t>× sobre aporte</t>
        </is>
      </c>
    </row>
    <row r="24" ht="24" customHeight="1" s="134">
      <c r="A24" s="343" t="inlineStr">
        <is>
          <t>ANO 1 · Resultados</t>
        </is>
      </c>
      <c r="E24" s="135" t="n"/>
    </row>
    <row r="25" ht="21.75" customHeight="1" s="134">
      <c r="A25" s="205" t="inlineStr">
        <is>
          <t>MRR Dezembro M12</t>
        </is>
      </c>
      <c r="B25" s="422">
        <f>M56</f>
        <v/>
      </c>
      <c r="C25" s="423">
        <f>M68</f>
        <v/>
      </c>
      <c r="D25" s="424">
        <f>M80</f>
        <v/>
      </c>
      <c r="E25" s="294" t="inlineStr">
        <is>
          <t>R$/mês</t>
        </is>
      </c>
    </row>
    <row r="26" ht="21.75" customHeight="1" s="134">
      <c r="A26" s="205" t="inlineStr">
        <is>
          <t>ARR Ano 1 (MRR×12)</t>
        </is>
      </c>
      <c r="B26" s="422">
        <f>M56*12</f>
        <v/>
      </c>
      <c r="C26" s="423">
        <f>M68*12</f>
        <v/>
      </c>
      <c r="D26" s="424">
        <f>M80*12</f>
        <v/>
      </c>
      <c r="E26" s="294" t="inlineStr">
        <is>
          <t>R$/ano</t>
        </is>
      </c>
    </row>
    <row r="27" ht="21.75" customHeight="1" s="134">
      <c r="A27" s="205" t="inlineStr">
        <is>
          <t>Resultado Líquido no Ano</t>
        </is>
      </c>
      <c r="B27" s="422">
        <f>SUM(B60:M60)</f>
        <v/>
      </c>
      <c r="C27" s="423">
        <f>SUM(B72:M72)</f>
        <v/>
      </c>
      <c r="D27" s="424">
        <f>SUM(B84:M84)</f>
        <v/>
      </c>
      <c r="E27" s="294" t="inlineStr">
        <is>
          <t>R$</t>
        </is>
      </c>
    </row>
    <row r="28" ht="21.75" customHeight="1" s="134">
      <c r="A28" s="205" t="inlineStr">
        <is>
          <t>Pagantes M12</t>
        </is>
      </c>
      <c r="B28" s="94">
        <f>M55</f>
        <v/>
      </c>
      <c r="C28" s="103">
        <f>M67</f>
        <v/>
      </c>
      <c r="D28" s="114">
        <f>M79</f>
        <v/>
      </c>
      <c r="E28" s="294" t="inlineStr">
        <is>
          <t>assinantes</t>
        </is>
      </c>
    </row>
    <row r="29" ht="24" customHeight="1" s="134">
      <c r="A29" s="343" t="inlineStr">
        <is>
          <t>ANO 2 · Resultados</t>
        </is>
      </c>
      <c r="E29" s="135" t="n"/>
    </row>
    <row r="30" ht="21.75" customHeight="1" s="134">
      <c r="A30" s="205" t="inlineStr">
        <is>
          <t>MRR Dezembro M24</t>
        </is>
      </c>
      <c r="B30" s="422">
        <f>Y56</f>
        <v/>
      </c>
      <c r="C30" s="423">
        <f>Y68</f>
        <v/>
      </c>
      <c r="D30" s="424">
        <f>Y80</f>
        <v/>
      </c>
      <c r="E30" s="294" t="inlineStr">
        <is>
          <t>R$/mês</t>
        </is>
      </c>
    </row>
    <row r="31" ht="21.75" customHeight="1" s="134">
      <c r="A31" s="205" t="inlineStr">
        <is>
          <t>ARR Ano 2 (MRR×12)</t>
        </is>
      </c>
      <c r="B31" s="422">
        <f>Y56*12</f>
        <v/>
      </c>
      <c r="C31" s="423">
        <f>Y68*12</f>
        <v/>
      </c>
      <c r="D31" s="424">
        <f>Y80*12</f>
        <v/>
      </c>
      <c r="E31" s="294" t="inlineStr">
        <is>
          <t>R$/ano</t>
        </is>
      </c>
    </row>
    <row r="32" ht="21.75" customHeight="1" s="134">
      <c r="A32" s="205" t="inlineStr">
        <is>
          <t>Resultado Líquido no Ano</t>
        </is>
      </c>
      <c r="B32" s="422">
        <f>SUM(N60:Y60)</f>
        <v/>
      </c>
      <c r="C32" s="423">
        <f>SUM(N72:Y72)</f>
        <v/>
      </c>
      <c r="D32" s="424">
        <f>SUM(N84:Y84)</f>
        <v/>
      </c>
      <c r="E32" s="294" t="inlineStr">
        <is>
          <t>R$</t>
        </is>
      </c>
    </row>
    <row r="33" ht="21.75" customHeight="1" s="134">
      <c r="A33" s="205" t="inlineStr">
        <is>
          <t>Pagantes M24</t>
        </is>
      </c>
      <c r="B33" s="94">
        <f>Y55</f>
        <v/>
      </c>
      <c r="C33" s="103">
        <f>Y67</f>
        <v/>
      </c>
      <c r="D33" s="114">
        <f>Y79</f>
        <v/>
      </c>
      <c r="E33" s="294" t="inlineStr">
        <is>
          <t>assinantes</t>
        </is>
      </c>
    </row>
    <row r="34" ht="15" customHeight="1" s="134">
      <c r="A34" s="343" t="inlineStr">
        <is>
          <t>RESUMO</t>
        </is>
      </c>
      <c r="E34" s="135" t="n"/>
    </row>
    <row r="35">
      <c r="A35" s="205" t="inlineStr">
        <is>
          <t>VPL (Valor Presente Líquido)</t>
        </is>
      </c>
      <c r="B35" s="422">
        <f>-'🎛️ Premissas'!$B$55+NPV('🎛️ Premissas'!$B$66,C86:Z86)</f>
        <v/>
      </c>
      <c r="C35" s="423">
        <f>-'🎛️ Premissas'!$B$55+NPV('🎛️ Premissas'!$B$66,C87:Z87)</f>
        <v/>
      </c>
      <c r="D35" s="424">
        <f>-'🎛️ Premissas'!$B$55+NPV('🎛️ Premissas'!$B$66,C88:Z88)</f>
        <v/>
      </c>
      <c r="E35" s="294" t="inlineStr">
        <is>
          <t>R$ · taxa B66 mensal</t>
        </is>
      </c>
    </row>
    <row r="36">
      <c r="A36" s="205" t="inlineStr">
        <is>
          <t>TIR (anualizada)</t>
        </is>
      </c>
      <c r="B36" s="400">
        <f>IFERROR((1+IRR(B86:Z86,'🎛️ Premissas'!$B$66))^12-1,"n/a")</f>
        <v/>
      </c>
      <c r="C36" s="401">
        <f>IFERROR((1+IRR(B87:Z87,'🎛️ Premissas'!$B$66))^12-1,"n/a")</f>
        <v/>
      </c>
      <c r="D36" s="402">
        <f>IFERROR((1+IRR(B88:Z88,'🎛️ Premissas'!$B$66))^12-1,"n/a")</f>
        <v/>
      </c>
      <c r="E36" s="294" t="inlineStr">
        <is>
          <t>% a.a.</t>
        </is>
      </c>
    </row>
    <row r="37" ht="15" customHeight="1" s="134">
      <c r="A37" s="425" t="inlineStr">
        <is>
          <t>✅ Todos os indicadores acima são calculados independentemente por cenário. Helpers de simulação ocultos linhas 50-89.</t>
        </is>
      </c>
      <c r="B37" s="361" t="n"/>
      <c r="C37" s="361" t="n"/>
      <c r="D37" s="361" t="n"/>
      <c r="E37" s="362" t="n"/>
    </row>
    <row r="38" ht="16" customHeight="1" s="134" thickBot="1">
      <c r="A38" s="363" t="n"/>
      <c r="B38" s="325" t="n"/>
      <c r="C38" s="325" t="n"/>
      <c r="D38" s="325" t="n"/>
      <c r="E38" s="251" t="n"/>
    </row>
    <row r="39"/>
    <row r="40"/>
    <row r="41"/>
    <row r="42"/>
    <row r="43"/>
    <row r="44"/>
    <row r="45"/>
    <row r="46"/>
    <row r="47"/>
    <row r="48"/>
    <row r="49" hidden="1" outlineLevel="2" s="134">
      <c r="A49" t="inlineStr">
        <is>
          <t>── HELPERS · 3 CENÁRIOS · 24 MESES (oculto) ──</t>
        </is>
      </c>
      <c r="B49" t="inlineStr">
        <is>
          <t>M1</t>
        </is>
      </c>
      <c r="C49" t="inlineStr">
        <is>
          <t>M2</t>
        </is>
      </c>
      <c r="D49" t="inlineStr">
        <is>
          <t>M3</t>
        </is>
      </c>
      <c r="E49" t="inlineStr">
        <is>
          <t>M4</t>
        </is>
      </c>
      <c r="F49" t="inlineStr">
        <is>
          <t>M5</t>
        </is>
      </c>
      <c r="G49" t="inlineStr">
        <is>
          <t>M6</t>
        </is>
      </c>
      <c r="H49" t="inlineStr">
        <is>
          <t>M7</t>
        </is>
      </c>
      <c r="I49" t="inlineStr">
        <is>
          <t>M8</t>
        </is>
      </c>
      <c r="J49" t="inlineStr">
        <is>
          <t>M9</t>
        </is>
      </c>
      <c r="K49" t="inlineStr">
        <is>
          <t>M10</t>
        </is>
      </c>
      <c r="L49" t="inlineStr">
        <is>
          <t>M11</t>
        </is>
      </c>
      <c r="M49" t="inlineStr">
        <is>
          <t>M12</t>
        </is>
      </c>
      <c r="N49" t="inlineStr">
        <is>
          <t>M13</t>
        </is>
      </c>
      <c r="O49" t="inlineStr">
        <is>
          <t>M14</t>
        </is>
      </c>
      <c r="P49" t="inlineStr">
        <is>
          <t>M15</t>
        </is>
      </c>
      <c r="Q49" t="inlineStr">
        <is>
          <t>M16</t>
        </is>
      </c>
      <c r="R49" t="inlineStr">
        <is>
          <t>M17</t>
        </is>
      </c>
      <c r="S49" t="inlineStr">
        <is>
          <t>M18</t>
        </is>
      </c>
      <c r="T49" t="inlineStr">
        <is>
          <t>M19</t>
        </is>
      </c>
      <c r="U49" t="inlineStr">
        <is>
          <t>M20</t>
        </is>
      </c>
      <c r="V49" t="inlineStr">
        <is>
          <t>M21</t>
        </is>
      </c>
      <c r="W49" t="inlineStr">
        <is>
          <t>M22</t>
        </is>
      </c>
      <c r="X49" t="inlineStr">
        <is>
          <t>M23</t>
        </is>
      </c>
      <c r="Y49" t="inlineStr">
        <is>
          <t>M24</t>
        </is>
      </c>
    </row>
    <row r="50" hidden="1" outlineLevel="2" s="134">
      <c r="A50" t="inlineStr">
        <is>
          <t>CONSERVADOR</t>
        </is>
      </c>
    </row>
    <row r="51" hidden="1" outlineLevel="2" s="134">
      <c r="A51" t="inlineStr">
        <is>
          <t>Free Cadastros</t>
        </is>
      </c>
      <c r="B51">
        <f>'🎛️ Premissas'!$B$61</f>
        <v/>
      </c>
      <c r="C51" s="44">
        <f>B51+'🎛️ Premissas'!$B$28</f>
        <v/>
      </c>
      <c r="D51" s="44">
        <f>C51+'🎛️ Premissas'!$B$28</f>
        <v/>
      </c>
      <c r="E51" s="44">
        <f>D51+'🎛️ Premissas'!$B$28</f>
        <v/>
      </c>
      <c r="F51" s="44">
        <f>E51+'🎛️ Premissas'!$B$28</f>
        <v/>
      </c>
      <c r="G51" s="44">
        <f>F51+'🎛️ Premissas'!$B$28</f>
        <v/>
      </c>
      <c r="H51" s="44">
        <f>G51+'🎛️ Premissas'!$B$28</f>
        <v/>
      </c>
      <c r="I51" s="44">
        <f>H51+'🎛️ Premissas'!$B$28</f>
        <v/>
      </c>
      <c r="J51" s="44">
        <f>I51+'🎛️ Premissas'!$B$28</f>
        <v/>
      </c>
      <c r="K51" s="44">
        <f>J51+'🎛️ Premissas'!$B$28</f>
        <v/>
      </c>
      <c r="L51" s="44">
        <f>K51+'🎛️ Premissas'!$B$28</f>
        <v/>
      </c>
      <c r="M51" s="44">
        <f>L51+'🎛️ Premissas'!$B$28</f>
        <v/>
      </c>
      <c r="N51" s="44">
        <f>M51+'🎛️ Premissas'!$B$29</f>
        <v/>
      </c>
      <c r="O51" s="44">
        <f>N51+'🎛️ Premissas'!$B$29</f>
        <v/>
      </c>
      <c r="P51" s="44">
        <f>O51+'🎛️ Premissas'!$B$29</f>
        <v/>
      </c>
      <c r="Q51" s="44">
        <f>P51+'🎛️ Premissas'!$B$29</f>
        <v/>
      </c>
      <c r="R51" s="44">
        <f>Q51+'🎛️ Premissas'!$B$29</f>
        <v/>
      </c>
      <c r="S51" s="44">
        <f>R51+'🎛️ Premissas'!$B$29</f>
        <v/>
      </c>
      <c r="T51" s="44">
        <f>S51+'🎛️ Premissas'!$B$29</f>
        <v/>
      </c>
      <c r="U51" s="44">
        <f>T51+'🎛️ Premissas'!$B$29</f>
        <v/>
      </c>
      <c r="V51" s="44">
        <f>U51+'🎛️ Premissas'!$B$29</f>
        <v/>
      </c>
      <c r="W51" s="44">
        <f>V51+'🎛️ Premissas'!$B$29</f>
        <v/>
      </c>
      <c r="X51" s="44">
        <f>W51+'🎛️ Premissas'!$B$29</f>
        <v/>
      </c>
      <c r="Y51" s="44">
        <f>X51+'🎛️ Premissas'!$B$29</f>
        <v/>
      </c>
    </row>
    <row r="52" hidden="1" outlineLevel="2" s="134">
      <c r="A52" t="inlineStr">
        <is>
          <t>Essencial</t>
        </is>
      </c>
      <c r="B52">
        <f>ROUND(B51*'🎛️ Premissas'!$B$30,0)</f>
        <v/>
      </c>
      <c r="C52">
        <f>ROUND(C51*'🎛️ Premissas'!$B$30,0)</f>
        <v/>
      </c>
      <c r="D52">
        <f>ROUND(D51*'🎛️ Premissas'!$B$30,0)</f>
        <v/>
      </c>
      <c r="E52">
        <f>ROUND(E51*'🎛️ Premissas'!$B$30,0)</f>
        <v/>
      </c>
      <c r="F52">
        <f>ROUND(F51*'🎛️ Premissas'!$B$30,0)</f>
        <v/>
      </c>
      <c r="G52">
        <f>ROUND(G51*'🎛️ Premissas'!$B$30,0)</f>
        <v/>
      </c>
      <c r="H52">
        <f>ROUND(H51*'🎛️ Premissas'!$B$30,0)</f>
        <v/>
      </c>
      <c r="I52">
        <f>ROUND(I51*'🎛️ Premissas'!$B$30,0)</f>
        <v/>
      </c>
      <c r="J52">
        <f>ROUND(J51*'🎛️ Premissas'!$B$30,0)</f>
        <v/>
      </c>
      <c r="K52">
        <f>ROUND(K51*'🎛️ Premissas'!$B$30,0)</f>
        <v/>
      </c>
      <c r="L52">
        <f>ROUND(L51*'🎛️ Premissas'!$B$30,0)</f>
        <v/>
      </c>
      <c r="M52">
        <f>ROUND(M51*'🎛️ Premissas'!$B$30,0)</f>
        <v/>
      </c>
      <c r="N52">
        <f>ROUND(M52*(1-'🎛️ Premissas'!$B$33)+MAX(0,N51-M55)*'🎛️ Premissas'!$B$30,0)</f>
        <v/>
      </c>
      <c r="O52">
        <f>ROUND(N52*(1-'🎛️ Premissas'!$B$33)+MAX(0,O51-N55)*'🎛️ Premissas'!$B$30,0)</f>
        <v/>
      </c>
      <c r="P52">
        <f>ROUND(O52*(1-'🎛️ Premissas'!$B$33)+MAX(0,P51-O55)*'🎛️ Premissas'!$B$30,0)</f>
        <v/>
      </c>
      <c r="Q52">
        <f>ROUND(P52*(1-'🎛️ Premissas'!$B$33)+MAX(0,Q51-P55)*'🎛️ Premissas'!$B$30,0)</f>
        <v/>
      </c>
      <c r="R52">
        <f>ROUND(Q52*(1-'🎛️ Premissas'!$B$33)+MAX(0,R51-Q55)*'🎛️ Premissas'!$B$30,0)</f>
        <v/>
      </c>
      <c r="S52">
        <f>ROUND(R52*(1-'🎛️ Premissas'!$B$33)+MAX(0,S51-R55)*'🎛️ Premissas'!$B$30,0)</f>
        <v/>
      </c>
      <c r="T52">
        <f>ROUND(S52*(1-'🎛️ Premissas'!$B$33)+MAX(0,T51-S55)*'🎛️ Premissas'!$B$30,0)</f>
        <v/>
      </c>
      <c r="U52">
        <f>ROUND(T52*(1-'🎛️ Premissas'!$B$33)+MAX(0,U51-T55)*'🎛️ Premissas'!$B$30,0)</f>
        <v/>
      </c>
      <c r="V52">
        <f>ROUND(U52*(1-'🎛️ Premissas'!$B$33)+MAX(0,V51-U55)*'🎛️ Premissas'!$B$30,0)</f>
        <v/>
      </c>
      <c r="W52">
        <f>ROUND(V52*(1-'🎛️ Premissas'!$B$33)+MAX(0,W51-V55)*'🎛️ Premissas'!$B$30,0)</f>
        <v/>
      </c>
      <c r="X52">
        <f>ROUND(W52*(1-'🎛️ Premissas'!$B$33)+MAX(0,X51-W55)*'🎛️ Premissas'!$B$30,0)</f>
        <v/>
      </c>
      <c r="Y52">
        <f>ROUND(X52*(1-'🎛️ Premissas'!$B$33)+MAX(0,Y51-X55)*'🎛️ Premissas'!$B$30,0)</f>
        <v/>
      </c>
    </row>
    <row r="53" hidden="1" outlineLevel="2" s="134">
      <c r="A53" t="inlineStr">
        <is>
          <t>Autônoma</t>
        </is>
      </c>
      <c r="B53">
        <f>ROUND(B51*'🎛️ Premissas'!$B$31,0)</f>
        <v/>
      </c>
      <c r="C53">
        <f>ROUND(C51*'🎛️ Premissas'!$B$31,0)</f>
        <v/>
      </c>
      <c r="D53">
        <f>ROUND(D51*'🎛️ Premissas'!$B$31,0)</f>
        <v/>
      </c>
      <c r="E53">
        <f>ROUND(E51*'🎛️ Premissas'!$B$31,0)</f>
        <v/>
      </c>
      <c r="F53">
        <f>ROUND(F51*'🎛️ Premissas'!$B$31,0)</f>
        <v/>
      </c>
      <c r="G53">
        <f>ROUND(G51*'🎛️ Premissas'!$B$31,0)</f>
        <v/>
      </c>
      <c r="H53">
        <f>ROUND(H51*'🎛️ Premissas'!$B$31,0)</f>
        <v/>
      </c>
      <c r="I53">
        <f>ROUND(I51*'🎛️ Premissas'!$B$31,0)</f>
        <v/>
      </c>
      <c r="J53">
        <f>ROUND(J51*'🎛️ Premissas'!$B$31,0)</f>
        <v/>
      </c>
      <c r="K53">
        <f>ROUND(K51*'🎛️ Premissas'!$B$31,0)</f>
        <v/>
      </c>
      <c r="L53">
        <f>ROUND(L51*'🎛️ Premissas'!$B$31,0)</f>
        <v/>
      </c>
      <c r="M53">
        <f>ROUND(M51*'🎛️ Premissas'!$B$31,0)</f>
        <v/>
      </c>
      <c r="N53">
        <f>ROUND(M53*(1-'🎛️ Premissas'!$B$34)+MAX(0,N52-M52-M53)*'🎛️ Premissas'!$B$31,0)</f>
        <v/>
      </c>
      <c r="O53">
        <f>ROUND(N53*(1-'🎛️ Premissas'!$B$34)+MAX(0,O52-N52-N53)*'🎛️ Premissas'!$B$31,0)</f>
        <v/>
      </c>
      <c r="P53">
        <f>ROUND(O53*(1-'🎛️ Premissas'!$B$34)+MAX(0,P52-O52-O53)*'🎛️ Premissas'!$B$31,0)</f>
        <v/>
      </c>
      <c r="Q53">
        <f>ROUND(P53*(1-'🎛️ Premissas'!$B$34)+MAX(0,Q52-P52-P53)*'🎛️ Premissas'!$B$31,0)</f>
        <v/>
      </c>
      <c r="R53">
        <f>ROUND(Q53*(1-'🎛️ Premissas'!$B$34)+MAX(0,R52-Q52-Q53)*'🎛️ Premissas'!$B$31,0)</f>
        <v/>
      </c>
      <c r="S53">
        <f>ROUND(R53*(1-'🎛️ Premissas'!$B$34)+MAX(0,S52-R52-R53)*'🎛️ Premissas'!$B$31,0)</f>
        <v/>
      </c>
      <c r="T53">
        <f>ROUND(S53*(1-'🎛️ Premissas'!$B$34)+MAX(0,T52-S52-S53)*'🎛️ Premissas'!$B$31,0)</f>
        <v/>
      </c>
      <c r="U53">
        <f>ROUND(T53*(1-'🎛️ Premissas'!$B$34)+MAX(0,U52-T52-T53)*'🎛️ Premissas'!$B$31,0)</f>
        <v/>
      </c>
      <c r="V53">
        <f>ROUND(U53*(1-'🎛️ Premissas'!$B$34)+MAX(0,V52-U52-U53)*'🎛️ Premissas'!$B$31,0)</f>
        <v/>
      </c>
      <c r="W53">
        <f>ROUND(V53*(1-'🎛️ Premissas'!$B$34)+MAX(0,W52-V52-V53)*'🎛️ Premissas'!$B$31,0)</f>
        <v/>
      </c>
      <c r="X53">
        <f>ROUND(W53*(1-'🎛️ Premissas'!$B$34)+MAX(0,X52-W52-W53)*'🎛️ Premissas'!$B$31,0)</f>
        <v/>
      </c>
      <c r="Y53">
        <f>ROUND(X53*(1-'🎛️ Premissas'!$B$34)+MAX(0,Y52-X52-X53)*'🎛️ Premissas'!$B$31,0)</f>
        <v/>
      </c>
    </row>
    <row r="54" hidden="1" outlineLevel="2" s="134">
      <c r="A54" t="inlineStr">
        <is>
          <t>Livre</t>
        </is>
      </c>
      <c r="B54">
        <f>ROUND(B51*'🎛️ Premissas'!$B$32,0)</f>
        <v/>
      </c>
      <c r="C54">
        <f>ROUND(C51*'🎛️ Premissas'!$B$32,0)</f>
        <v/>
      </c>
      <c r="D54">
        <f>ROUND(D51*'🎛️ Premissas'!$B$32,0)</f>
        <v/>
      </c>
      <c r="E54">
        <f>ROUND(E51*'🎛️ Premissas'!$B$32,0)</f>
        <v/>
      </c>
      <c r="F54">
        <f>ROUND(F51*'🎛️ Premissas'!$B$32,0)</f>
        <v/>
      </c>
      <c r="G54">
        <f>ROUND(G51*'🎛️ Premissas'!$B$32,0)</f>
        <v/>
      </c>
      <c r="H54">
        <f>ROUND(H51*'🎛️ Premissas'!$B$32,0)</f>
        <v/>
      </c>
      <c r="I54">
        <f>ROUND(I51*'🎛️ Premissas'!$B$32,0)</f>
        <v/>
      </c>
      <c r="J54">
        <f>ROUND(J51*'🎛️ Premissas'!$B$32,0)</f>
        <v/>
      </c>
      <c r="K54">
        <f>ROUND(K51*'🎛️ Premissas'!$B$32,0)</f>
        <v/>
      </c>
      <c r="L54">
        <f>ROUND(L51*'🎛️ Premissas'!$B$32,0)</f>
        <v/>
      </c>
      <c r="M54">
        <f>ROUND(M51*'🎛️ Premissas'!$B$32,0)</f>
        <v/>
      </c>
      <c r="N54">
        <f>ROUND(M54*(1-'🎛️ Premissas'!$B$35)+MAX(0,N53-M53)*'🎛️ Premissas'!$B$32,0)</f>
        <v/>
      </c>
      <c r="O54">
        <f>ROUND(N54*(1-'🎛️ Premissas'!$B$35)+MAX(0,O53-N53)*'🎛️ Premissas'!$B$32,0)</f>
        <v/>
      </c>
      <c r="P54">
        <f>ROUND(O54*(1-'🎛️ Premissas'!$B$35)+MAX(0,P53-O53)*'🎛️ Premissas'!$B$32,0)</f>
        <v/>
      </c>
      <c r="Q54">
        <f>ROUND(P54*(1-'🎛️ Premissas'!$B$35)+MAX(0,Q53-P53)*'🎛️ Premissas'!$B$32,0)</f>
        <v/>
      </c>
      <c r="R54">
        <f>ROUND(Q54*(1-'🎛️ Premissas'!$B$35)+MAX(0,R53-Q53)*'🎛️ Premissas'!$B$32,0)</f>
        <v/>
      </c>
      <c r="S54">
        <f>ROUND(R54*(1-'🎛️ Premissas'!$B$35)+MAX(0,S53-R53)*'🎛️ Premissas'!$B$32,0)</f>
        <v/>
      </c>
      <c r="T54">
        <f>ROUND(S54*(1-'🎛️ Premissas'!$B$35)+MAX(0,T53-S53)*'🎛️ Premissas'!$B$32,0)</f>
        <v/>
      </c>
      <c r="U54">
        <f>ROUND(T54*(1-'🎛️ Premissas'!$B$35)+MAX(0,U53-T53)*'🎛️ Premissas'!$B$32,0)</f>
        <v/>
      </c>
      <c r="V54">
        <f>ROUND(U54*(1-'🎛️ Premissas'!$B$35)+MAX(0,V53-U53)*'🎛️ Premissas'!$B$32,0)</f>
        <v/>
      </c>
      <c r="W54">
        <f>ROUND(V54*(1-'🎛️ Premissas'!$B$35)+MAX(0,W53-V53)*'🎛️ Premissas'!$B$32,0)</f>
        <v/>
      </c>
      <c r="X54">
        <f>ROUND(W54*(1-'🎛️ Premissas'!$B$35)+MAX(0,X53-W53)*'🎛️ Premissas'!$B$32,0)</f>
        <v/>
      </c>
      <c r="Y54">
        <f>ROUND(X54*(1-'🎛️ Premissas'!$B$35)+MAX(0,Y53-X53)*'🎛️ Premissas'!$B$32,0)</f>
        <v/>
      </c>
    </row>
    <row r="55" hidden="1" outlineLevel="2" s="134">
      <c r="A55" t="inlineStr">
        <is>
          <t>Total Pagantes</t>
        </is>
      </c>
      <c r="B55">
        <f>SUM(B52:B54)</f>
        <v/>
      </c>
      <c r="C55">
        <f>SUM(C52:C54)</f>
        <v/>
      </c>
      <c r="D55">
        <f>SUM(D52:D54)</f>
        <v/>
      </c>
      <c r="E55">
        <f>SUM(E52:E54)</f>
        <v/>
      </c>
      <c r="F55">
        <f>SUM(F52:F54)</f>
        <v/>
      </c>
      <c r="G55">
        <f>SUM(G52:G54)</f>
        <v/>
      </c>
      <c r="H55">
        <f>SUM(H52:H54)</f>
        <v/>
      </c>
      <c r="I55">
        <f>SUM(I52:I54)</f>
        <v/>
      </c>
      <c r="J55">
        <f>SUM(J52:J54)</f>
        <v/>
      </c>
      <c r="K55">
        <f>SUM(K52:K54)</f>
        <v/>
      </c>
      <c r="L55">
        <f>SUM(L52:L54)</f>
        <v/>
      </c>
      <c r="M55">
        <f>SUM(M52:M54)</f>
        <v/>
      </c>
      <c r="N55">
        <f>SUM(N52:N54)</f>
        <v/>
      </c>
      <c r="O55">
        <f>SUM(O52:O54)</f>
        <v/>
      </c>
      <c r="P55">
        <f>SUM(P52:P54)</f>
        <v/>
      </c>
      <c r="Q55">
        <f>SUM(Q52:Q54)</f>
        <v/>
      </c>
      <c r="R55">
        <f>SUM(R52:R54)</f>
        <v/>
      </c>
      <c r="S55">
        <f>SUM(S52:S54)</f>
        <v/>
      </c>
      <c r="T55">
        <f>SUM(T52:T54)</f>
        <v/>
      </c>
      <c r="U55">
        <f>SUM(U52:U54)</f>
        <v/>
      </c>
      <c r="V55">
        <f>SUM(V52:V54)</f>
        <v/>
      </c>
      <c r="W55">
        <f>SUM(W52:W54)</f>
        <v/>
      </c>
      <c r="X55">
        <f>SUM(X52:X54)</f>
        <v/>
      </c>
      <c r="Y55">
        <f>SUM(Y52:Y54)</f>
        <v/>
      </c>
    </row>
    <row r="56" hidden="1" outlineLevel="2" s="134">
      <c r="A56" t="inlineStr">
        <is>
          <t>MRR</t>
        </is>
      </c>
      <c r="B56">
        <f>B52*'🎛️ Premissas'!$B$5+B53*'🎛️ Premissas'!$B$6+B54*'🎛️ Premissas'!$B$7</f>
        <v/>
      </c>
      <c r="C56">
        <f>C52*'🎛️ Premissas'!$B$5+C53*'🎛️ Premissas'!$B$6+C54*'🎛️ Premissas'!$B$7</f>
        <v/>
      </c>
      <c r="D56">
        <f>D52*'🎛️ Premissas'!$B$5+D53*'🎛️ Premissas'!$B$6+D54*'🎛️ Premissas'!$B$7</f>
        <v/>
      </c>
      <c r="E56">
        <f>E52*'🎛️ Premissas'!$B$5+E53*'🎛️ Premissas'!$B$6+E54*'🎛️ Premissas'!$B$7</f>
        <v/>
      </c>
      <c r="F56">
        <f>F52*'🎛️ Premissas'!$B$5+F53*'🎛️ Premissas'!$B$6+F54*'🎛️ Premissas'!$B$7</f>
        <v/>
      </c>
      <c r="G56">
        <f>G52*'🎛️ Premissas'!$B$5+G53*'🎛️ Premissas'!$B$6+G54*'🎛️ Premissas'!$B$7</f>
        <v/>
      </c>
      <c r="H56">
        <f>H52*'🎛️ Premissas'!$B$5+H53*'🎛️ Premissas'!$B$6+H54*'🎛️ Premissas'!$B$7</f>
        <v/>
      </c>
      <c r="I56">
        <f>I52*'🎛️ Premissas'!$B$5+I53*'🎛️ Premissas'!$B$6+I54*'🎛️ Premissas'!$B$7</f>
        <v/>
      </c>
      <c r="J56">
        <f>J52*'🎛️ Premissas'!$B$5+J53*'🎛️ Premissas'!$B$6+J54*'🎛️ Premissas'!$B$7</f>
        <v/>
      </c>
      <c r="K56">
        <f>K52*'🎛️ Premissas'!$B$5+K53*'🎛️ Premissas'!$B$6+K54*'🎛️ Premissas'!$B$7</f>
        <v/>
      </c>
      <c r="L56">
        <f>L52*'🎛️ Premissas'!$B$5+L53*'🎛️ Premissas'!$B$6+L54*'🎛️ Premissas'!$B$7</f>
        <v/>
      </c>
      <c r="M56">
        <f>M52*'🎛️ Premissas'!$B$5+M53*'🎛️ Premissas'!$B$6+M54*'🎛️ Premissas'!$B$7</f>
        <v/>
      </c>
      <c r="N56">
        <f>N52*'🎛️ Premissas'!$B$5+N53*'🎛️ Premissas'!$B$6+N54*'🎛️ Premissas'!$B$7</f>
        <v/>
      </c>
      <c r="O56">
        <f>O52*'🎛️ Premissas'!$B$5+O53*'🎛️ Premissas'!$B$6+O54*'🎛️ Premissas'!$B$7</f>
        <v/>
      </c>
      <c r="P56">
        <f>P52*'🎛️ Premissas'!$B$5+P53*'🎛️ Premissas'!$B$6+P54*'🎛️ Premissas'!$B$7</f>
        <v/>
      </c>
      <c r="Q56">
        <f>Q52*'🎛️ Premissas'!$B$5+Q53*'🎛️ Premissas'!$B$6+Q54*'🎛️ Premissas'!$B$7</f>
        <v/>
      </c>
      <c r="R56">
        <f>R52*'🎛️ Premissas'!$B$5+R53*'🎛️ Premissas'!$B$6+R54*'🎛️ Premissas'!$B$7</f>
        <v/>
      </c>
      <c r="S56">
        <f>S52*'🎛️ Premissas'!$B$5+S53*'🎛️ Premissas'!$B$6+S54*'🎛️ Premissas'!$B$7</f>
        <v/>
      </c>
      <c r="T56">
        <f>T52*'🎛️ Premissas'!$B$5+T53*'🎛️ Premissas'!$B$6+T54*'🎛️ Premissas'!$B$7</f>
        <v/>
      </c>
      <c r="U56">
        <f>U52*'🎛️ Premissas'!$B$5+U53*'🎛️ Premissas'!$B$6+U54*'🎛️ Premissas'!$B$7</f>
        <v/>
      </c>
      <c r="V56">
        <f>V52*'🎛️ Premissas'!$B$5+V53*'🎛️ Premissas'!$B$6+V54*'🎛️ Premissas'!$B$7</f>
        <v/>
      </c>
      <c r="W56">
        <f>W52*'🎛️ Premissas'!$B$5+W53*'🎛️ Premissas'!$B$6+W54*'🎛️ Premissas'!$B$7</f>
        <v/>
      </c>
      <c r="X56">
        <f>X52*'🎛️ Premissas'!$B$5+X53*'🎛️ Premissas'!$B$6+X54*'🎛️ Premissas'!$B$7</f>
        <v/>
      </c>
      <c r="Y56">
        <f>Y52*'🎛️ Premissas'!$B$5+Y53*'🎛️ Premissas'!$B$6+Y54*'🎛️ Premissas'!$B$7</f>
        <v/>
      </c>
    </row>
    <row r="57" hidden="1" outlineLevel="2" s="134">
      <c r="A57" t="inlineStr">
        <is>
          <t>API Total</t>
        </is>
      </c>
      <c r="B57">
        <f>B51*('🎛️ Premissas'!$B$14*('🎛️ Premissas'!$B$15*('🎛️ Premissas'!$B$10/1000000)+'🎛️ Premissas'!$B$16*('🎛️ Premissas'!$B$11/1000000))*(1-'🎛️ Premissas'!$B$12)*'🎛️ Premissas'!$B$9*'🎛️ Premissas'!$B$17)+B52*('🎛️ Premissas'!$B$18*('🎛️ Premissas'!$B$19*('🎛️ Premissas'!$B$10/1000000)+'🎛️ Premissas'!$B$20*('🎛️ Premissas'!$B$11/1000000))*(1-'🎛️ Premissas'!$B$12)*'🎛️ Premissas'!$B$9)+B53*(('🎛️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Premissas'!$B$9))+B54*(('🎛️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C57">
        <f>C51*('🎛️ Premissas'!$B$14*('🎛️ Premissas'!$B$15*('🎛️ Premissas'!$B$10/1000000)+'🎛️ Premissas'!$B$16*('🎛️ Premissas'!$B$11/1000000))*(1-'🎛️ Premissas'!$B$12)*'🎛️ Premissas'!$B$9*'🎛️ Premissas'!$B$17)+C52*('🎛️ Premissas'!$B$18*('🎛️ Premissas'!$B$19*('🎛️ Premissas'!$B$10/1000000)+'🎛️ Premissas'!$B$20*('🎛️ Premissas'!$B$11/1000000))*(1-'🎛️ Premissas'!$B$12)*'🎛️ Premissas'!$B$9)+C53*(('🎛️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Premissas'!$B$9))+C54*(('🎛️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D57">
        <f>D51*('🎛️ Premissas'!$B$14*('🎛️ Premissas'!$B$15*('🎛️ Premissas'!$B$10/1000000)+'🎛️ Premissas'!$B$16*('🎛️ Premissas'!$B$11/1000000))*(1-'🎛️ Premissas'!$B$12)*'🎛️ Premissas'!$B$9*'🎛️ Premissas'!$B$17)+D52*('🎛️ Premissas'!$B$18*('🎛️ Premissas'!$B$19*('🎛️ Premissas'!$B$10/1000000)+'🎛️ Premissas'!$B$20*('🎛️ Premissas'!$B$11/1000000))*(1-'🎛️ Premissas'!$B$12)*'🎛️ Premissas'!$B$9)+D53*(('🎛️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Premissas'!$B$9))+D54*(('🎛️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E57">
        <f>E51*('🎛️ Premissas'!$B$14*('🎛️ Premissas'!$B$15*('🎛️ Premissas'!$B$10/1000000)+'🎛️ Premissas'!$B$16*('🎛️ Premissas'!$B$11/1000000))*(1-'🎛️ Premissas'!$B$12)*'🎛️ Premissas'!$B$9*'🎛️ Premissas'!$B$17)+E52*('🎛️ Premissas'!$B$18*('🎛️ Premissas'!$B$19*('🎛️ Premissas'!$B$10/1000000)+'🎛️ Premissas'!$B$20*('🎛️ Premissas'!$B$11/1000000))*(1-'🎛️ Premissas'!$B$12)*'🎛️ Premissas'!$B$9)+E53*(('🎛️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Premissas'!$B$9))+E54*(('🎛️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F57">
        <f>F51*('🎛️ Premissas'!$B$14*('🎛️ Premissas'!$B$15*('🎛️ Premissas'!$B$10/1000000)+'🎛️ Premissas'!$B$16*('🎛️ Premissas'!$B$11/1000000))*(1-'🎛️ Premissas'!$B$12)*'🎛️ Premissas'!$B$9*'🎛️ Premissas'!$B$17)+F52*('🎛️ Premissas'!$B$18*('🎛️ Premissas'!$B$19*('🎛️ Premissas'!$B$10/1000000)+'🎛️ Premissas'!$B$20*('🎛️ Premissas'!$B$11/1000000))*(1-'🎛️ Premissas'!$B$12)*'🎛️ Premissas'!$B$9)+F53*(('🎛️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Premissas'!$B$9))+F54*(('🎛️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G57">
        <f>G51*('🎛️ Premissas'!$B$14*('🎛️ Premissas'!$B$15*('🎛️ Premissas'!$B$10/1000000)+'🎛️ Premissas'!$B$16*('🎛️ Premissas'!$B$11/1000000))*(1-'🎛️ Premissas'!$B$12)*'🎛️ Premissas'!$B$9*'🎛️ Premissas'!$B$17)+G52*('🎛️ Premissas'!$B$18*('🎛️ Premissas'!$B$19*('🎛️ Premissas'!$B$10/1000000)+'🎛️ Premissas'!$B$20*('🎛️ Premissas'!$B$11/1000000))*(1-'🎛️ Premissas'!$B$12)*'🎛️ Premissas'!$B$9)+G53*(('🎛️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Premissas'!$B$9))+G54*(('🎛️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H57">
        <f>H51*('🎛️ Premissas'!$B$14*('🎛️ Premissas'!$B$15*('🎛️ Premissas'!$B$10/1000000)+'🎛️ Premissas'!$B$16*('🎛️ Premissas'!$B$11/1000000))*(1-'🎛️ Premissas'!$B$12)*'🎛️ Premissas'!$B$9*'🎛️ Premissas'!$B$17)+H52*('🎛️ Premissas'!$B$18*('🎛️ Premissas'!$B$19*('🎛️ Premissas'!$B$10/1000000)+'🎛️ Premissas'!$B$20*('🎛️ Premissas'!$B$11/1000000))*(1-'🎛️ Premissas'!$B$12)*'🎛️ Premissas'!$B$9)+H53*(('🎛️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Premissas'!$B$9))+H54*(('🎛️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I57">
        <f>I51*('🎛️ Premissas'!$B$14*('🎛️ Premissas'!$B$15*('🎛️ Premissas'!$B$10/1000000)+'🎛️ Premissas'!$B$16*('🎛️ Premissas'!$B$11/1000000))*(1-'🎛️ Premissas'!$B$12)*'🎛️ Premissas'!$B$9*'🎛️ Premissas'!$B$17)+I52*('🎛️ Premissas'!$B$18*('🎛️ Premissas'!$B$19*('🎛️ Premissas'!$B$10/1000000)+'🎛️ Premissas'!$B$20*('🎛️ Premissas'!$B$11/1000000))*(1-'🎛️ Premissas'!$B$12)*'🎛️ Premissas'!$B$9)+I53*(('🎛️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Premissas'!$B$9))+I54*(('🎛️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J57">
        <f>J51*('🎛️ Premissas'!$B$14*('🎛️ Premissas'!$B$15*('🎛️ Premissas'!$B$10/1000000)+'🎛️ Premissas'!$B$16*('🎛️ Premissas'!$B$11/1000000))*(1-'🎛️ Premissas'!$B$12)*'🎛️ Premissas'!$B$9*'🎛️ Premissas'!$B$17)+J52*('🎛️ Premissas'!$B$18*('🎛️ Premissas'!$B$19*('🎛️ Premissas'!$B$10/1000000)+'🎛️ Premissas'!$B$20*('🎛️ Premissas'!$B$11/1000000))*(1-'🎛️ Premissas'!$B$12)*'🎛️ Premissas'!$B$9)+J53*(('🎛️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Premissas'!$B$9))+J54*(('🎛️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K57">
        <f>K51*('🎛️ Premissas'!$B$14*('🎛️ Premissas'!$B$15*('🎛️ Premissas'!$B$10/1000000)+'🎛️ Premissas'!$B$16*('🎛️ Premissas'!$B$11/1000000))*(1-'🎛️ Premissas'!$B$12)*'🎛️ Premissas'!$B$9*'🎛️ Premissas'!$B$17)+K52*('🎛️ Premissas'!$B$18*('🎛️ Premissas'!$B$19*('🎛️ Premissas'!$B$10/1000000)+'🎛️ Premissas'!$B$20*('🎛️ Premissas'!$B$11/1000000))*(1-'🎛️ Premissas'!$B$12)*'🎛️ Premissas'!$B$9)+K53*(('🎛️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Premissas'!$B$9))+K54*(('🎛️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L57">
        <f>L51*('🎛️ Premissas'!$B$14*('🎛️ Premissas'!$B$15*('🎛️ Premissas'!$B$10/1000000)+'🎛️ Premissas'!$B$16*('🎛️ Premissas'!$B$11/1000000))*(1-'🎛️ Premissas'!$B$12)*'🎛️ Premissas'!$B$9*'🎛️ Premissas'!$B$17)+L52*('🎛️ Premissas'!$B$18*('🎛️ Premissas'!$B$19*('🎛️ Premissas'!$B$10/1000000)+'🎛️ Premissas'!$B$20*('🎛️ Premissas'!$B$11/1000000))*(1-'🎛️ Premissas'!$B$12)*'🎛️ Premissas'!$B$9)+L53*(('🎛️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Premissas'!$B$9))+L54*(('🎛️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M57">
        <f>M51*('🎛️ Premissas'!$B$14*('🎛️ Premissas'!$B$15*('🎛️ Premissas'!$B$10/1000000)+'🎛️ Premissas'!$B$16*('🎛️ Premissas'!$B$11/1000000))*(1-'🎛️ Premissas'!$B$12)*'🎛️ Premissas'!$B$9*'🎛️ Premissas'!$B$17)+M52*('🎛️ Premissas'!$B$18*('🎛️ Premissas'!$B$19*('🎛️ Premissas'!$B$10/1000000)+'🎛️ Premissas'!$B$20*('🎛️ Premissas'!$B$11/1000000))*(1-'🎛️ Premissas'!$B$12)*'🎛️ Premissas'!$B$9)+M53*(('🎛️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Premissas'!$B$9))+M54*(('🎛️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N57">
        <f>N51*('🎛️ Premissas'!$B$14*('🎛️ Premissas'!$B$15*('🎛️ Premissas'!$B$10/1000000)+'🎛️ Premissas'!$B$16*('🎛️ Premissas'!$B$11/1000000))*(1-'🎛️ Premissas'!$B$12)*'🎛️ Premissas'!$B$9*'🎛️ Premissas'!$B$17)+N52*('🎛️ Premissas'!$B$18*('🎛️ Premissas'!$B$19*('🎛️ Premissas'!$B$10/1000000)+'🎛️ Premissas'!$B$20*('🎛️ Premissas'!$B$11/1000000))*(1-'🎛️ Premissas'!$B$12)*'🎛️ Premissas'!$B$9)+N53*(('🎛️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Premissas'!$B$9))+N54*(('🎛️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O57">
        <f>O51*('🎛️ Premissas'!$B$14*('🎛️ Premissas'!$B$15*('🎛️ Premissas'!$B$10/1000000)+'🎛️ Premissas'!$B$16*('🎛️ Premissas'!$B$11/1000000))*(1-'🎛️ Premissas'!$B$12)*'🎛️ Premissas'!$B$9*'🎛️ Premissas'!$B$17)+O52*('🎛️ Premissas'!$B$18*('🎛️ Premissas'!$B$19*('🎛️ Premissas'!$B$10/1000000)+'🎛️ Premissas'!$B$20*('🎛️ Premissas'!$B$11/1000000))*(1-'🎛️ Premissas'!$B$12)*'🎛️ Premissas'!$B$9)+O53*(('🎛️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Premissas'!$B$9))+O54*(('🎛️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P57">
        <f>P51*('🎛️ Premissas'!$B$14*('🎛️ Premissas'!$B$15*('🎛️ Premissas'!$B$10/1000000)+'🎛️ Premissas'!$B$16*('🎛️ Premissas'!$B$11/1000000))*(1-'🎛️ Premissas'!$B$12)*'🎛️ Premissas'!$B$9*'🎛️ Premissas'!$B$17)+P52*('🎛️ Premissas'!$B$18*('🎛️ Premissas'!$B$19*('🎛️ Premissas'!$B$10/1000000)+'🎛️ Premissas'!$B$20*('🎛️ Premissas'!$B$11/1000000))*(1-'🎛️ Premissas'!$B$12)*'🎛️ Premissas'!$B$9)+P53*(('🎛️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Premissas'!$B$9))+P54*(('🎛️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Q57">
        <f>Q51*('🎛️ Premissas'!$B$14*('🎛️ Premissas'!$B$15*('🎛️ Premissas'!$B$10/1000000)+'🎛️ Premissas'!$B$16*('🎛️ Premissas'!$B$11/1000000))*(1-'🎛️ Premissas'!$B$12)*'🎛️ Premissas'!$B$9*'🎛️ Premissas'!$B$17)+Q52*('🎛️ Premissas'!$B$18*('🎛️ Premissas'!$B$19*('🎛️ Premissas'!$B$10/1000000)+'🎛️ Premissas'!$B$20*('🎛️ Premissas'!$B$11/1000000))*(1-'🎛️ Premissas'!$B$12)*'🎛️ Premissas'!$B$9)+Q53*(('🎛️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Premissas'!$B$9))+Q54*(('🎛️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R57">
        <f>R51*('🎛️ Premissas'!$B$14*('🎛️ Premissas'!$B$15*('🎛️ Premissas'!$B$10/1000000)+'🎛️ Premissas'!$B$16*('🎛️ Premissas'!$B$11/1000000))*(1-'🎛️ Premissas'!$B$12)*'🎛️ Premissas'!$B$9*'🎛️ Premissas'!$B$17)+R52*('🎛️ Premissas'!$B$18*('🎛️ Premissas'!$B$19*('🎛️ Premissas'!$B$10/1000000)+'🎛️ Premissas'!$B$20*('🎛️ Premissas'!$B$11/1000000))*(1-'🎛️ Premissas'!$B$12)*'🎛️ Premissas'!$B$9)+R53*(('🎛️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Premissas'!$B$9))+R54*(('🎛️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S57">
        <f>S51*('🎛️ Premissas'!$B$14*('🎛️ Premissas'!$B$15*('🎛️ Premissas'!$B$10/1000000)+'🎛️ Premissas'!$B$16*('🎛️ Premissas'!$B$11/1000000))*(1-'🎛️ Premissas'!$B$12)*'🎛️ Premissas'!$B$9*'🎛️ Premissas'!$B$17)+S52*('🎛️ Premissas'!$B$18*('🎛️ Premissas'!$B$19*('🎛️ Premissas'!$B$10/1000000)+'🎛️ Premissas'!$B$20*('🎛️ Premissas'!$B$11/1000000))*(1-'🎛️ Premissas'!$B$12)*'🎛️ Premissas'!$B$9)+S53*(('🎛️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Premissas'!$B$9))+S54*(('🎛️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T57">
        <f>T51*('🎛️ Premissas'!$B$14*('🎛️ Premissas'!$B$15*('🎛️ Premissas'!$B$10/1000000)+'🎛️ Premissas'!$B$16*('🎛️ Premissas'!$B$11/1000000))*(1-'🎛️ Premissas'!$B$12)*'🎛️ Premissas'!$B$9*'🎛️ Premissas'!$B$17)+T52*('🎛️ Premissas'!$B$18*('🎛️ Premissas'!$B$19*('🎛️ Premissas'!$B$10/1000000)+'🎛️ Premissas'!$B$20*('🎛️ Premissas'!$B$11/1000000))*(1-'🎛️ Premissas'!$B$12)*'🎛️ Premissas'!$B$9)+T53*(('🎛️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Premissas'!$B$9))+T54*(('🎛️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U57">
        <f>U51*('🎛️ Premissas'!$B$14*('🎛️ Premissas'!$B$15*('🎛️ Premissas'!$B$10/1000000)+'🎛️ Premissas'!$B$16*('🎛️ Premissas'!$B$11/1000000))*(1-'🎛️ Premissas'!$B$12)*'🎛️ Premissas'!$B$9*'🎛️ Premissas'!$B$17)+U52*('🎛️ Premissas'!$B$18*('🎛️ Premissas'!$B$19*('🎛️ Premissas'!$B$10/1000000)+'🎛️ Premissas'!$B$20*('🎛️ Premissas'!$B$11/1000000))*(1-'🎛️ Premissas'!$B$12)*'🎛️ Premissas'!$B$9)+U53*(('🎛️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Premissas'!$B$9))+U54*(('🎛️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V57">
        <f>V51*('🎛️ Premissas'!$B$14*('🎛️ Premissas'!$B$15*('🎛️ Premissas'!$B$10/1000000)+'🎛️ Premissas'!$B$16*('🎛️ Premissas'!$B$11/1000000))*(1-'🎛️ Premissas'!$B$12)*'🎛️ Premissas'!$B$9*'🎛️ Premissas'!$B$17)+V52*('🎛️ Premissas'!$B$18*('🎛️ Premissas'!$B$19*('🎛️ Premissas'!$B$10/1000000)+'🎛️ Premissas'!$B$20*('🎛️ Premissas'!$B$11/1000000))*(1-'🎛️ Premissas'!$B$12)*'🎛️ Premissas'!$B$9)+V53*(('🎛️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Premissas'!$B$9))+V54*(('🎛️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W57">
        <f>W51*('🎛️ Premissas'!$B$14*('🎛️ Premissas'!$B$15*('🎛️ Premissas'!$B$10/1000000)+'🎛️ Premissas'!$B$16*('🎛️ Premissas'!$B$11/1000000))*(1-'🎛️ Premissas'!$B$12)*'🎛️ Premissas'!$B$9*'🎛️ Premissas'!$B$17)+W52*('🎛️ Premissas'!$B$18*('🎛️ Premissas'!$B$19*('🎛️ Premissas'!$B$10/1000000)+'🎛️ Premissas'!$B$20*('🎛️ Premissas'!$B$11/1000000))*(1-'🎛️ Premissas'!$B$12)*'🎛️ Premissas'!$B$9)+W53*(('🎛️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Premissas'!$B$9))+W54*(('🎛️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X57">
        <f>X51*('🎛️ Premissas'!$B$14*('🎛️ Premissas'!$B$15*('🎛️ Premissas'!$B$10/1000000)+'🎛️ Premissas'!$B$16*('🎛️ Premissas'!$B$11/1000000))*(1-'🎛️ Premissas'!$B$12)*'🎛️ Premissas'!$B$9*'🎛️ Premissas'!$B$17)+X52*('🎛️ Premissas'!$B$18*('🎛️ Premissas'!$B$19*('🎛️ Premissas'!$B$10/1000000)+'🎛️ Premissas'!$B$20*('🎛️ Premissas'!$B$11/1000000))*(1-'🎛️ Premissas'!$B$12)*'🎛️ Premissas'!$B$9)+X53*(('🎛️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Premissas'!$B$9))+X54*(('🎛️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  <c r="Y57">
        <f>Y51*('🎛️ Premissas'!$B$14*('🎛️ Premissas'!$B$15*('🎛️ Premissas'!$B$10/1000000)+'🎛️ Premissas'!$B$16*('🎛️ Premissas'!$B$11/1000000))*(1-'🎛️ Premissas'!$B$12)*'🎛️ Premissas'!$B$9*'🎛️ Premissas'!$B$17)+Y52*('🎛️ Premissas'!$B$18*('🎛️ Premissas'!$B$19*('🎛️ Premissas'!$B$10/1000000)+'🎛️ Premissas'!$B$20*('🎛️ Premissas'!$B$11/1000000))*(1-'🎛️ Premissas'!$B$12)*'🎛️ Premissas'!$B$9)+Y53*(('🎛️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Premissas'!$B$9))+Y54*(('🎛️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/>
      </c>
    </row>
    <row r="58" hidden="1" outlineLevel="2" s="134">
      <c r="A58" t="inlineStr">
        <is>
          <t>Custo Fixo</t>
        </is>
      </c>
      <c r="B58">
        <f>'🎛️ Premissas'!$B$37+'🎛️ Premissas'!$B$39+'🎛️ Premissas'!$B$41+'🎛️ Premissas'!$B$43</f>
        <v/>
      </c>
      <c r="C58">
        <f>'🎛️ Premissas'!$B$37+'🎛️ Premissas'!$B$39+'🎛️ Premissas'!$B$41+'🎛️ Premissas'!$B$43</f>
        <v/>
      </c>
      <c r="D58">
        <f>'🎛️ Premissas'!$B$37+'🎛️ Premissas'!$B$39+'🎛️ Premissas'!$B$41+'🎛️ Premissas'!$B$43</f>
        <v/>
      </c>
      <c r="E58">
        <f>'🎛️ Premissas'!$B$37+'🎛️ Premissas'!$B$39+'🎛️ Premissas'!$B$41+'🎛️ Premissas'!$B$43</f>
        <v/>
      </c>
      <c r="F58">
        <f>'🎛️ Premissas'!$B$37+'🎛️ Premissas'!$B$39+'🎛️ Premissas'!$B$41+'🎛️ Premissas'!$B$43</f>
        <v/>
      </c>
      <c r="G58">
        <f>'🎛️ Premissas'!$B$37+'🎛️ Premissas'!$B$39+'🎛️ Premissas'!$B$41+'🎛️ Premissas'!$B$43</f>
        <v/>
      </c>
      <c r="H58">
        <f>'🎛️ Premissas'!$B$37+'🎛️ Premissas'!$B$39+'🎛️ Premissas'!$B$41+'🎛️ Premissas'!$B$43</f>
        <v/>
      </c>
      <c r="I58">
        <f>'🎛️ Premissas'!$B$37+'🎛️ Premissas'!$B$39+'🎛️ Premissas'!$B$41+'🎛️ Premissas'!$B$43</f>
        <v/>
      </c>
      <c r="J58">
        <f>'🎛️ Premissas'!$B$37+'🎛️ Premissas'!$B$39+'🎛️ Premissas'!$B$41+'🎛️ Premissas'!$B$43</f>
        <v/>
      </c>
      <c r="K58">
        <f>'🎛️ Premissas'!$B$37+'🎛️ Premissas'!$B$39+'🎛️ Premissas'!$B$41+'🎛️ Premissas'!$B$43</f>
        <v/>
      </c>
      <c r="L58">
        <f>'🎛️ Premissas'!$B$37+'🎛️ Premissas'!$B$39+'🎛️ Premissas'!$B$41+'🎛️ Premissas'!$B$43</f>
        <v/>
      </c>
      <c r="M58">
        <f>'🎛️ Premissas'!$B$37+'🎛️ Premissas'!$B$39+'🎛️ Premissas'!$B$41+'🎛️ Premissas'!$B$43</f>
        <v/>
      </c>
      <c r="N58">
        <f>'🎛️ Premissas'!$B$38+'🎛️ Premissas'!$B$40+'🎛️ Premissas'!$B$42+'🎛️ Premissas'!$B$43</f>
        <v/>
      </c>
      <c r="O58">
        <f>'🎛️ Premissas'!$B$38+'🎛️ Premissas'!$B$40+'🎛️ Premissas'!$B$42+'🎛️ Premissas'!$B$43</f>
        <v/>
      </c>
      <c r="P58">
        <f>'🎛️ Premissas'!$B$38+'🎛️ Premissas'!$B$40+'🎛️ Premissas'!$B$42+'🎛️ Premissas'!$B$43</f>
        <v/>
      </c>
      <c r="Q58">
        <f>'🎛️ Premissas'!$B$38+'🎛️ Premissas'!$B$40+'🎛️ Premissas'!$B$42+'🎛️ Premissas'!$B$43</f>
        <v/>
      </c>
      <c r="R58">
        <f>'🎛️ Premissas'!$B$38+'🎛️ Premissas'!$B$40+'🎛️ Premissas'!$B$42+'🎛️ Premissas'!$B$43</f>
        <v/>
      </c>
      <c r="S58">
        <f>'🎛️ Premissas'!$B$38+'🎛️ Premissas'!$B$40+'🎛️ Premissas'!$B$42+'🎛️ Premissas'!$B$43</f>
        <v/>
      </c>
      <c r="T58">
        <f>'🎛️ Premissas'!$B$38+'🎛️ Premissas'!$B$40+'🎛️ Premissas'!$B$42+'🎛️ Premissas'!$B$43</f>
        <v/>
      </c>
      <c r="U58">
        <f>'🎛️ Premissas'!$B$38+'🎛️ Premissas'!$B$40+'🎛️ Premissas'!$B$42+'🎛️ Premissas'!$B$43</f>
        <v/>
      </c>
      <c r="V58">
        <f>'🎛️ Premissas'!$B$38+'🎛️ Premissas'!$B$40+'🎛️ Premissas'!$B$42+'🎛️ Premissas'!$B$43</f>
        <v/>
      </c>
      <c r="W58">
        <f>'🎛️ Premissas'!$B$38+'🎛️ Premissas'!$B$40+'🎛️ Premissas'!$B$42+'🎛️ Premissas'!$B$43</f>
        <v/>
      </c>
      <c r="X58">
        <f>'🎛️ Premissas'!$B$38+'🎛️ Premissas'!$B$40+'🎛️ Premissas'!$B$42+'🎛️ Premissas'!$B$43</f>
        <v/>
      </c>
      <c r="Y58">
        <f>'🎛️ Premissas'!$B$38+'🎛️ Premissas'!$B$40+'🎛️ Premissas'!$B$42+'🎛️ Premissas'!$B$43</f>
        <v/>
      </c>
    </row>
    <row r="59" hidden="1" outlineLevel="2" s="134">
      <c r="A59" t="inlineStr">
        <is>
          <t>Impostos</t>
        </is>
      </c>
      <c r="B59">
        <f>B56*'🎛️ Premissas'!$B$67</f>
        <v/>
      </c>
      <c r="C59" s="44">
        <f>C56*'🎛️ Premissas'!$B$67</f>
        <v/>
      </c>
      <c r="D59" s="44">
        <f>D56*'🎛️ Premissas'!$B$67</f>
        <v/>
      </c>
      <c r="E59" s="44">
        <f>E56*'🎛️ Premissas'!$B$67</f>
        <v/>
      </c>
      <c r="F59" s="44">
        <f>F56*'🎛️ Premissas'!$B$67</f>
        <v/>
      </c>
      <c r="G59" s="44">
        <f>G56*'🎛️ Premissas'!$B$67</f>
        <v/>
      </c>
      <c r="H59" s="44">
        <f>H56*'🎛️ Premissas'!$B$67</f>
        <v/>
      </c>
      <c r="I59" s="44">
        <f>I56*'🎛️ Premissas'!$B$67</f>
        <v/>
      </c>
      <c r="J59" s="44">
        <f>J56*'🎛️ Premissas'!$B$67</f>
        <v/>
      </c>
      <c r="K59" s="44">
        <f>K56*'🎛️ Premissas'!$B$67</f>
        <v/>
      </c>
      <c r="L59" s="44">
        <f>L56*'🎛️ Premissas'!$B$67</f>
        <v/>
      </c>
      <c r="M59" s="44">
        <f>M56*'🎛️ Premissas'!$B$67</f>
        <v/>
      </c>
      <c r="N59" s="44">
        <f>N56*'🎛️ Premissas'!$B$67</f>
        <v/>
      </c>
      <c r="O59" s="44">
        <f>O56*'🎛️ Premissas'!$B$67</f>
        <v/>
      </c>
      <c r="P59" s="44">
        <f>P56*'🎛️ Premissas'!$B$67</f>
        <v/>
      </c>
      <c r="Q59" s="44">
        <f>Q56*'🎛️ Premissas'!$B$67</f>
        <v/>
      </c>
      <c r="R59" s="44">
        <f>R56*'🎛️ Premissas'!$B$67</f>
        <v/>
      </c>
      <c r="S59" s="44">
        <f>S56*'🎛️ Premissas'!$B$67</f>
        <v/>
      </c>
      <c r="T59" s="44">
        <f>T56*'🎛️ Premissas'!$B$67</f>
        <v/>
      </c>
      <c r="U59" s="44">
        <f>U56*'🎛️ Premissas'!$B$67</f>
        <v/>
      </c>
      <c r="V59" s="44">
        <f>V56*'🎛️ Premissas'!$B$67</f>
        <v/>
      </c>
      <c r="W59" s="44">
        <f>W56*'🎛️ Premissas'!$B$67</f>
        <v/>
      </c>
      <c r="X59" s="44">
        <f>X56*'🎛️ Premissas'!$B$67</f>
        <v/>
      </c>
      <c r="Y59" s="44">
        <f>Y56*'🎛️ Premissas'!$B$67</f>
        <v/>
      </c>
    </row>
    <row r="60" hidden="1" outlineLevel="2" s="134">
      <c r="A60" t="inlineStr">
        <is>
          <t>Resultado Mensal</t>
        </is>
      </c>
      <c r="B60">
        <f>B56-B57-B58-B59</f>
        <v/>
      </c>
      <c r="C60" s="44">
        <f>C56-C57-C58-C59</f>
        <v/>
      </c>
      <c r="D60" s="44">
        <f>D56-D57-D58-D59</f>
        <v/>
      </c>
      <c r="E60" s="44">
        <f>E56-E57-E58-E59</f>
        <v/>
      </c>
      <c r="F60" s="44">
        <f>F56-F57-F58-F59</f>
        <v/>
      </c>
      <c r="G60" s="44">
        <f>G56-G57-G58-G59</f>
        <v/>
      </c>
      <c r="H60" s="44">
        <f>H56-H57-H58-H59</f>
        <v/>
      </c>
      <c r="I60" s="44">
        <f>I56-I57-I58-I59</f>
        <v/>
      </c>
      <c r="J60" s="44">
        <f>J56-J57-J58-J59</f>
        <v/>
      </c>
      <c r="K60" s="44">
        <f>K56-K57-K58-K59</f>
        <v/>
      </c>
      <c r="L60" s="44">
        <f>L56-L57-L58-L59</f>
        <v/>
      </c>
      <c r="M60" s="44">
        <f>M56-M57-M58-M59</f>
        <v/>
      </c>
      <c r="N60" s="44">
        <f>N56-N57-N58-N59</f>
        <v/>
      </c>
      <c r="O60" s="44">
        <f>O56-O57-O58-O59</f>
        <v/>
      </c>
      <c r="P60" s="44">
        <f>P56-P57-P58-P59</f>
        <v/>
      </c>
      <c r="Q60" s="44">
        <f>Q56-Q57-Q58-Q59</f>
        <v/>
      </c>
      <c r="R60" s="44">
        <f>R56-R57-R58-R59</f>
        <v/>
      </c>
      <c r="S60" s="44">
        <f>S56-S57-S58-S59</f>
        <v/>
      </c>
      <c r="T60" s="44">
        <f>T56-T57-T58-T59</f>
        <v/>
      </c>
      <c r="U60" s="44">
        <f>U56-U57-U58-U59</f>
        <v/>
      </c>
      <c r="V60" s="44">
        <f>V56-V57-V58-V59</f>
        <v/>
      </c>
      <c r="W60" s="44">
        <f>W56-W57-W58-W59</f>
        <v/>
      </c>
      <c r="X60" s="44">
        <f>X56-X57-X58-X59</f>
        <v/>
      </c>
      <c r="Y60" s="44">
        <f>Y56-Y57-Y58-Y59</f>
        <v/>
      </c>
    </row>
    <row r="61" hidden="1" outlineLevel="2" s="134"/>
    <row r="62" hidden="1" outlineLevel="2" s="134">
      <c r="A62" t="inlineStr">
        <is>
          <t>BASE</t>
        </is>
      </c>
    </row>
    <row r="63" hidden="1" outlineLevel="2" s="134">
      <c r="A63" t="inlineStr">
        <is>
          <t>Free Cadastros</t>
        </is>
      </c>
      <c r="B63">
        <f>'🎛️ Premissas'!$B$61</f>
        <v/>
      </c>
      <c r="C63" s="44">
        <f>B63+'🎛️ Premissas'!$C$28</f>
        <v/>
      </c>
      <c r="D63" s="44">
        <f>C63+'🎛️ Premissas'!$C$28</f>
        <v/>
      </c>
      <c r="E63" s="44">
        <f>D63+'🎛️ Premissas'!$C$28</f>
        <v/>
      </c>
      <c r="F63" s="44">
        <f>E63+'🎛️ Premissas'!$C$28</f>
        <v/>
      </c>
      <c r="G63" s="44">
        <f>F63+'🎛️ Premissas'!$C$28</f>
        <v/>
      </c>
      <c r="H63" s="44">
        <f>G63+'🎛️ Premissas'!$C$28</f>
        <v/>
      </c>
      <c r="I63" s="44">
        <f>H63+'🎛️ Premissas'!$C$28</f>
        <v/>
      </c>
      <c r="J63" s="44">
        <f>I63+'🎛️ Premissas'!$C$28</f>
        <v/>
      </c>
      <c r="K63" s="44">
        <f>J63+'🎛️ Premissas'!$C$28</f>
        <v/>
      </c>
      <c r="L63" s="44">
        <f>K63+'🎛️ Premissas'!$C$28</f>
        <v/>
      </c>
      <c r="M63" s="44">
        <f>L63+'🎛️ Premissas'!$C$28</f>
        <v/>
      </c>
      <c r="N63" s="44">
        <f>M63+'🎛️ Premissas'!$C$29</f>
        <v/>
      </c>
      <c r="O63" s="44">
        <f>N63+'🎛️ Premissas'!$C$29</f>
        <v/>
      </c>
      <c r="P63" s="44">
        <f>O63+'🎛️ Premissas'!$C$29</f>
        <v/>
      </c>
      <c r="Q63" s="44">
        <f>P63+'🎛️ Premissas'!$C$29</f>
        <v/>
      </c>
      <c r="R63" s="44">
        <f>Q63+'🎛️ Premissas'!$C$29</f>
        <v/>
      </c>
      <c r="S63" s="44">
        <f>R63+'🎛️ Premissas'!$C$29</f>
        <v/>
      </c>
      <c r="T63" s="44">
        <f>S63+'🎛️ Premissas'!$C$29</f>
        <v/>
      </c>
      <c r="U63" s="44">
        <f>T63+'🎛️ Premissas'!$C$29</f>
        <v/>
      </c>
      <c r="V63" s="44">
        <f>U63+'🎛️ Premissas'!$C$29</f>
        <v/>
      </c>
      <c r="W63" s="44">
        <f>V63+'🎛️ Premissas'!$C$29</f>
        <v/>
      </c>
      <c r="X63" s="44">
        <f>W63+'🎛️ Premissas'!$C$29</f>
        <v/>
      </c>
      <c r="Y63" s="44">
        <f>X63+'🎛️ Premissas'!$C$29</f>
        <v/>
      </c>
    </row>
    <row r="64" hidden="1" outlineLevel="2" s="134">
      <c r="A64" t="inlineStr">
        <is>
          <t>Essencial</t>
        </is>
      </c>
      <c r="B64">
        <f>ROUND(B63*'🎛️ Premissas'!$C$30,0)</f>
        <v/>
      </c>
      <c r="C64">
        <f>ROUND(C63*'🎛️ Premissas'!$C$30,0)</f>
        <v/>
      </c>
      <c r="D64">
        <f>ROUND(D63*'🎛️ Premissas'!$C$30,0)</f>
        <v/>
      </c>
      <c r="E64">
        <f>ROUND(E63*'🎛️ Premissas'!$C$30,0)</f>
        <v/>
      </c>
      <c r="F64">
        <f>ROUND(F63*'🎛️ Premissas'!$C$30,0)</f>
        <v/>
      </c>
      <c r="G64">
        <f>ROUND(G63*'🎛️ Premissas'!$C$30,0)</f>
        <v/>
      </c>
      <c r="H64">
        <f>ROUND(H63*'🎛️ Premissas'!$C$30,0)</f>
        <v/>
      </c>
      <c r="I64">
        <f>ROUND(I63*'🎛️ Premissas'!$C$30,0)</f>
        <v/>
      </c>
      <c r="J64">
        <f>ROUND(J63*'🎛️ Premissas'!$C$30,0)</f>
        <v/>
      </c>
      <c r="K64">
        <f>ROUND(K63*'🎛️ Premissas'!$C$30,0)</f>
        <v/>
      </c>
      <c r="L64">
        <f>ROUND(L63*'🎛️ Premissas'!$C$30,0)</f>
        <v/>
      </c>
      <c r="M64">
        <f>ROUND(M63*'🎛️ Premissas'!$C$30,0)</f>
        <v/>
      </c>
      <c r="N64">
        <f>ROUND(M64*(1-'🎛️ Premissas'!$C$33)+MAX(0,N63-M67)*'🎛️ Premissas'!$C$30,0)</f>
        <v/>
      </c>
      <c r="O64">
        <f>ROUND(N64*(1-'🎛️ Premissas'!$C$33)+MAX(0,O63-N67)*'🎛️ Premissas'!$C$30,0)</f>
        <v/>
      </c>
      <c r="P64">
        <f>ROUND(O64*(1-'🎛️ Premissas'!$C$33)+MAX(0,P63-O67)*'🎛️ Premissas'!$C$30,0)</f>
        <v/>
      </c>
      <c r="Q64">
        <f>ROUND(P64*(1-'🎛️ Premissas'!$C$33)+MAX(0,Q63-P67)*'🎛️ Premissas'!$C$30,0)</f>
        <v/>
      </c>
      <c r="R64">
        <f>ROUND(Q64*(1-'🎛️ Premissas'!$C$33)+MAX(0,R63-Q67)*'🎛️ Premissas'!$C$30,0)</f>
        <v/>
      </c>
      <c r="S64">
        <f>ROUND(R64*(1-'🎛️ Premissas'!$C$33)+MAX(0,S63-R67)*'🎛️ Premissas'!$C$30,0)</f>
        <v/>
      </c>
      <c r="T64">
        <f>ROUND(S64*(1-'🎛️ Premissas'!$C$33)+MAX(0,T63-S67)*'🎛️ Premissas'!$C$30,0)</f>
        <v/>
      </c>
      <c r="U64">
        <f>ROUND(T64*(1-'🎛️ Premissas'!$C$33)+MAX(0,U63-T67)*'🎛️ Premissas'!$C$30,0)</f>
        <v/>
      </c>
      <c r="V64">
        <f>ROUND(U64*(1-'🎛️ Premissas'!$C$33)+MAX(0,V63-U67)*'🎛️ Premissas'!$C$30,0)</f>
        <v/>
      </c>
      <c r="W64">
        <f>ROUND(V64*(1-'🎛️ Premissas'!$C$33)+MAX(0,W63-V67)*'🎛️ Premissas'!$C$30,0)</f>
        <v/>
      </c>
      <c r="X64">
        <f>ROUND(W64*(1-'🎛️ Premissas'!$C$33)+MAX(0,X63-W67)*'🎛️ Premissas'!$C$30,0)</f>
        <v/>
      </c>
      <c r="Y64">
        <f>ROUND(X64*(1-'🎛️ Premissas'!$C$33)+MAX(0,Y63-X67)*'🎛️ Premissas'!$C$30,0)</f>
        <v/>
      </c>
    </row>
    <row r="65" hidden="1" outlineLevel="2" s="134">
      <c r="A65" t="inlineStr">
        <is>
          <t>Autônoma</t>
        </is>
      </c>
      <c r="B65">
        <f>ROUND(B63*'🎛️ Premissas'!$C$31,0)</f>
        <v/>
      </c>
      <c r="C65">
        <f>ROUND(C63*'🎛️ Premissas'!$C$31,0)</f>
        <v/>
      </c>
      <c r="D65">
        <f>ROUND(D63*'🎛️ Premissas'!$C$31,0)</f>
        <v/>
      </c>
      <c r="E65">
        <f>ROUND(E63*'🎛️ Premissas'!$C$31,0)</f>
        <v/>
      </c>
      <c r="F65">
        <f>ROUND(F63*'🎛️ Premissas'!$C$31,0)</f>
        <v/>
      </c>
      <c r="G65">
        <f>ROUND(G63*'🎛️ Premissas'!$C$31,0)</f>
        <v/>
      </c>
      <c r="H65">
        <f>ROUND(H63*'🎛️ Premissas'!$C$31,0)</f>
        <v/>
      </c>
      <c r="I65">
        <f>ROUND(I63*'🎛️ Premissas'!$C$31,0)</f>
        <v/>
      </c>
      <c r="J65">
        <f>ROUND(J63*'🎛️ Premissas'!$C$31,0)</f>
        <v/>
      </c>
      <c r="K65">
        <f>ROUND(K63*'🎛️ Premissas'!$C$31,0)</f>
        <v/>
      </c>
      <c r="L65">
        <f>ROUND(L63*'🎛️ Premissas'!$C$31,0)</f>
        <v/>
      </c>
      <c r="M65">
        <f>ROUND(M63*'🎛️ Premissas'!$C$31,0)</f>
        <v/>
      </c>
      <c r="N65">
        <f>ROUND(M65*(1-'🎛️ Premissas'!$C$34)+MAX(0,N64-M64-M65)*'🎛️ Premissas'!$C$31,0)</f>
        <v/>
      </c>
      <c r="O65">
        <f>ROUND(N65*(1-'🎛️ Premissas'!$C$34)+MAX(0,O64-N64-N65)*'🎛️ Premissas'!$C$31,0)</f>
        <v/>
      </c>
      <c r="P65">
        <f>ROUND(O65*(1-'🎛️ Premissas'!$C$34)+MAX(0,P64-O64-O65)*'🎛️ Premissas'!$C$31,0)</f>
        <v/>
      </c>
      <c r="Q65">
        <f>ROUND(P65*(1-'🎛️ Premissas'!$C$34)+MAX(0,Q64-P64-P65)*'🎛️ Premissas'!$C$31,0)</f>
        <v/>
      </c>
      <c r="R65">
        <f>ROUND(Q65*(1-'🎛️ Premissas'!$C$34)+MAX(0,R64-Q64-Q65)*'🎛️ Premissas'!$C$31,0)</f>
        <v/>
      </c>
      <c r="S65">
        <f>ROUND(R65*(1-'🎛️ Premissas'!$C$34)+MAX(0,S64-R64-R65)*'🎛️ Premissas'!$C$31,0)</f>
        <v/>
      </c>
      <c r="T65">
        <f>ROUND(S65*(1-'🎛️ Premissas'!$C$34)+MAX(0,T64-S64-S65)*'🎛️ Premissas'!$C$31,0)</f>
        <v/>
      </c>
      <c r="U65">
        <f>ROUND(T65*(1-'🎛️ Premissas'!$C$34)+MAX(0,U64-T64-T65)*'🎛️ Premissas'!$C$31,0)</f>
        <v/>
      </c>
      <c r="V65">
        <f>ROUND(U65*(1-'🎛️ Premissas'!$C$34)+MAX(0,V64-U64-U65)*'🎛️ Premissas'!$C$31,0)</f>
        <v/>
      </c>
      <c r="W65">
        <f>ROUND(V65*(1-'🎛️ Premissas'!$C$34)+MAX(0,W64-V64-V65)*'🎛️ Premissas'!$C$31,0)</f>
        <v/>
      </c>
      <c r="X65">
        <f>ROUND(W65*(1-'🎛️ Premissas'!$C$34)+MAX(0,X64-W64-W65)*'🎛️ Premissas'!$C$31,0)</f>
        <v/>
      </c>
      <c r="Y65">
        <f>ROUND(X65*(1-'🎛️ Premissas'!$C$34)+MAX(0,Y64-X64-X65)*'🎛️ Premissas'!$C$31,0)</f>
        <v/>
      </c>
    </row>
    <row r="66" hidden="1" outlineLevel="2" s="134">
      <c r="A66" t="inlineStr">
        <is>
          <t>Livre</t>
        </is>
      </c>
      <c r="B66">
        <f>ROUND(B63*'🎛️ Premissas'!$C$32,0)</f>
        <v/>
      </c>
      <c r="C66">
        <f>ROUND(C63*'🎛️ Premissas'!$C$32,0)</f>
        <v/>
      </c>
      <c r="D66">
        <f>ROUND(D63*'🎛️ Premissas'!$C$32,0)</f>
        <v/>
      </c>
      <c r="E66">
        <f>ROUND(E63*'🎛️ Premissas'!$C$32,0)</f>
        <v/>
      </c>
      <c r="F66">
        <f>ROUND(F63*'🎛️ Premissas'!$C$32,0)</f>
        <v/>
      </c>
      <c r="G66">
        <f>ROUND(G63*'🎛️ Premissas'!$C$32,0)</f>
        <v/>
      </c>
      <c r="H66">
        <f>ROUND(H63*'🎛️ Premissas'!$C$32,0)</f>
        <v/>
      </c>
      <c r="I66">
        <f>ROUND(I63*'🎛️ Premissas'!$C$32,0)</f>
        <v/>
      </c>
      <c r="J66">
        <f>ROUND(J63*'🎛️ Premissas'!$C$32,0)</f>
        <v/>
      </c>
      <c r="K66">
        <f>ROUND(K63*'🎛️ Premissas'!$C$32,0)</f>
        <v/>
      </c>
      <c r="L66">
        <f>ROUND(L63*'🎛️ Premissas'!$C$32,0)</f>
        <v/>
      </c>
      <c r="M66">
        <f>ROUND(M63*'🎛️ Premissas'!$C$32,0)</f>
        <v/>
      </c>
      <c r="N66">
        <f>ROUND(M66*(1-'🎛️ Premissas'!$C$35)+MAX(0,N65-M65)*'🎛️ Premissas'!$C$32,0)</f>
        <v/>
      </c>
      <c r="O66">
        <f>ROUND(N66*(1-'🎛️ Premissas'!$C$35)+MAX(0,O65-N65)*'🎛️ Premissas'!$C$32,0)</f>
        <v/>
      </c>
      <c r="P66">
        <f>ROUND(O66*(1-'🎛️ Premissas'!$C$35)+MAX(0,P65-O65)*'🎛️ Premissas'!$C$32,0)</f>
        <v/>
      </c>
      <c r="Q66">
        <f>ROUND(P66*(1-'🎛️ Premissas'!$C$35)+MAX(0,Q65-P65)*'🎛️ Premissas'!$C$32,0)</f>
        <v/>
      </c>
      <c r="R66">
        <f>ROUND(Q66*(1-'🎛️ Premissas'!$C$35)+MAX(0,R65-Q65)*'🎛️ Premissas'!$C$32,0)</f>
        <v/>
      </c>
      <c r="S66">
        <f>ROUND(R66*(1-'🎛️ Premissas'!$C$35)+MAX(0,S65-R65)*'🎛️ Premissas'!$C$32,0)</f>
        <v/>
      </c>
      <c r="T66">
        <f>ROUND(S66*(1-'🎛️ Premissas'!$C$35)+MAX(0,T65-S65)*'🎛️ Premissas'!$C$32,0)</f>
        <v/>
      </c>
      <c r="U66">
        <f>ROUND(T66*(1-'🎛️ Premissas'!$C$35)+MAX(0,U65-T65)*'🎛️ Premissas'!$C$32,0)</f>
        <v/>
      </c>
      <c r="V66">
        <f>ROUND(U66*(1-'🎛️ Premissas'!$C$35)+MAX(0,V65-U65)*'🎛️ Premissas'!$C$32,0)</f>
        <v/>
      </c>
      <c r="W66">
        <f>ROUND(V66*(1-'🎛️ Premissas'!$C$35)+MAX(0,W65-V65)*'🎛️ Premissas'!$C$32,0)</f>
        <v/>
      </c>
      <c r="X66">
        <f>ROUND(W66*(1-'🎛️ Premissas'!$C$35)+MAX(0,X65-W65)*'🎛️ Premissas'!$C$32,0)</f>
        <v/>
      </c>
      <c r="Y66">
        <f>ROUND(X66*(1-'🎛️ Premissas'!$C$35)+MAX(0,Y65-X65)*'🎛️ Premissas'!$C$32,0)</f>
        <v/>
      </c>
    </row>
    <row r="67" hidden="1" outlineLevel="2" s="134">
      <c r="A67" t="inlineStr">
        <is>
          <t>Total Pagantes</t>
        </is>
      </c>
      <c r="B67">
        <f>SUM(B64:B66)</f>
        <v/>
      </c>
      <c r="C67" s="44">
        <f>SUM(C64:C66)</f>
        <v/>
      </c>
      <c r="D67" s="44">
        <f>SUM(D64:D66)</f>
        <v/>
      </c>
      <c r="E67" s="44">
        <f>SUM(E64:E66)</f>
        <v/>
      </c>
      <c r="F67" s="44">
        <f>SUM(F64:F66)</f>
        <v/>
      </c>
      <c r="G67" s="44">
        <f>SUM(G64:G66)</f>
        <v/>
      </c>
      <c r="H67" s="44">
        <f>SUM(H64:H66)</f>
        <v/>
      </c>
      <c r="I67" s="44">
        <f>SUM(I64:I66)</f>
        <v/>
      </c>
      <c r="J67" s="44">
        <f>SUM(J64:J66)</f>
        <v/>
      </c>
      <c r="K67" s="44">
        <f>SUM(K64:K66)</f>
        <v/>
      </c>
      <c r="L67" s="44">
        <f>SUM(L64:L66)</f>
        <v/>
      </c>
      <c r="M67" s="44">
        <f>SUM(M64:M66)</f>
        <v/>
      </c>
      <c r="N67" s="44">
        <f>SUM(N64:N66)</f>
        <v/>
      </c>
      <c r="O67" s="44">
        <f>SUM(O64:O66)</f>
        <v/>
      </c>
      <c r="P67" s="44">
        <f>SUM(P64:P66)</f>
        <v/>
      </c>
      <c r="Q67" s="44">
        <f>SUM(Q64:Q66)</f>
        <v/>
      </c>
      <c r="R67" s="44">
        <f>SUM(R64:R66)</f>
        <v/>
      </c>
      <c r="S67" s="44">
        <f>SUM(S64:S66)</f>
        <v/>
      </c>
      <c r="T67" s="44">
        <f>SUM(T64:T66)</f>
        <v/>
      </c>
      <c r="U67" s="44">
        <f>SUM(U64:U66)</f>
        <v/>
      </c>
      <c r="V67" s="44">
        <f>SUM(V64:V66)</f>
        <v/>
      </c>
      <c r="W67" s="44">
        <f>SUM(W64:W66)</f>
        <v/>
      </c>
      <c r="X67" s="44">
        <f>SUM(X64:X66)</f>
        <v/>
      </c>
      <c r="Y67" s="44">
        <f>SUM(Y64:Y66)</f>
        <v/>
      </c>
    </row>
    <row r="68" hidden="1" outlineLevel="2" s="134">
      <c r="A68" t="inlineStr">
        <is>
          <t>MRR</t>
        </is>
      </c>
      <c r="B68">
        <f>B64*'🎛️ Premissas'!$C$5+B65*'🎛️ Premissas'!$C$6+B66*'🎛️ Premissas'!$C$7</f>
        <v/>
      </c>
      <c r="C68" s="44">
        <f>C64*'🎛️ Premissas'!$C$5+C65*'🎛️ Premissas'!$C$6+C66*'🎛️ Premissas'!$C$7</f>
        <v/>
      </c>
      <c r="D68" s="44">
        <f>D64*'🎛️ Premissas'!$C$5+D65*'🎛️ Premissas'!$C$6+D66*'🎛️ Premissas'!$C$7</f>
        <v/>
      </c>
      <c r="E68" s="44">
        <f>E64*'🎛️ Premissas'!$C$5+E65*'🎛️ Premissas'!$C$6+E66*'🎛️ Premissas'!$C$7</f>
        <v/>
      </c>
      <c r="F68" s="44">
        <f>F64*'🎛️ Premissas'!$C$5+F65*'🎛️ Premissas'!$C$6+F66*'🎛️ Premissas'!$C$7</f>
        <v/>
      </c>
      <c r="G68" s="44">
        <f>G64*'🎛️ Premissas'!$C$5+G65*'🎛️ Premissas'!$C$6+G66*'🎛️ Premissas'!$C$7</f>
        <v/>
      </c>
      <c r="H68" s="44">
        <f>H64*'🎛️ Premissas'!$C$5+H65*'🎛️ Premissas'!$C$6+H66*'🎛️ Premissas'!$C$7</f>
        <v/>
      </c>
      <c r="I68" s="44">
        <f>I64*'🎛️ Premissas'!$C$5+I65*'🎛️ Premissas'!$C$6+I66*'🎛️ Premissas'!$C$7</f>
        <v/>
      </c>
      <c r="J68" s="44">
        <f>J64*'🎛️ Premissas'!$C$5+J65*'🎛️ Premissas'!$C$6+J66*'🎛️ Premissas'!$C$7</f>
        <v/>
      </c>
      <c r="K68" s="44">
        <f>K64*'🎛️ Premissas'!$C$5+K65*'🎛️ Premissas'!$C$6+K66*'🎛️ Premissas'!$C$7</f>
        <v/>
      </c>
      <c r="L68" s="44">
        <f>L64*'🎛️ Premissas'!$C$5+L65*'🎛️ Premissas'!$C$6+L66*'🎛️ Premissas'!$C$7</f>
        <v/>
      </c>
      <c r="M68" s="44">
        <f>M64*'🎛️ Premissas'!$C$5+M65*'🎛️ Premissas'!$C$6+M66*'🎛️ Premissas'!$C$7</f>
        <v/>
      </c>
      <c r="N68" s="44">
        <f>N64*'🎛️ Premissas'!$C$5+N65*'🎛️ Premissas'!$C$6+N66*'🎛️ Premissas'!$C$7</f>
        <v/>
      </c>
      <c r="O68" s="44">
        <f>O64*'🎛️ Premissas'!$C$5+O65*'🎛️ Premissas'!$C$6+O66*'🎛️ Premissas'!$C$7</f>
        <v/>
      </c>
      <c r="P68" s="44">
        <f>P64*'🎛️ Premissas'!$C$5+P65*'🎛️ Premissas'!$C$6+P66*'🎛️ Premissas'!$C$7</f>
        <v/>
      </c>
      <c r="Q68" s="44">
        <f>Q64*'🎛️ Premissas'!$C$5+Q65*'🎛️ Premissas'!$C$6+Q66*'🎛️ Premissas'!$C$7</f>
        <v/>
      </c>
      <c r="R68" s="44">
        <f>R64*'🎛️ Premissas'!$C$5+R65*'🎛️ Premissas'!$C$6+R66*'🎛️ Premissas'!$C$7</f>
        <v/>
      </c>
      <c r="S68" s="44">
        <f>S64*'🎛️ Premissas'!$C$5+S65*'🎛️ Premissas'!$C$6+S66*'🎛️ Premissas'!$C$7</f>
        <v/>
      </c>
      <c r="T68" s="44">
        <f>T64*'🎛️ Premissas'!$C$5+T65*'🎛️ Premissas'!$C$6+T66*'🎛️ Premissas'!$C$7</f>
        <v/>
      </c>
      <c r="U68" s="44">
        <f>U64*'🎛️ Premissas'!$C$5+U65*'🎛️ Premissas'!$C$6+U66*'🎛️ Premissas'!$C$7</f>
        <v/>
      </c>
      <c r="V68" s="44">
        <f>V64*'🎛️ Premissas'!$C$5+V65*'🎛️ Premissas'!$C$6+V66*'🎛️ Premissas'!$C$7</f>
        <v/>
      </c>
      <c r="W68" s="44">
        <f>W64*'🎛️ Premissas'!$C$5+W65*'🎛️ Premissas'!$C$6+W66*'🎛️ Premissas'!$C$7</f>
        <v/>
      </c>
      <c r="X68" s="44">
        <f>X64*'🎛️ Premissas'!$C$5+X65*'🎛️ Premissas'!$C$6+X66*'🎛️ Premissas'!$C$7</f>
        <v/>
      </c>
      <c r="Y68" s="44">
        <f>Y64*'🎛️ Premissas'!$C$5+Y65*'🎛️ Premissas'!$C$6+Y66*'🎛️ Premissas'!$C$7</f>
        <v/>
      </c>
    </row>
    <row r="69" hidden="1" outlineLevel="2" s="134">
      <c r="A69" t="inlineStr">
        <is>
          <t>API Total</t>
        </is>
      </c>
      <c r="B69">
        <f>B63*('🎛️ Premissas'!$C$14*('🎛️ Premissas'!$C$15*('🎛️ Premissas'!$C$10/1000000)+'🎛️ Premissas'!$C$16*('🎛️ Premissas'!$C$11/1000000))*(1-'🎛️ Premissas'!$C$12)*'🎛️ Premissas'!$C$9*'🎛️ Premissas'!$C$17)+B64*('🎛️ Premissas'!$C$18*('🎛️ Premissas'!$C$19*('🎛️ Premissas'!$C$10/1000000)+'🎛️ Premissas'!$C$20*('🎛️ Premissas'!$C$11/1000000))*(1-'🎛️ Premissas'!$C$12)*'🎛️ Premissas'!$C$9)+B65*(('🎛️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Premissas'!$C$9))+B66*(('🎛️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C69">
        <f>C63*('🎛️ Premissas'!$C$14*('🎛️ Premissas'!$C$15*('🎛️ Premissas'!$C$10/1000000)+'🎛️ Premissas'!$C$16*('🎛️ Premissas'!$C$11/1000000))*(1-'🎛️ Premissas'!$C$12)*'🎛️ Premissas'!$C$9*'🎛️ Premissas'!$C$17)+C64*('🎛️ Premissas'!$C$18*('🎛️ Premissas'!$C$19*('🎛️ Premissas'!$C$10/1000000)+'🎛️ Premissas'!$C$20*('🎛️ Premissas'!$C$11/1000000))*(1-'🎛️ Premissas'!$C$12)*'🎛️ Premissas'!$C$9)+C65*(('🎛️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Premissas'!$C$9))+C66*(('🎛️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D69">
        <f>D63*('🎛️ Premissas'!$C$14*('🎛️ Premissas'!$C$15*('🎛️ Premissas'!$C$10/1000000)+'🎛️ Premissas'!$C$16*('🎛️ Premissas'!$C$11/1000000))*(1-'🎛️ Premissas'!$C$12)*'🎛️ Premissas'!$C$9*'🎛️ Premissas'!$C$17)+D64*('🎛️ Premissas'!$C$18*('🎛️ Premissas'!$C$19*('🎛️ Premissas'!$C$10/1000000)+'🎛️ Premissas'!$C$20*('🎛️ Premissas'!$C$11/1000000))*(1-'🎛️ Premissas'!$C$12)*'🎛️ Premissas'!$C$9)+D65*(('🎛️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Premissas'!$C$9))+D66*(('🎛️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E69">
        <f>E63*('🎛️ Premissas'!$C$14*('🎛️ Premissas'!$C$15*('🎛️ Premissas'!$C$10/1000000)+'🎛️ Premissas'!$C$16*('🎛️ Premissas'!$C$11/1000000))*(1-'🎛️ Premissas'!$C$12)*'🎛️ Premissas'!$C$9*'🎛️ Premissas'!$C$17)+E64*('🎛️ Premissas'!$C$18*('🎛️ Premissas'!$C$19*('🎛️ Premissas'!$C$10/1000000)+'🎛️ Premissas'!$C$20*('🎛️ Premissas'!$C$11/1000000))*(1-'🎛️ Premissas'!$C$12)*'🎛️ Premissas'!$C$9)+E65*(('🎛️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Premissas'!$C$9))+E66*(('🎛️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F69">
        <f>F63*('🎛️ Premissas'!$C$14*('🎛️ Premissas'!$C$15*('🎛️ Premissas'!$C$10/1000000)+'🎛️ Premissas'!$C$16*('🎛️ Premissas'!$C$11/1000000))*(1-'🎛️ Premissas'!$C$12)*'🎛️ Premissas'!$C$9*'🎛️ Premissas'!$C$17)+F64*('🎛️ Premissas'!$C$18*('🎛️ Premissas'!$C$19*('🎛️ Premissas'!$C$10/1000000)+'🎛️ Premissas'!$C$20*('🎛️ Premissas'!$C$11/1000000))*(1-'🎛️ Premissas'!$C$12)*'🎛️ Premissas'!$C$9)+F65*(('🎛️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Premissas'!$C$9))+F66*(('🎛️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G69">
        <f>G63*('🎛️ Premissas'!$C$14*('🎛️ Premissas'!$C$15*('🎛️ Premissas'!$C$10/1000000)+'🎛️ Premissas'!$C$16*('🎛️ Premissas'!$C$11/1000000))*(1-'🎛️ Premissas'!$C$12)*'🎛️ Premissas'!$C$9*'🎛️ Premissas'!$C$17)+G64*('🎛️ Premissas'!$C$18*('🎛️ Premissas'!$C$19*('🎛️ Premissas'!$C$10/1000000)+'🎛️ Premissas'!$C$20*('🎛️ Premissas'!$C$11/1000000))*(1-'🎛️ Premissas'!$C$12)*'🎛️ Premissas'!$C$9)+G65*(('🎛️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Premissas'!$C$9))+G66*(('🎛️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H69">
        <f>H63*('🎛️ Premissas'!$C$14*('🎛️ Premissas'!$C$15*('🎛️ Premissas'!$C$10/1000000)+'🎛️ Premissas'!$C$16*('🎛️ Premissas'!$C$11/1000000))*(1-'🎛️ Premissas'!$C$12)*'🎛️ Premissas'!$C$9*'🎛️ Premissas'!$C$17)+H64*('🎛️ Premissas'!$C$18*('🎛️ Premissas'!$C$19*('🎛️ Premissas'!$C$10/1000000)+'🎛️ Premissas'!$C$20*('🎛️ Premissas'!$C$11/1000000))*(1-'🎛️ Premissas'!$C$12)*'🎛️ Premissas'!$C$9)+H65*(('🎛️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Premissas'!$C$9))+H66*(('🎛️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I69">
        <f>I63*('🎛️ Premissas'!$C$14*('🎛️ Premissas'!$C$15*('🎛️ Premissas'!$C$10/1000000)+'🎛️ Premissas'!$C$16*('🎛️ Premissas'!$C$11/1000000))*(1-'🎛️ Premissas'!$C$12)*'🎛️ Premissas'!$C$9*'🎛️ Premissas'!$C$17)+I64*('🎛️ Premissas'!$C$18*('🎛️ Premissas'!$C$19*('🎛️ Premissas'!$C$10/1000000)+'🎛️ Premissas'!$C$20*('🎛️ Premissas'!$C$11/1000000))*(1-'🎛️ Premissas'!$C$12)*'🎛️ Premissas'!$C$9)+I65*(('🎛️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Premissas'!$C$9))+I66*(('🎛️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J69">
        <f>J63*('🎛️ Premissas'!$C$14*('🎛️ Premissas'!$C$15*('🎛️ Premissas'!$C$10/1000000)+'🎛️ Premissas'!$C$16*('🎛️ Premissas'!$C$11/1000000))*(1-'🎛️ Premissas'!$C$12)*'🎛️ Premissas'!$C$9*'🎛️ Premissas'!$C$17)+J64*('🎛️ Premissas'!$C$18*('🎛️ Premissas'!$C$19*('🎛️ Premissas'!$C$10/1000000)+'🎛️ Premissas'!$C$20*('🎛️ Premissas'!$C$11/1000000))*(1-'🎛️ Premissas'!$C$12)*'🎛️ Premissas'!$C$9)+J65*(('🎛️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Premissas'!$C$9))+J66*(('🎛️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K69">
        <f>K63*('🎛️ Premissas'!$C$14*('🎛️ Premissas'!$C$15*('🎛️ Premissas'!$C$10/1000000)+'🎛️ Premissas'!$C$16*('🎛️ Premissas'!$C$11/1000000))*(1-'🎛️ Premissas'!$C$12)*'🎛️ Premissas'!$C$9*'🎛️ Premissas'!$C$17)+K64*('🎛️ Premissas'!$C$18*('🎛️ Premissas'!$C$19*('🎛️ Premissas'!$C$10/1000000)+'🎛️ Premissas'!$C$20*('🎛️ Premissas'!$C$11/1000000))*(1-'🎛️ Premissas'!$C$12)*'🎛️ Premissas'!$C$9)+K65*(('🎛️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Premissas'!$C$9))+K66*(('🎛️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L69">
        <f>L63*('🎛️ Premissas'!$C$14*('🎛️ Premissas'!$C$15*('🎛️ Premissas'!$C$10/1000000)+'🎛️ Premissas'!$C$16*('🎛️ Premissas'!$C$11/1000000))*(1-'🎛️ Premissas'!$C$12)*'🎛️ Premissas'!$C$9*'🎛️ Premissas'!$C$17)+L64*('🎛️ Premissas'!$C$18*('🎛️ Premissas'!$C$19*('🎛️ Premissas'!$C$10/1000000)+'🎛️ Premissas'!$C$20*('🎛️ Premissas'!$C$11/1000000))*(1-'🎛️ Premissas'!$C$12)*'🎛️ Premissas'!$C$9)+L65*(('🎛️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Premissas'!$C$9))+L66*(('🎛️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M69">
        <f>M63*('🎛️ Premissas'!$C$14*('🎛️ Premissas'!$C$15*('🎛️ Premissas'!$C$10/1000000)+'🎛️ Premissas'!$C$16*('🎛️ Premissas'!$C$11/1000000))*(1-'🎛️ Premissas'!$C$12)*'🎛️ Premissas'!$C$9*'🎛️ Premissas'!$C$17)+M64*('🎛️ Premissas'!$C$18*('🎛️ Premissas'!$C$19*('🎛️ Premissas'!$C$10/1000000)+'🎛️ Premissas'!$C$20*('🎛️ Premissas'!$C$11/1000000))*(1-'🎛️ Premissas'!$C$12)*'🎛️ Premissas'!$C$9)+M65*(('🎛️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Premissas'!$C$9))+M66*(('🎛️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N69">
        <f>N63*('🎛️ Premissas'!$C$14*('🎛️ Premissas'!$C$15*('🎛️ Premissas'!$C$10/1000000)+'🎛️ Premissas'!$C$16*('🎛️ Premissas'!$C$11/1000000))*(1-'🎛️ Premissas'!$C$12)*'🎛️ Premissas'!$C$9*'🎛️ Premissas'!$C$17)+N64*('🎛️ Premissas'!$C$18*('🎛️ Premissas'!$C$19*('🎛️ Premissas'!$C$10/1000000)+'🎛️ Premissas'!$C$20*('🎛️ Premissas'!$C$11/1000000))*(1-'🎛️ Premissas'!$C$12)*'🎛️ Premissas'!$C$9)+N65*(('🎛️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Premissas'!$C$9))+N66*(('🎛️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O69">
        <f>O63*('🎛️ Premissas'!$C$14*('🎛️ Premissas'!$C$15*('🎛️ Premissas'!$C$10/1000000)+'🎛️ Premissas'!$C$16*('🎛️ Premissas'!$C$11/1000000))*(1-'🎛️ Premissas'!$C$12)*'🎛️ Premissas'!$C$9*'🎛️ Premissas'!$C$17)+O64*('🎛️ Premissas'!$C$18*('🎛️ Premissas'!$C$19*('🎛️ Premissas'!$C$10/1000000)+'🎛️ Premissas'!$C$20*('🎛️ Premissas'!$C$11/1000000))*(1-'🎛️ Premissas'!$C$12)*'🎛️ Premissas'!$C$9)+O65*(('🎛️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Premissas'!$C$9))+O66*(('🎛️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P69">
        <f>P63*('🎛️ Premissas'!$C$14*('🎛️ Premissas'!$C$15*('🎛️ Premissas'!$C$10/1000000)+'🎛️ Premissas'!$C$16*('🎛️ Premissas'!$C$11/1000000))*(1-'🎛️ Premissas'!$C$12)*'🎛️ Premissas'!$C$9*'🎛️ Premissas'!$C$17)+P64*('🎛️ Premissas'!$C$18*('🎛️ Premissas'!$C$19*('🎛️ Premissas'!$C$10/1000000)+'🎛️ Premissas'!$C$20*('🎛️ Premissas'!$C$11/1000000))*(1-'🎛️ Premissas'!$C$12)*'🎛️ Premissas'!$C$9)+P65*(('🎛️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Premissas'!$C$9))+P66*(('🎛️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Q69">
        <f>Q63*('🎛️ Premissas'!$C$14*('🎛️ Premissas'!$C$15*('🎛️ Premissas'!$C$10/1000000)+'🎛️ Premissas'!$C$16*('🎛️ Premissas'!$C$11/1000000))*(1-'🎛️ Premissas'!$C$12)*'🎛️ Premissas'!$C$9*'🎛️ Premissas'!$C$17)+Q64*('🎛️ Premissas'!$C$18*('🎛️ Premissas'!$C$19*('🎛️ Premissas'!$C$10/1000000)+'🎛️ Premissas'!$C$20*('🎛️ Premissas'!$C$11/1000000))*(1-'🎛️ Premissas'!$C$12)*'🎛️ Premissas'!$C$9)+Q65*(('🎛️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Premissas'!$C$9))+Q66*(('🎛️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R69">
        <f>R63*('🎛️ Premissas'!$C$14*('🎛️ Premissas'!$C$15*('🎛️ Premissas'!$C$10/1000000)+'🎛️ Premissas'!$C$16*('🎛️ Premissas'!$C$11/1000000))*(1-'🎛️ Premissas'!$C$12)*'🎛️ Premissas'!$C$9*'🎛️ Premissas'!$C$17)+R64*('🎛️ Premissas'!$C$18*('🎛️ Premissas'!$C$19*('🎛️ Premissas'!$C$10/1000000)+'🎛️ Premissas'!$C$20*('🎛️ Premissas'!$C$11/1000000))*(1-'🎛️ Premissas'!$C$12)*'🎛️ Premissas'!$C$9)+R65*(('🎛️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Premissas'!$C$9))+R66*(('🎛️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S69">
        <f>S63*('🎛️ Premissas'!$C$14*('🎛️ Premissas'!$C$15*('🎛️ Premissas'!$C$10/1000000)+'🎛️ Premissas'!$C$16*('🎛️ Premissas'!$C$11/1000000))*(1-'🎛️ Premissas'!$C$12)*'🎛️ Premissas'!$C$9*'🎛️ Premissas'!$C$17)+S64*('🎛️ Premissas'!$C$18*('🎛️ Premissas'!$C$19*('🎛️ Premissas'!$C$10/1000000)+'🎛️ Premissas'!$C$20*('🎛️ Premissas'!$C$11/1000000))*(1-'🎛️ Premissas'!$C$12)*'🎛️ Premissas'!$C$9)+S65*(('🎛️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Premissas'!$C$9))+S66*(('🎛️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T69">
        <f>T63*('🎛️ Premissas'!$C$14*('🎛️ Premissas'!$C$15*('🎛️ Premissas'!$C$10/1000000)+'🎛️ Premissas'!$C$16*('🎛️ Premissas'!$C$11/1000000))*(1-'🎛️ Premissas'!$C$12)*'🎛️ Premissas'!$C$9*'🎛️ Premissas'!$C$17)+T64*('🎛️ Premissas'!$C$18*('🎛️ Premissas'!$C$19*('🎛️ Premissas'!$C$10/1000000)+'🎛️ Premissas'!$C$20*('🎛️ Premissas'!$C$11/1000000))*(1-'🎛️ Premissas'!$C$12)*'🎛️ Premissas'!$C$9)+T65*(('🎛️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Premissas'!$C$9))+T66*(('🎛️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U69">
        <f>U63*('🎛️ Premissas'!$C$14*('🎛️ Premissas'!$C$15*('🎛️ Premissas'!$C$10/1000000)+'🎛️ Premissas'!$C$16*('🎛️ Premissas'!$C$11/1000000))*(1-'🎛️ Premissas'!$C$12)*'🎛️ Premissas'!$C$9*'🎛️ Premissas'!$C$17)+U64*('🎛️ Premissas'!$C$18*('🎛️ Premissas'!$C$19*('🎛️ Premissas'!$C$10/1000000)+'🎛️ Premissas'!$C$20*('🎛️ Premissas'!$C$11/1000000))*(1-'🎛️ Premissas'!$C$12)*'🎛️ Premissas'!$C$9)+U65*(('🎛️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Premissas'!$C$9))+U66*(('🎛️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V69">
        <f>V63*('🎛️ Premissas'!$C$14*('🎛️ Premissas'!$C$15*('🎛️ Premissas'!$C$10/1000000)+'🎛️ Premissas'!$C$16*('🎛️ Premissas'!$C$11/1000000))*(1-'🎛️ Premissas'!$C$12)*'🎛️ Premissas'!$C$9*'🎛️ Premissas'!$C$17)+V64*('🎛️ Premissas'!$C$18*('🎛️ Premissas'!$C$19*('🎛️ Premissas'!$C$10/1000000)+'🎛️ Premissas'!$C$20*('🎛️ Premissas'!$C$11/1000000))*(1-'🎛️ Premissas'!$C$12)*'🎛️ Premissas'!$C$9)+V65*(('🎛️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Premissas'!$C$9))+V66*(('🎛️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W69">
        <f>W63*('🎛️ Premissas'!$C$14*('🎛️ Premissas'!$C$15*('🎛️ Premissas'!$C$10/1000000)+'🎛️ Premissas'!$C$16*('🎛️ Premissas'!$C$11/1000000))*(1-'🎛️ Premissas'!$C$12)*'🎛️ Premissas'!$C$9*'🎛️ Premissas'!$C$17)+W64*('🎛️ Premissas'!$C$18*('🎛️ Premissas'!$C$19*('🎛️ Premissas'!$C$10/1000000)+'🎛️ Premissas'!$C$20*('🎛️ Premissas'!$C$11/1000000))*(1-'🎛️ Premissas'!$C$12)*'🎛️ Premissas'!$C$9)+W65*(('🎛️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Premissas'!$C$9))+W66*(('🎛️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X69">
        <f>X63*('🎛️ Premissas'!$C$14*('🎛️ Premissas'!$C$15*('🎛️ Premissas'!$C$10/1000000)+'🎛️ Premissas'!$C$16*('🎛️ Premissas'!$C$11/1000000))*(1-'🎛️ Premissas'!$C$12)*'🎛️ Premissas'!$C$9*'🎛️ Premissas'!$C$17)+X64*('🎛️ Premissas'!$C$18*('🎛️ Premissas'!$C$19*('🎛️ Premissas'!$C$10/1000000)+'🎛️ Premissas'!$C$20*('🎛️ Premissas'!$C$11/1000000))*(1-'🎛️ Premissas'!$C$12)*'🎛️ Premissas'!$C$9)+X65*(('🎛️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Premissas'!$C$9))+X66*(('🎛️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  <c r="Y69">
        <f>Y63*('🎛️ Premissas'!$C$14*('🎛️ Premissas'!$C$15*('🎛️ Premissas'!$C$10/1000000)+'🎛️ Premissas'!$C$16*('🎛️ Premissas'!$C$11/1000000))*(1-'🎛️ Premissas'!$C$12)*'🎛️ Premissas'!$C$9*'🎛️ Premissas'!$C$17)+Y64*('🎛️ Premissas'!$C$18*('🎛️ Premissas'!$C$19*('🎛️ Premissas'!$C$10/1000000)+'🎛️ Premissas'!$C$20*('🎛️ Premissas'!$C$11/1000000))*(1-'🎛️ Premissas'!$C$12)*'🎛️ Premissas'!$C$9)+Y65*(('🎛️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Premissas'!$C$9))+Y66*(('🎛️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/>
      </c>
    </row>
    <row r="70" hidden="1" outlineLevel="2" s="134">
      <c r="A70" t="inlineStr">
        <is>
          <t>Custo Fixo</t>
        </is>
      </c>
      <c r="B70">
        <f>'🎛️ Premissas'!$C$37+'🎛️ Premissas'!$C$39+'🎛️ Premissas'!$C$41+'🎛️ Premissas'!$C$43</f>
        <v/>
      </c>
      <c r="C70">
        <f>'🎛️ Premissas'!$C$37+'🎛️ Premissas'!$C$39+'🎛️ Premissas'!$C$41+'🎛️ Premissas'!$C$43</f>
        <v/>
      </c>
      <c r="D70">
        <f>'🎛️ Premissas'!$C$37+'🎛️ Premissas'!$C$39+'🎛️ Premissas'!$C$41+'🎛️ Premissas'!$C$43</f>
        <v/>
      </c>
      <c r="E70">
        <f>'🎛️ Premissas'!$C$37+'🎛️ Premissas'!$C$39+'🎛️ Premissas'!$C$41+'🎛️ Premissas'!$C$43</f>
        <v/>
      </c>
      <c r="F70">
        <f>'🎛️ Premissas'!$C$37+'🎛️ Premissas'!$C$39+'🎛️ Premissas'!$C$41+'🎛️ Premissas'!$C$43</f>
        <v/>
      </c>
      <c r="G70">
        <f>'🎛️ Premissas'!$C$37+'🎛️ Premissas'!$C$39+'🎛️ Premissas'!$C$41+'🎛️ Premissas'!$C$43</f>
        <v/>
      </c>
      <c r="H70">
        <f>'🎛️ Premissas'!$C$37+'🎛️ Premissas'!$C$39+'🎛️ Premissas'!$C$41+'🎛️ Premissas'!$C$43</f>
        <v/>
      </c>
      <c r="I70">
        <f>'🎛️ Premissas'!$C$37+'🎛️ Premissas'!$C$39+'🎛️ Premissas'!$C$41+'🎛️ Premissas'!$C$43</f>
        <v/>
      </c>
      <c r="J70">
        <f>'🎛️ Premissas'!$C$37+'🎛️ Premissas'!$C$39+'🎛️ Premissas'!$C$41+'🎛️ Premissas'!$C$43</f>
        <v/>
      </c>
      <c r="K70">
        <f>'🎛️ Premissas'!$C$37+'🎛️ Premissas'!$C$39+'🎛️ Premissas'!$C$41+'🎛️ Premissas'!$C$43</f>
        <v/>
      </c>
      <c r="L70">
        <f>'🎛️ Premissas'!$C$37+'🎛️ Premissas'!$C$39+'🎛️ Premissas'!$C$41+'🎛️ Premissas'!$C$43</f>
        <v/>
      </c>
      <c r="M70">
        <f>'🎛️ Premissas'!$C$37+'🎛️ Premissas'!$C$39+'🎛️ Premissas'!$C$41+'🎛️ Premissas'!$C$43</f>
        <v/>
      </c>
      <c r="N70">
        <f>'🎛️ Premissas'!$C$38+'🎛️ Premissas'!$C$40+'🎛️ Premissas'!$C$42+'🎛️ Premissas'!$C$43</f>
        <v/>
      </c>
      <c r="O70">
        <f>'🎛️ Premissas'!$C$38+'🎛️ Premissas'!$C$40+'🎛️ Premissas'!$C$42+'🎛️ Premissas'!$C$43</f>
        <v/>
      </c>
      <c r="P70">
        <f>'🎛️ Premissas'!$C$38+'🎛️ Premissas'!$C$40+'🎛️ Premissas'!$C$42+'🎛️ Premissas'!$C$43</f>
        <v/>
      </c>
      <c r="Q70">
        <f>'🎛️ Premissas'!$C$38+'🎛️ Premissas'!$C$40+'🎛️ Premissas'!$C$42+'🎛️ Premissas'!$C$43</f>
        <v/>
      </c>
      <c r="R70">
        <f>'🎛️ Premissas'!$C$38+'🎛️ Premissas'!$C$40+'🎛️ Premissas'!$C$42+'🎛️ Premissas'!$C$43</f>
        <v/>
      </c>
      <c r="S70">
        <f>'🎛️ Premissas'!$C$38+'🎛️ Premissas'!$C$40+'🎛️ Premissas'!$C$42+'🎛️ Premissas'!$C$43</f>
        <v/>
      </c>
      <c r="T70">
        <f>'🎛️ Premissas'!$C$38+'🎛️ Premissas'!$C$40+'🎛️ Premissas'!$C$42+'🎛️ Premissas'!$C$43</f>
        <v/>
      </c>
      <c r="U70">
        <f>'🎛️ Premissas'!$C$38+'🎛️ Premissas'!$C$40+'🎛️ Premissas'!$C$42+'🎛️ Premissas'!$C$43</f>
        <v/>
      </c>
      <c r="V70">
        <f>'🎛️ Premissas'!$C$38+'🎛️ Premissas'!$C$40+'🎛️ Premissas'!$C$42+'🎛️ Premissas'!$C$43</f>
        <v/>
      </c>
      <c r="W70">
        <f>'🎛️ Premissas'!$C$38+'🎛️ Premissas'!$C$40+'🎛️ Premissas'!$C$42+'🎛️ Premissas'!$C$43</f>
        <v/>
      </c>
      <c r="X70">
        <f>'🎛️ Premissas'!$C$38+'🎛️ Premissas'!$C$40+'🎛️ Premissas'!$C$42+'🎛️ Premissas'!$C$43</f>
        <v/>
      </c>
      <c r="Y70">
        <f>'🎛️ Premissas'!$C$38+'🎛️ Premissas'!$C$40+'🎛️ Premissas'!$C$42+'🎛️ Premissas'!$C$43</f>
        <v/>
      </c>
    </row>
    <row r="71" hidden="1" outlineLevel="2" s="134">
      <c r="A71" t="inlineStr">
        <is>
          <t>Impostos</t>
        </is>
      </c>
      <c r="B71">
        <f>B68*'🎛️ Premissas'!$C$67</f>
        <v/>
      </c>
      <c r="C71">
        <f>C68*'🎛️ Premissas'!$C$67</f>
        <v/>
      </c>
      <c r="D71">
        <f>D68*'🎛️ Premissas'!$C$67</f>
        <v/>
      </c>
      <c r="E71">
        <f>E68*'🎛️ Premissas'!$C$67</f>
        <v/>
      </c>
      <c r="F71">
        <f>F68*'🎛️ Premissas'!$C$67</f>
        <v/>
      </c>
      <c r="G71">
        <f>G68*'🎛️ Premissas'!$C$67</f>
        <v/>
      </c>
      <c r="H71">
        <f>H68*'🎛️ Premissas'!$C$67</f>
        <v/>
      </c>
      <c r="I71">
        <f>I68*'🎛️ Premissas'!$C$67</f>
        <v/>
      </c>
      <c r="J71">
        <f>J68*'🎛️ Premissas'!$C$67</f>
        <v/>
      </c>
      <c r="K71">
        <f>K68*'🎛️ Premissas'!$C$67</f>
        <v/>
      </c>
      <c r="L71">
        <f>L68*'🎛️ Premissas'!$C$67</f>
        <v/>
      </c>
      <c r="M71">
        <f>M68*'🎛️ Premissas'!$C$67</f>
        <v/>
      </c>
      <c r="N71">
        <f>N68*'🎛️ Premissas'!$C$67</f>
        <v/>
      </c>
      <c r="O71">
        <f>O68*'🎛️ Premissas'!$C$67</f>
        <v/>
      </c>
      <c r="P71">
        <f>P68*'🎛️ Premissas'!$C$67</f>
        <v/>
      </c>
      <c r="Q71">
        <f>Q68*'🎛️ Premissas'!$C$67</f>
        <v/>
      </c>
      <c r="R71">
        <f>R68*'🎛️ Premissas'!$C$67</f>
        <v/>
      </c>
      <c r="S71">
        <f>S68*'🎛️ Premissas'!$C$67</f>
        <v/>
      </c>
      <c r="T71">
        <f>T68*'🎛️ Premissas'!$C$67</f>
        <v/>
      </c>
      <c r="U71">
        <f>U68*'🎛️ Premissas'!$C$67</f>
        <v/>
      </c>
      <c r="V71">
        <f>V68*'🎛️ Premissas'!$C$67</f>
        <v/>
      </c>
      <c r="W71">
        <f>W68*'🎛️ Premissas'!$C$67</f>
        <v/>
      </c>
      <c r="X71">
        <f>X68*'🎛️ Premissas'!$C$67</f>
        <v/>
      </c>
      <c r="Y71">
        <f>Y68*'🎛️ Premissas'!$C$67</f>
        <v/>
      </c>
    </row>
    <row r="72" hidden="1" outlineLevel="2" s="134">
      <c r="A72" t="inlineStr">
        <is>
          <t>Resultado Mensal</t>
        </is>
      </c>
      <c r="B72">
        <f>B68-B69-B70-B71</f>
        <v/>
      </c>
      <c r="C72" s="44">
        <f>C68-C69-C70-C71</f>
        <v/>
      </c>
      <c r="D72" s="44">
        <f>D68-D69-D70-D71</f>
        <v/>
      </c>
      <c r="E72" s="44">
        <f>E68-E69-E70-E71</f>
        <v/>
      </c>
      <c r="F72" s="44">
        <f>F68-F69-F70-F71</f>
        <v/>
      </c>
      <c r="G72" s="44">
        <f>G68-G69-G70-G71</f>
        <v/>
      </c>
      <c r="H72" s="44">
        <f>H68-H69-H70-H71</f>
        <v/>
      </c>
      <c r="I72" s="44">
        <f>I68-I69-I70-I71</f>
        <v/>
      </c>
      <c r="J72" s="44">
        <f>J68-J69-J70-J71</f>
        <v/>
      </c>
      <c r="K72" s="44">
        <f>K68-K69-K70-K71</f>
        <v/>
      </c>
      <c r="L72" s="44">
        <f>L68-L69-L70-L71</f>
        <v/>
      </c>
      <c r="M72" s="44">
        <f>M68-M69-M70-M71</f>
        <v/>
      </c>
      <c r="N72" s="44">
        <f>N68-N69-N70-N71</f>
        <v/>
      </c>
      <c r="O72" s="44">
        <f>O68-O69-O70-O71</f>
        <v/>
      </c>
      <c r="P72" s="44">
        <f>P68-P69-P70-P71</f>
        <v/>
      </c>
      <c r="Q72" s="44">
        <f>Q68-Q69-Q70-Q71</f>
        <v/>
      </c>
      <c r="R72" s="44">
        <f>R68-R69-R70-R71</f>
        <v/>
      </c>
      <c r="S72" s="44">
        <f>S68-S69-S70-S71</f>
        <v/>
      </c>
      <c r="T72" s="44">
        <f>T68-T69-T70-T71</f>
        <v/>
      </c>
      <c r="U72" s="44">
        <f>U68-U69-U70-U71</f>
        <v/>
      </c>
      <c r="V72" s="44">
        <f>V68-V69-V70-V71</f>
        <v/>
      </c>
      <c r="W72" s="44">
        <f>W68-W69-W70-W71</f>
        <v/>
      </c>
      <c r="X72" s="44">
        <f>X68-X69-X70-X71</f>
        <v/>
      </c>
      <c r="Y72" s="44">
        <f>Y68-Y69-Y70-Y71</f>
        <v/>
      </c>
    </row>
    <row r="73" hidden="1" outlineLevel="1" collapsed="1" s="134"/>
    <row r="74" hidden="1" outlineLevel="1" s="134">
      <c r="A74" t="inlineStr">
        <is>
          <t>OTIMISTA</t>
        </is>
      </c>
    </row>
    <row r="75" hidden="1" outlineLevel="1" s="134">
      <c r="A75" t="inlineStr">
        <is>
          <t>Free Cadastros</t>
        </is>
      </c>
      <c r="B75">
        <f>'🎛️ Premissas'!$B$61</f>
        <v/>
      </c>
      <c r="C75" s="44">
        <f>B75+'🎛️ Premissas'!$D$28</f>
        <v/>
      </c>
      <c r="D75" s="44">
        <f>C75+'🎛️ Premissas'!$D$28</f>
        <v/>
      </c>
      <c r="E75" s="44">
        <f>D75+'🎛️ Premissas'!$D$28</f>
        <v/>
      </c>
      <c r="F75" s="44">
        <f>E75+'🎛️ Premissas'!$D$28</f>
        <v/>
      </c>
      <c r="G75" s="44">
        <f>F75+'🎛️ Premissas'!$D$28</f>
        <v/>
      </c>
      <c r="H75" s="44">
        <f>G75+'🎛️ Premissas'!$D$28</f>
        <v/>
      </c>
      <c r="I75" s="44">
        <f>H75+'🎛️ Premissas'!$D$28</f>
        <v/>
      </c>
      <c r="J75" s="44">
        <f>I75+'🎛️ Premissas'!$D$28</f>
        <v/>
      </c>
      <c r="K75" s="44">
        <f>J75+'🎛️ Premissas'!$D$28</f>
        <v/>
      </c>
      <c r="L75" s="44">
        <f>K75+'🎛️ Premissas'!$D$28</f>
        <v/>
      </c>
      <c r="M75" s="44">
        <f>L75+'🎛️ Premissas'!$D$28</f>
        <v/>
      </c>
      <c r="N75" s="44">
        <f>M75+'🎛️ Premissas'!$D$29</f>
        <v/>
      </c>
      <c r="O75" s="44">
        <f>N75+'🎛️ Premissas'!$D$29</f>
        <v/>
      </c>
      <c r="P75" s="44">
        <f>O75+'🎛️ Premissas'!$D$29</f>
        <v/>
      </c>
      <c r="Q75" s="44">
        <f>P75+'🎛️ Premissas'!$D$29</f>
        <v/>
      </c>
      <c r="R75" s="44">
        <f>Q75+'🎛️ Premissas'!$D$29</f>
        <v/>
      </c>
      <c r="S75" s="44">
        <f>R75+'🎛️ Premissas'!$D$29</f>
        <v/>
      </c>
      <c r="T75" s="44">
        <f>S75+'🎛️ Premissas'!$D$29</f>
        <v/>
      </c>
      <c r="U75" s="44">
        <f>T75+'🎛️ Premissas'!$D$29</f>
        <v/>
      </c>
      <c r="V75" s="44">
        <f>U75+'🎛️ Premissas'!$D$29</f>
        <v/>
      </c>
      <c r="W75" s="44">
        <f>V75+'🎛️ Premissas'!$D$29</f>
        <v/>
      </c>
      <c r="X75" s="44">
        <f>W75+'🎛️ Premissas'!$D$29</f>
        <v/>
      </c>
      <c r="Y75" s="44">
        <f>X75+'🎛️ Premissas'!$D$29</f>
        <v/>
      </c>
    </row>
    <row r="76" hidden="1" outlineLevel="1" s="134">
      <c r="A76" t="inlineStr">
        <is>
          <t>Essencial</t>
        </is>
      </c>
      <c r="B76">
        <f>ROUND(B75*'🎛️ Premissas'!$D$30,0)</f>
        <v/>
      </c>
      <c r="C76">
        <f>ROUND(C75*'🎛️ Premissas'!$D$30,0)</f>
        <v/>
      </c>
      <c r="D76">
        <f>ROUND(D75*'🎛️ Premissas'!$D$30,0)</f>
        <v/>
      </c>
      <c r="E76">
        <f>ROUND(E75*'🎛️ Premissas'!$D$30,0)</f>
        <v/>
      </c>
      <c r="F76">
        <f>ROUND(F75*'🎛️ Premissas'!$D$30,0)</f>
        <v/>
      </c>
      <c r="G76">
        <f>ROUND(G75*'🎛️ Premissas'!$D$30,0)</f>
        <v/>
      </c>
      <c r="H76">
        <f>ROUND(H75*'🎛️ Premissas'!$D$30,0)</f>
        <v/>
      </c>
      <c r="I76">
        <f>ROUND(I75*'🎛️ Premissas'!$D$30,0)</f>
        <v/>
      </c>
      <c r="J76">
        <f>ROUND(J75*'🎛️ Premissas'!$D$30,0)</f>
        <v/>
      </c>
      <c r="K76">
        <f>ROUND(K75*'🎛️ Premissas'!$D$30,0)</f>
        <v/>
      </c>
      <c r="L76">
        <f>ROUND(L75*'🎛️ Premissas'!$D$30,0)</f>
        <v/>
      </c>
      <c r="M76">
        <f>ROUND(M75*'🎛️ Premissas'!$D$30,0)</f>
        <v/>
      </c>
      <c r="N76">
        <f>ROUND(M76*(1-'🎛️ Premissas'!$D$33)+MAX(0,N75-M79)*'🎛️ Premissas'!$D$30,0)</f>
        <v/>
      </c>
      <c r="O76">
        <f>ROUND(N76*(1-'🎛️ Premissas'!$D$33)+MAX(0,O75-N79)*'🎛️ Premissas'!$D$30,0)</f>
        <v/>
      </c>
      <c r="P76">
        <f>ROUND(O76*(1-'🎛️ Premissas'!$D$33)+MAX(0,P75-O79)*'🎛️ Premissas'!$D$30,0)</f>
        <v/>
      </c>
      <c r="Q76">
        <f>ROUND(P76*(1-'🎛️ Premissas'!$D$33)+MAX(0,Q75-P79)*'🎛️ Premissas'!$D$30,0)</f>
        <v/>
      </c>
      <c r="R76">
        <f>ROUND(Q76*(1-'🎛️ Premissas'!$D$33)+MAX(0,R75-Q79)*'🎛️ Premissas'!$D$30,0)</f>
        <v/>
      </c>
      <c r="S76">
        <f>ROUND(R76*(1-'🎛️ Premissas'!$D$33)+MAX(0,S75-R79)*'🎛️ Premissas'!$D$30,0)</f>
        <v/>
      </c>
      <c r="T76">
        <f>ROUND(S76*(1-'🎛️ Premissas'!$D$33)+MAX(0,T75-S79)*'🎛️ Premissas'!$D$30,0)</f>
        <v/>
      </c>
      <c r="U76">
        <f>ROUND(T76*(1-'🎛️ Premissas'!$D$33)+MAX(0,U75-T79)*'🎛️ Premissas'!$D$30,0)</f>
        <v/>
      </c>
      <c r="V76">
        <f>ROUND(U76*(1-'🎛️ Premissas'!$D$33)+MAX(0,V75-U79)*'🎛️ Premissas'!$D$30,0)</f>
        <v/>
      </c>
      <c r="W76">
        <f>ROUND(V76*(1-'🎛️ Premissas'!$D$33)+MAX(0,W75-V79)*'🎛️ Premissas'!$D$30,0)</f>
        <v/>
      </c>
      <c r="X76">
        <f>ROUND(W76*(1-'🎛️ Premissas'!$D$33)+MAX(0,X75-W79)*'🎛️ Premissas'!$D$30,0)</f>
        <v/>
      </c>
      <c r="Y76">
        <f>ROUND(X76*(1-'🎛️ Premissas'!$D$33)+MAX(0,Y75-X79)*'🎛️ Premissas'!$D$30,0)</f>
        <v/>
      </c>
    </row>
    <row r="77" hidden="1" outlineLevel="1" s="134">
      <c r="A77" t="inlineStr">
        <is>
          <t>Autônoma</t>
        </is>
      </c>
      <c r="B77">
        <f>ROUND(B75*'🎛️ Premissas'!$D$31,0)</f>
        <v/>
      </c>
      <c r="C77">
        <f>ROUND(C75*'🎛️ Premissas'!$D$31,0)</f>
        <v/>
      </c>
      <c r="D77">
        <f>ROUND(D75*'🎛️ Premissas'!$D$31,0)</f>
        <v/>
      </c>
      <c r="E77">
        <f>ROUND(E75*'🎛️ Premissas'!$D$31,0)</f>
        <v/>
      </c>
      <c r="F77">
        <f>ROUND(F75*'🎛️ Premissas'!$D$31,0)</f>
        <v/>
      </c>
      <c r="G77">
        <f>ROUND(G75*'🎛️ Premissas'!$D$31,0)</f>
        <v/>
      </c>
      <c r="H77">
        <f>ROUND(H75*'🎛️ Premissas'!$D$31,0)</f>
        <v/>
      </c>
      <c r="I77">
        <f>ROUND(I75*'🎛️ Premissas'!$D$31,0)</f>
        <v/>
      </c>
      <c r="J77">
        <f>ROUND(J75*'🎛️ Premissas'!$D$31,0)</f>
        <v/>
      </c>
      <c r="K77">
        <f>ROUND(K75*'🎛️ Premissas'!$D$31,0)</f>
        <v/>
      </c>
      <c r="L77">
        <f>ROUND(L75*'🎛️ Premissas'!$D$31,0)</f>
        <v/>
      </c>
      <c r="M77">
        <f>ROUND(M75*'🎛️ Premissas'!$D$31,0)</f>
        <v/>
      </c>
      <c r="N77">
        <f>ROUND(M77*(1-'🎛️ Premissas'!$D$34)+MAX(0,N76-M76-M77)*'🎛️ Premissas'!$D$31,0)</f>
        <v/>
      </c>
      <c r="O77">
        <f>ROUND(N77*(1-'🎛️ Premissas'!$D$34)+MAX(0,O76-N76-N77)*'🎛️ Premissas'!$D$31,0)</f>
        <v/>
      </c>
      <c r="P77">
        <f>ROUND(O77*(1-'🎛️ Premissas'!$D$34)+MAX(0,P76-O76-O77)*'🎛️ Premissas'!$D$31,0)</f>
        <v/>
      </c>
      <c r="Q77">
        <f>ROUND(P77*(1-'🎛️ Premissas'!$D$34)+MAX(0,Q76-P76-P77)*'🎛️ Premissas'!$D$31,0)</f>
        <v/>
      </c>
      <c r="R77">
        <f>ROUND(Q77*(1-'🎛️ Premissas'!$D$34)+MAX(0,R76-Q76-Q77)*'🎛️ Premissas'!$D$31,0)</f>
        <v/>
      </c>
      <c r="S77">
        <f>ROUND(R77*(1-'🎛️ Premissas'!$D$34)+MAX(0,S76-R76-R77)*'🎛️ Premissas'!$D$31,0)</f>
        <v/>
      </c>
      <c r="T77">
        <f>ROUND(S77*(1-'🎛️ Premissas'!$D$34)+MAX(0,T76-S76-S77)*'🎛️ Premissas'!$D$31,0)</f>
        <v/>
      </c>
      <c r="U77">
        <f>ROUND(T77*(1-'🎛️ Premissas'!$D$34)+MAX(0,U76-T76-T77)*'🎛️ Premissas'!$D$31,0)</f>
        <v/>
      </c>
      <c r="V77">
        <f>ROUND(U77*(1-'🎛️ Premissas'!$D$34)+MAX(0,V76-U76-U77)*'🎛️ Premissas'!$D$31,0)</f>
        <v/>
      </c>
      <c r="W77">
        <f>ROUND(V77*(1-'🎛️ Premissas'!$D$34)+MAX(0,W76-V76-V77)*'🎛️ Premissas'!$D$31,0)</f>
        <v/>
      </c>
      <c r="X77">
        <f>ROUND(W77*(1-'🎛️ Premissas'!$D$34)+MAX(0,X76-W76-W77)*'🎛️ Premissas'!$D$31,0)</f>
        <v/>
      </c>
      <c r="Y77">
        <f>ROUND(X77*(1-'🎛️ Premissas'!$D$34)+MAX(0,Y76-X76-X77)*'🎛️ Premissas'!$D$31,0)</f>
        <v/>
      </c>
    </row>
    <row r="78" hidden="1" outlineLevel="1" s="134">
      <c r="A78" t="inlineStr">
        <is>
          <t>Livre</t>
        </is>
      </c>
      <c r="B78">
        <f>ROUND(B75*'🎛️ Premissas'!$D$32,0)</f>
        <v/>
      </c>
      <c r="C78">
        <f>ROUND(C75*'🎛️ Premissas'!$D$32,0)</f>
        <v/>
      </c>
      <c r="D78">
        <f>ROUND(D75*'🎛️ Premissas'!$D$32,0)</f>
        <v/>
      </c>
      <c r="E78">
        <f>ROUND(E75*'🎛️ Premissas'!$D$32,0)</f>
        <v/>
      </c>
      <c r="F78">
        <f>ROUND(F75*'🎛️ Premissas'!$D$32,0)</f>
        <v/>
      </c>
      <c r="G78">
        <f>ROUND(G75*'🎛️ Premissas'!$D$32,0)</f>
        <v/>
      </c>
      <c r="H78">
        <f>ROUND(H75*'🎛️ Premissas'!$D$32,0)</f>
        <v/>
      </c>
      <c r="I78">
        <f>ROUND(I75*'🎛️ Premissas'!$D$32,0)</f>
        <v/>
      </c>
      <c r="J78">
        <f>ROUND(J75*'🎛️ Premissas'!$D$32,0)</f>
        <v/>
      </c>
      <c r="K78">
        <f>ROUND(K75*'🎛️ Premissas'!$D$32,0)</f>
        <v/>
      </c>
      <c r="L78">
        <f>ROUND(L75*'🎛️ Premissas'!$D$32,0)</f>
        <v/>
      </c>
      <c r="M78">
        <f>ROUND(M75*'🎛️ Premissas'!$D$32,0)</f>
        <v/>
      </c>
      <c r="N78">
        <f>ROUND(M78*(1-'🎛️ Premissas'!$D$35)+MAX(0,N77-M77)*'🎛️ Premissas'!$D$32,0)</f>
        <v/>
      </c>
      <c r="O78">
        <f>ROUND(N78*(1-'🎛️ Premissas'!$D$35)+MAX(0,O77-N77)*'🎛️ Premissas'!$D$32,0)</f>
        <v/>
      </c>
      <c r="P78">
        <f>ROUND(O78*(1-'🎛️ Premissas'!$D$35)+MAX(0,P77-O77)*'🎛️ Premissas'!$D$32,0)</f>
        <v/>
      </c>
      <c r="Q78">
        <f>ROUND(P78*(1-'🎛️ Premissas'!$D$35)+MAX(0,Q77-P77)*'🎛️ Premissas'!$D$32,0)</f>
        <v/>
      </c>
      <c r="R78">
        <f>ROUND(Q78*(1-'🎛️ Premissas'!$D$35)+MAX(0,R77-Q77)*'🎛️ Premissas'!$D$32,0)</f>
        <v/>
      </c>
      <c r="S78">
        <f>ROUND(R78*(1-'🎛️ Premissas'!$D$35)+MAX(0,S77-R77)*'🎛️ Premissas'!$D$32,0)</f>
        <v/>
      </c>
      <c r="T78">
        <f>ROUND(S78*(1-'🎛️ Premissas'!$D$35)+MAX(0,T77-S77)*'🎛️ Premissas'!$D$32,0)</f>
        <v/>
      </c>
      <c r="U78">
        <f>ROUND(T78*(1-'🎛️ Premissas'!$D$35)+MAX(0,U77-T77)*'🎛️ Premissas'!$D$32,0)</f>
        <v/>
      </c>
      <c r="V78">
        <f>ROUND(U78*(1-'🎛️ Premissas'!$D$35)+MAX(0,V77-U77)*'🎛️ Premissas'!$D$32,0)</f>
        <v/>
      </c>
      <c r="W78">
        <f>ROUND(V78*(1-'🎛️ Premissas'!$D$35)+MAX(0,W77-V77)*'🎛️ Premissas'!$D$32,0)</f>
        <v/>
      </c>
      <c r="X78">
        <f>ROUND(W78*(1-'🎛️ Premissas'!$D$35)+MAX(0,X77-W77)*'🎛️ Premissas'!$D$32,0)</f>
        <v/>
      </c>
      <c r="Y78">
        <f>ROUND(X78*(1-'🎛️ Premissas'!$D$35)+MAX(0,Y77-X77)*'🎛️ Premissas'!$D$32,0)</f>
        <v/>
      </c>
    </row>
    <row r="79" hidden="1" outlineLevel="1" s="134">
      <c r="A79" t="inlineStr">
        <is>
          <t>Total Pagantes</t>
        </is>
      </c>
      <c r="B79">
        <f>SUM(B76:B78)</f>
        <v/>
      </c>
      <c r="C79">
        <f>SUM(C76:C78)</f>
        <v/>
      </c>
      <c r="D79">
        <f>SUM(D76:D78)</f>
        <v/>
      </c>
      <c r="E79">
        <f>SUM(E76:E78)</f>
        <v/>
      </c>
      <c r="F79">
        <f>SUM(F76:F78)</f>
        <v/>
      </c>
      <c r="G79">
        <f>SUM(G76:G78)</f>
        <v/>
      </c>
      <c r="H79">
        <f>SUM(H76:H78)</f>
        <v/>
      </c>
      <c r="I79">
        <f>SUM(I76:I78)</f>
        <v/>
      </c>
      <c r="J79">
        <f>SUM(J76:J78)</f>
        <v/>
      </c>
      <c r="K79">
        <f>SUM(K76:K78)</f>
        <v/>
      </c>
      <c r="L79">
        <f>SUM(L76:L78)</f>
        <v/>
      </c>
      <c r="M79">
        <f>SUM(M76:M78)</f>
        <v/>
      </c>
      <c r="N79">
        <f>SUM(N76:N78)</f>
        <v/>
      </c>
      <c r="O79">
        <f>SUM(O76:O78)</f>
        <v/>
      </c>
      <c r="P79">
        <f>SUM(P76:P78)</f>
        <v/>
      </c>
      <c r="Q79">
        <f>SUM(Q76:Q78)</f>
        <v/>
      </c>
      <c r="R79">
        <f>SUM(R76:R78)</f>
        <v/>
      </c>
      <c r="S79">
        <f>SUM(S76:S78)</f>
        <v/>
      </c>
      <c r="T79">
        <f>SUM(T76:T78)</f>
        <v/>
      </c>
      <c r="U79">
        <f>SUM(U76:U78)</f>
        <v/>
      </c>
      <c r="V79">
        <f>SUM(V76:V78)</f>
        <v/>
      </c>
      <c r="W79">
        <f>SUM(W76:W78)</f>
        <v/>
      </c>
      <c r="X79">
        <f>SUM(X76:X78)</f>
        <v/>
      </c>
      <c r="Y79">
        <f>SUM(Y76:Y78)</f>
        <v/>
      </c>
    </row>
    <row r="80" hidden="1" outlineLevel="1" s="134">
      <c r="A80" t="inlineStr">
        <is>
          <t>MRR</t>
        </is>
      </c>
      <c r="B80">
        <f>B76*'🎛️ Premissas'!$D$5+B77*'🎛️ Premissas'!$D$6+B78*'🎛️ Premissas'!$D$7</f>
        <v/>
      </c>
      <c r="C80">
        <f>C76*'🎛️ Premissas'!$D$5+C77*'🎛️ Premissas'!$D$6+C78*'🎛️ Premissas'!$D$7</f>
        <v/>
      </c>
      <c r="D80">
        <f>D76*'🎛️ Premissas'!$D$5+D77*'🎛️ Premissas'!$D$6+D78*'🎛️ Premissas'!$D$7</f>
        <v/>
      </c>
      <c r="E80">
        <f>E76*'🎛️ Premissas'!$D$5+E77*'🎛️ Premissas'!$D$6+E78*'🎛️ Premissas'!$D$7</f>
        <v/>
      </c>
      <c r="F80">
        <f>F76*'🎛️ Premissas'!$D$5+F77*'🎛️ Premissas'!$D$6+F78*'🎛️ Premissas'!$D$7</f>
        <v/>
      </c>
      <c r="G80">
        <f>G76*'🎛️ Premissas'!$D$5+G77*'🎛️ Premissas'!$D$6+G78*'🎛️ Premissas'!$D$7</f>
        <v/>
      </c>
      <c r="H80">
        <f>H76*'🎛️ Premissas'!$D$5+H77*'🎛️ Premissas'!$D$6+H78*'🎛️ Premissas'!$D$7</f>
        <v/>
      </c>
      <c r="I80">
        <f>I76*'🎛️ Premissas'!$D$5+I77*'🎛️ Premissas'!$D$6+I78*'🎛️ Premissas'!$D$7</f>
        <v/>
      </c>
      <c r="J80">
        <f>J76*'🎛️ Premissas'!$D$5+J77*'🎛️ Premissas'!$D$6+J78*'🎛️ Premissas'!$D$7</f>
        <v/>
      </c>
      <c r="K80">
        <f>K76*'🎛️ Premissas'!$D$5+K77*'🎛️ Premissas'!$D$6+K78*'🎛️ Premissas'!$D$7</f>
        <v/>
      </c>
      <c r="L80">
        <f>L76*'🎛️ Premissas'!$D$5+L77*'🎛️ Premissas'!$D$6+L78*'🎛️ Premissas'!$D$7</f>
        <v/>
      </c>
      <c r="M80">
        <f>M76*'🎛️ Premissas'!$D$5+M77*'🎛️ Premissas'!$D$6+M78*'🎛️ Premissas'!$D$7</f>
        <v/>
      </c>
      <c r="N80">
        <f>N76*'🎛️ Premissas'!$D$5+N77*'🎛️ Premissas'!$D$6+N78*'🎛️ Premissas'!$D$7</f>
        <v/>
      </c>
      <c r="O80">
        <f>O76*'🎛️ Premissas'!$D$5+O77*'🎛️ Premissas'!$D$6+O78*'🎛️ Premissas'!$D$7</f>
        <v/>
      </c>
      <c r="P80">
        <f>P76*'🎛️ Premissas'!$D$5+P77*'🎛️ Premissas'!$D$6+P78*'🎛️ Premissas'!$D$7</f>
        <v/>
      </c>
      <c r="Q80">
        <f>Q76*'🎛️ Premissas'!$D$5+Q77*'🎛️ Premissas'!$D$6+Q78*'🎛️ Premissas'!$D$7</f>
        <v/>
      </c>
      <c r="R80">
        <f>R76*'🎛️ Premissas'!$D$5+R77*'🎛️ Premissas'!$D$6+R78*'🎛️ Premissas'!$D$7</f>
        <v/>
      </c>
      <c r="S80">
        <f>S76*'🎛️ Premissas'!$D$5+S77*'🎛️ Premissas'!$D$6+S78*'🎛️ Premissas'!$D$7</f>
        <v/>
      </c>
      <c r="T80">
        <f>T76*'🎛️ Premissas'!$D$5+T77*'🎛️ Premissas'!$D$6+T78*'🎛️ Premissas'!$D$7</f>
        <v/>
      </c>
      <c r="U80">
        <f>U76*'🎛️ Premissas'!$D$5+U77*'🎛️ Premissas'!$D$6+U78*'🎛️ Premissas'!$D$7</f>
        <v/>
      </c>
      <c r="V80">
        <f>V76*'🎛️ Premissas'!$D$5+V77*'🎛️ Premissas'!$D$6+V78*'🎛️ Premissas'!$D$7</f>
        <v/>
      </c>
      <c r="W80">
        <f>W76*'🎛️ Premissas'!$D$5+W77*'🎛️ Premissas'!$D$6+W78*'🎛️ Premissas'!$D$7</f>
        <v/>
      </c>
      <c r="X80">
        <f>X76*'🎛️ Premissas'!$D$5+X77*'🎛️ Premissas'!$D$6+X78*'🎛️ Premissas'!$D$7</f>
        <v/>
      </c>
      <c r="Y80">
        <f>Y76*'🎛️ Premissas'!$D$5+Y77*'🎛️ Premissas'!$D$6+Y78*'🎛️ Premissas'!$D$7</f>
        <v/>
      </c>
    </row>
    <row r="81" hidden="1" outlineLevel="1" s="134">
      <c r="A81" t="inlineStr">
        <is>
          <t>API Total</t>
        </is>
      </c>
      <c r="B81">
        <f>B75*('🎛️ Premissas'!$D$14*('🎛️ Premissas'!$D$15*('🎛️ Premissas'!$D$10/1000000)+'🎛️ Premissas'!$D$16*('🎛️ Premissas'!$D$11/1000000))*(1-'🎛️ Premissas'!$D$12)*'🎛️ Premissas'!$D$9*'🎛️ Premissas'!$D$17)+B76*('🎛️ Premissas'!$D$18*('🎛️ Premissas'!$D$19*('🎛️ Premissas'!$D$10/1000000)+'🎛️ Premissas'!$D$20*('🎛️ Premissas'!$D$11/1000000))*(1-'🎛️ Premissas'!$D$12)*'🎛️ Premissas'!$D$9)+B77*(('🎛️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Premissas'!$D$9))+B78*(('🎛️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C81">
        <f>C75*('🎛️ Premissas'!$D$14*('🎛️ Premissas'!$D$15*('🎛️ Premissas'!$D$10/1000000)+'🎛️ Premissas'!$D$16*('🎛️ Premissas'!$D$11/1000000))*(1-'🎛️ Premissas'!$D$12)*'🎛️ Premissas'!$D$9*'🎛️ Premissas'!$D$17)+C76*('🎛️ Premissas'!$D$18*('🎛️ Premissas'!$D$19*('🎛️ Premissas'!$D$10/1000000)+'🎛️ Premissas'!$D$20*('🎛️ Premissas'!$D$11/1000000))*(1-'🎛️ Premissas'!$D$12)*'🎛️ Premissas'!$D$9)+C77*(('🎛️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Premissas'!$D$9))+C78*(('🎛️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D81">
        <f>D75*('🎛️ Premissas'!$D$14*('🎛️ Premissas'!$D$15*('🎛️ Premissas'!$D$10/1000000)+'🎛️ Premissas'!$D$16*('🎛️ Premissas'!$D$11/1000000))*(1-'🎛️ Premissas'!$D$12)*'🎛️ Premissas'!$D$9*'🎛️ Premissas'!$D$17)+D76*('🎛️ Premissas'!$D$18*('🎛️ Premissas'!$D$19*('🎛️ Premissas'!$D$10/1000000)+'🎛️ Premissas'!$D$20*('🎛️ Premissas'!$D$11/1000000))*(1-'🎛️ Premissas'!$D$12)*'🎛️ Premissas'!$D$9)+D77*(('🎛️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Premissas'!$D$9))+D78*(('🎛️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E81">
        <f>E75*('🎛️ Premissas'!$D$14*('🎛️ Premissas'!$D$15*('🎛️ Premissas'!$D$10/1000000)+'🎛️ Premissas'!$D$16*('🎛️ Premissas'!$D$11/1000000))*(1-'🎛️ Premissas'!$D$12)*'🎛️ Premissas'!$D$9*'🎛️ Premissas'!$D$17)+E76*('🎛️ Premissas'!$D$18*('🎛️ Premissas'!$D$19*('🎛️ Premissas'!$D$10/1000000)+'🎛️ Premissas'!$D$20*('🎛️ Premissas'!$D$11/1000000))*(1-'🎛️ Premissas'!$D$12)*'🎛️ Premissas'!$D$9)+E77*(('🎛️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Premissas'!$D$9))+E78*(('🎛️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F81">
        <f>F75*('🎛️ Premissas'!$D$14*('🎛️ Premissas'!$D$15*('🎛️ Premissas'!$D$10/1000000)+'🎛️ Premissas'!$D$16*('🎛️ Premissas'!$D$11/1000000))*(1-'🎛️ Premissas'!$D$12)*'🎛️ Premissas'!$D$9*'🎛️ Premissas'!$D$17)+F76*('🎛️ Premissas'!$D$18*('🎛️ Premissas'!$D$19*('🎛️ Premissas'!$D$10/1000000)+'🎛️ Premissas'!$D$20*('🎛️ Premissas'!$D$11/1000000))*(1-'🎛️ Premissas'!$D$12)*'🎛️ Premissas'!$D$9)+F77*(('🎛️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Premissas'!$D$9))+F78*(('🎛️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G81">
        <f>G75*('🎛️ Premissas'!$D$14*('🎛️ Premissas'!$D$15*('🎛️ Premissas'!$D$10/1000000)+'🎛️ Premissas'!$D$16*('🎛️ Premissas'!$D$11/1000000))*(1-'🎛️ Premissas'!$D$12)*'🎛️ Premissas'!$D$9*'🎛️ Premissas'!$D$17)+G76*('🎛️ Premissas'!$D$18*('🎛️ Premissas'!$D$19*('🎛️ Premissas'!$D$10/1000000)+'🎛️ Premissas'!$D$20*('🎛️ Premissas'!$D$11/1000000))*(1-'🎛️ Premissas'!$D$12)*'🎛️ Premissas'!$D$9)+G77*(('🎛️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Premissas'!$D$9))+G78*(('🎛️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H81">
        <f>H75*('🎛️ Premissas'!$D$14*('🎛️ Premissas'!$D$15*('🎛️ Premissas'!$D$10/1000000)+'🎛️ Premissas'!$D$16*('🎛️ Premissas'!$D$11/1000000))*(1-'🎛️ Premissas'!$D$12)*'🎛️ Premissas'!$D$9*'🎛️ Premissas'!$D$17)+H76*('🎛️ Premissas'!$D$18*('🎛️ Premissas'!$D$19*('🎛️ Premissas'!$D$10/1000000)+'🎛️ Premissas'!$D$20*('🎛️ Premissas'!$D$11/1000000))*(1-'🎛️ Premissas'!$D$12)*'🎛️ Premissas'!$D$9)+H77*(('🎛️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Premissas'!$D$9))+H78*(('🎛️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I81">
        <f>I75*('🎛️ Premissas'!$D$14*('🎛️ Premissas'!$D$15*('🎛️ Premissas'!$D$10/1000000)+'🎛️ Premissas'!$D$16*('🎛️ Premissas'!$D$11/1000000))*(1-'🎛️ Premissas'!$D$12)*'🎛️ Premissas'!$D$9*'🎛️ Premissas'!$D$17)+I76*('🎛️ Premissas'!$D$18*('🎛️ Premissas'!$D$19*('🎛️ Premissas'!$D$10/1000000)+'🎛️ Premissas'!$D$20*('🎛️ Premissas'!$D$11/1000000))*(1-'🎛️ Premissas'!$D$12)*'🎛️ Premissas'!$D$9)+I77*(('🎛️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Premissas'!$D$9))+I78*(('🎛️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J81">
        <f>J75*('🎛️ Premissas'!$D$14*('🎛️ Premissas'!$D$15*('🎛️ Premissas'!$D$10/1000000)+'🎛️ Premissas'!$D$16*('🎛️ Premissas'!$D$11/1000000))*(1-'🎛️ Premissas'!$D$12)*'🎛️ Premissas'!$D$9*'🎛️ Premissas'!$D$17)+J76*('🎛️ Premissas'!$D$18*('🎛️ Premissas'!$D$19*('🎛️ Premissas'!$D$10/1000000)+'🎛️ Premissas'!$D$20*('🎛️ Premissas'!$D$11/1000000))*(1-'🎛️ Premissas'!$D$12)*'🎛️ Premissas'!$D$9)+J77*(('🎛️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Premissas'!$D$9))+J78*(('🎛️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K81">
        <f>K75*('🎛️ Premissas'!$D$14*('🎛️ Premissas'!$D$15*('🎛️ Premissas'!$D$10/1000000)+'🎛️ Premissas'!$D$16*('🎛️ Premissas'!$D$11/1000000))*(1-'🎛️ Premissas'!$D$12)*'🎛️ Premissas'!$D$9*'🎛️ Premissas'!$D$17)+K76*('🎛️ Premissas'!$D$18*('🎛️ Premissas'!$D$19*('🎛️ Premissas'!$D$10/1000000)+'🎛️ Premissas'!$D$20*('🎛️ Premissas'!$D$11/1000000))*(1-'🎛️ Premissas'!$D$12)*'🎛️ Premissas'!$D$9)+K77*(('🎛️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Premissas'!$D$9))+K78*(('🎛️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L81">
        <f>L75*('🎛️ Premissas'!$D$14*('🎛️ Premissas'!$D$15*('🎛️ Premissas'!$D$10/1000000)+'🎛️ Premissas'!$D$16*('🎛️ Premissas'!$D$11/1000000))*(1-'🎛️ Premissas'!$D$12)*'🎛️ Premissas'!$D$9*'🎛️ Premissas'!$D$17)+L76*('🎛️ Premissas'!$D$18*('🎛️ Premissas'!$D$19*('🎛️ Premissas'!$D$10/1000000)+'🎛️ Premissas'!$D$20*('🎛️ Premissas'!$D$11/1000000))*(1-'🎛️ Premissas'!$D$12)*'🎛️ Premissas'!$D$9)+L77*(('🎛️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Premissas'!$D$9))+L78*(('🎛️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M81">
        <f>M75*('🎛️ Premissas'!$D$14*('🎛️ Premissas'!$D$15*('🎛️ Premissas'!$D$10/1000000)+'🎛️ Premissas'!$D$16*('🎛️ Premissas'!$D$11/1000000))*(1-'🎛️ Premissas'!$D$12)*'🎛️ Premissas'!$D$9*'🎛️ Premissas'!$D$17)+M76*('🎛️ Premissas'!$D$18*('🎛️ Premissas'!$D$19*('🎛️ Premissas'!$D$10/1000000)+'🎛️ Premissas'!$D$20*('🎛️ Premissas'!$D$11/1000000))*(1-'🎛️ Premissas'!$D$12)*'🎛️ Premissas'!$D$9)+M77*(('🎛️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Premissas'!$D$9))+M78*(('🎛️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N81">
        <f>N75*('🎛️ Premissas'!$D$14*('🎛️ Premissas'!$D$15*('🎛️ Premissas'!$D$10/1000000)+'🎛️ Premissas'!$D$16*('🎛️ Premissas'!$D$11/1000000))*(1-'🎛️ Premissas'!$D$12)*'🎛️ Premissas'!$D$9*'🎛️ Premissas'!$D$17)+N76*('🎛️ Premissas'!$D$18*('🎛️ Premissas'!$D$19*('🎛️ Premissas'!$D$10/1000000)+'🎛️ Premissas'!$D$20*('🎛️ Premissas'!$D$11/1000000))*(1-'🎛️ Premissas'!$D$12)*'🎛️ Premissas'!$D$9)+N77*(('🎛️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Premissas'!$D$9))+N78*(('🎛️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O81">
        <f>O75*('🎛️ Premissas'!$D$14*('🎛️ Premissas'!$D$15*('🎛️ Premissas'!$D$10/1000000)+'🎛️ Premissas'!$D$16*('🎛️ Premissas'!$D$11/1000000))*(1-'🎛️ Premissas'!$D$12)*'🎛️ Premissas'!$D$9*'🎛️ Premissas'!$D$17)+O76*('🎛️ Premissas'!$D$18*('🎛️ Premissas'!$D$19*('🎛️ Premissas'!$D$10/1000000)+'🎛️ Premissas'!$D$20*('🎛️ Premissas'!$D$11/1000000))*(1-'🎛️ Premissas'!$D$12)*'🎛️ Premissas'!$D$9)+O77*(('🎛️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Premissas'!$D$9))+O78*(('🎛️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P81">
        <f>P75*('🎛️ Premissas'!$D$14*('🎛️ Premissas'!$D$15*('🎛️ Premissas'!$D$10/1000000)+'🎛️ Premissas'!$D$16*('🎛️ Premissas'!$D$11/1000000))*(1-'🎛️ Premissas'!$D$12)*'🎛️ Premissas'!$D$9*'🎛️ Premissas'!$D$17)+P76*('🎛️ Premissas'!$D$18*('🎛️ Premissas'!$D$19*('🎛️ Premissas'!$D$10/1000000)+'🎛️ Premissas'!$D$20*('🎛️ Premissas'!$D$11/1000000))*(1-'🎛️ Premissas'!$D$12)*'🎛️ Premissas'!$D$9)+P77*(('🎛️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Premissas'!$D$9))+P78*(('🎛️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Q81">
        <f>Q75*('🎛️ Premissas'!$D$14*('🎛️ Premissas'!$D$15*('🎛️ Premissas'!$D$10/1000000)+'🎛️ Premissas'!$D$16*('🎛️ Premissas'!$D$11/1000000))*(1-'🎛️ Premissas'!$D$12)*'🎛️ Premissas'!$D$9*'🎛️ Premissas'!$D$17)+Q76*('🎛️ Premissas'!$D$18*('🎛️ Premissas'!$D$19*('🎛️ Premissas'!$D$10/1000000)+'🎛️ Premissas'!$D$20*('🎛️ Premissas'!$D$11/1000000))*(1-'🎛️ Premissas'!$D$12)*'🎛️ Premissas'!$D$9)+Q77*(('🎛️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Premissas'!$D$9))+Q78*(('🎛️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R81">
        <f>R75*('🎛️ Premissas'!$D$14*('🎛️ Premissas'!$D$15*('🎛️ Premissas'!$D$10/1000000)+'🎛️ Premissas'!$D$16*('🎛️ Premissas'!$D$11/1000000))*(1-'🎛️ Premissas'!$D$12)*'🎛️ Premissas'!$D$9*'🎛️ Premissas'!$D$17)+R76*('🎛️ Premissas'!$D$18*('🎛️ Premissas'!$D$19*('🎛️ Premissas'!$D$10/1000000)+'🎛️ Premissas'!$D$20*('🎛️ Premissas'!$D$11/1000000))*(1-'🎛️ Premissas'!$D$12)*'🎛️ Premissas'!$D$9)+R77*(('🎛️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Premissas'!$D$9))+R78*(('🎛️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S81">
        <f>S75*('🎛️ Premissas'!$D$14*('🎛️ Premissas'!$D$15*('🎛️ Premissas'!$D$10/1000000)+'🎛️ Premissas'!$D$16*('🎛️ Premissas'!$D$11/1000000))*(1-'🎛️ Premissas'!$D$12)*'🎛️ Premissas'!$D$9*'🎛️ Premissas'!$D$17)+S76*('🎛️ Premissas'!$D$18*('🎛️ Premissas'!$D$19*('🎛️ Premissas'!$D$10/1000000)+'🎛️ Premissas'!$D$20*('🎛️ Premissas'!$D$11/1000000))*(1-'🎛️ Premissas'!$D$12)*'🎛️ Premissas'!$D$9)+S77*(('🎛️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Premissas'!$D$9))+S78*(('🎛️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T81">
        <f>T75*('🎛️ Premissas'!$D$14*('🎛️ Premissas'!$D$15*('🎛️ Premissas'!$D$10/1000000)+'🎛️ Premissas'!$D$16*('🎛️ Premissas'!$D$11/1000000))*(1-'🎛️ Premissas'!$D$12)*'🎛️ Premissas'!$D$9*'🎛️ Premissas'!$D$17)+T76*('🎛️ Premissas'!$D$18*('🎛️ Premissas'!$D$19*('🎛️ Premissas'!$D$10/1000000)+'🎛️ Premissas'!$D$20*('🎛️ Premissas'!$D$11/1000000))*(1-'🎛️ Premissas'!$D$12)*'🎛️ Premissas'!$D$9)+T77*(('🎛️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Premissas'!$D$9))+T78*(('🎛️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U81">
        <f>U75*('🎛️ Premissas'!$D$14*('🎛️ Premissas'!$D$15*('🎛️ Premissas'!$D$10/1000000)+'🎛️ Premissas'!$D$16*('🎛️ Premissas'!$D$11/1000000))*(1-'🎛️ Premissas'!$D$12)*'🎛️ Premissas'!$D$9*'🎛️ Premissas'!$D$17)+U76*('🎛️ Premissas'!$D$18*('🎛️ Premissas'!$D$19*('🎛️ Premissas'!$D$10/1000000)+'🎛️ Premissas'!$D$20*('🎛️ Premissas'!$D$11/1000000))*(1-'🎛️ Premissas'!$D$12)*'🎛️ Premissas'!$D$9)+U77*(('🎛️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Premissas'!$D$9))+U78*(('🎛️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V81">
        <f>V75*('🎛️ Premissas'!$D$14*('🎛️ Premissas'!$D$15*('🎛️ Premissas'!$D$10/1000000)+'🎛️ Premissas'!$D$16*('🎛️ Premissas'!$D$11/1000000))*(1-'🎛️ Premissas'!$D$12)*'🎛️ Premissas'!$D$9*'🎛️ Premissas'!$D$17)+V76*('🎛️ Premissas'!$D$18*('🎛️ Premissas'!$D$19*('🎛️ Premissas'!$D$10/1000000)+'🎛️ Premissas'!$D$20*('🎛️ Premissas'!$D$11/1000000))*(1-'🎛️ Premissas'!$D$12)*'🎛️ Premissas'!$D$9)+V77*(('🎛️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Premissas'!$D$9))+V78*(('🎛️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W81">
        <f>W75*('🎛️ Premissas'!$D$14*('🎛️ Premissas'!$D$15*('🎛️ Premissas'!$D$10/1000000)+'🎛️ Premissas'!$D$16*('🎛️ Premissas'!$D$11/1000000))*(1-'🎛️ Premissas'!$D$12)*'🎛️ Premissas'!$D$9*'🎛️ Premissas'!$D$17)+W76*('🎛️ Premissas'!$D$18*('🎛️ Premissas'!$D$19*('🎛️ Premissas'!$D$10/1000000)+'🎛️ Premissas'!$D$20*('🎛️ Premissas'!$D$11/1000000))*(1-'🎛️ Premissas'!$D$12)*'🎛️ Premissas'!$D$9)+W77*(('🎛️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Premissas'!$D$9))+W78*(('🎛️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X81">
        <f>X75*('🎛️ Premissas'!$D$14*('🎛️ Premissas'!$D$15*('🎛️ Premissas'!$D$10/1000000)+'🎛️ Premissas'!$D$16*('🎛️ Premissas'!$D$11/1000000))*(1-'🎛️ Premissas'!$D$12)*'🎛️ Premissas'!$D$9*'🎛️ Premissas'!$D$17)+X76*('🎛️ Premissas'!$D$18*('🎛️ Premissas'!$D$19*('🎛️ Premissas'!$D$10/1000000)+'🎛️ Premissas'!$D$20*('🎛️ Premissas'!$D$11/1000000))*(1-'🎛️ Premissas'!$D$12)*'🎛️ Premissas'!$D$9)+X77*(('🎛️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Premissas'!$D$9))+X78*(('🎛️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  <c r="Y81">
        <f>Y75*('🎛️ Premissas'!$D$14*('🎛️ Premissas'!$D$15*('🎛️ Premissas'!$D$10/1000000)+'🎛️ Premissas'!$D$16*('🎛️ Premissas'!$D$11/1000000))*(1-'🎛️ Premissas'!$D$12)*'🎛️ Premissas'!$D$9*'🎛️ Premissas'!$D$17)+Y76*('🎛️ Premissas'!$D$18*('🎛️ Premissas'!$D$19*('🎛️ Premissas'!$D$10/1000000)+'🎛️ Premissas'!$D$20*('🎛️ Premissas'!$D$11/1000000))*(1-'🎛️ Premissas'!$D$12)*'🎛️ Premissas'!$D$9)+Y77*(('🎛️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Premissas'!$D$9))+Y78*(('🎛️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/>
      </c>
    </row>
    <row r="82" hidden="1" outlineLevel="1" s="134">
      <c r="A82" t="inlineStr">
        <is>
          <t>Custo Fixo</t>
        </is>
      </c>
      <c r="B82">
        <f>'🎛️ Premissas'!$D$37+'🎛️ Premissas'!$D$39+'🎛️ Premissas'!$D$41+'🎛️ Premissas'!$D$43</f>
        <v/>
      </c>
      <c r="C82">
        <f>'🎛️ Premissas'!$D$37+'🎛️ Premissas'!$D$39+'🎛️ Premissas'!$D$41+'🎛️ Premissas'!$D$43</f>
        <v/>
      </c>
      <c r="D82">
        <f>'🎛️ Premissas'!$D$37+'🎛️ Premissas'!$D$39+'🎛️ Premissas'!$D$41+'🎛️ Premissas'!$D$43</f>
        <v/>
      </c>
      <c r="E82">
        <f>'🎛️ Premissas'!$D$37+'🎛️ Premissas'!$D$39+'🎛️ Premissas'!$D$41+'🎛️ Premissas'!$D$43</f>
        <v/>
      </c>
      <c r="F82">
        <f>'🎛️ Premissas'!$D$37+'🎛️ Premissas'!$D$39+'🎛️ Premissas'!$D$41+'🎛️ Premissas'!$D$43</f>
        <v/>
      </c>
      <c r="G82">
        <f>'🎛️ Premissas'!$D$37+'🎛️ Premissas'!$D$39+'🎛️ Premissas'!$D$41+'🎛️ Premissas'!$D$43</f>
        <v/>
      </c>
      <c r="H82">
        <f>'🎛️ Premissas'!$D$37+'🎛️ Premissas'!$D$39+'🎛️ Premissas'!$D$41+'🎛️ Premissas'!$D$43</f>
        <v/>
      </c>
      <c r="I82">
        <f>'🎛️ Premissas'!$D$37+'🎛️ Premissas'!$D$39+'🎛️ Premissas'!$D$41+'🎛️ Premissas'!$D$43</f>
        <v/>
      </c>
      <c r="J82">
        <f>'🎛️ Premissas'!$D$37+'🎛️ Premissas'!$D$39+'🎛️ Premissas'!$D$41+'🎛️ Premissas'!$D$43</f>
        <v/>
      </c>
      <c r="K82">
        <f>'🎛️ Premissas'!$D$37+'🎛️ Premissas'!$D$39+'🎛️ Premissas'!$D$41+'🎛️ Premissas'!$D$43</f>
        <v/>
      </c>
      <c r="L82">
        <f>'🎛️ Premissas'!$D$37+'🎛️ Premissas'!$D$39+'🎛️ Premissas'!$D$41+'🎛️ Premissas'!$D$43</f>
        <v/>
      </c>
      <c r="M82">
        <f>'🎛️ Premissas'!$D$37+'🎛️ Premissas'!$D$39+'🎛️ Premissas'!$D$41+'🎛️ Premissas'!$D$43</f>
        <v/>
      </c>
      <c r="N82">
        <f>'🎛️ Premissas'!$D$38+'🎛️ Premissas'!$D$40+'🎛️ Premissas'!$D$42+'🎛️ Premissas'!$D$43</f>
        <v/>
      </c>
      <c r="O82">
        <f>'🎛️ Premissas'!$D$38+'🎛️ Premissas'!$D$40+'🎛️ Premissas'!$D$42+'🎛️ Premissas'!$D$43</f>
        <v/>
      </c>
      <c r="P82">
        <f>'🎛️ Premissas'!$D$38+'🎛️ Premissas'!$D$40+'🎛️ Premissas'!$D$42+'🎛️ Premissas'!$D$43</f>
        <v/>
      </c>
      <c r="Q82">
        <f>'🎛️ Premissas'!$D$38+'🎛️ Premissas'!$D$40+'🎛️ Premissas'!$D$42+'🎛️ Premissas'!$D$43</f>
        <v/>
      </c>
      <c r="R82">
        <f>'🎛️ Premissas'!$D$38+'🎛️ Premissas'!$D$40+'🎛️ Premissas'!$D$42+'🎛️ Premissas'!$D$43</f>
        <v/>
      </c>
      <c r="S82">
        <f>'🎛️ Premissas'!$D$38+'🎛️ Premissas'!$D$40+'🎛️ Premissas'!$D$42+'🎛️ Premissas'!$D$43</f>
        <v/>
      </c>
      <c r="T82">
        <f>'🎛️ Premissas'!$D$38+'🎛️ Premissas'!$D$40+'🎛️ Premissas'!$D$42+'🎛️ Premissas'!$D$43</f>
        <v/>
      </c>
      <c r="U82">
        <f>'🎛️ Premissas'!$D$38+'🎛️ Premissas'!$D$40+'🎛️ Premissas'!$D$42+'🎛️ Premissas'!$D$43</f>
        <v/>
      </c>
      <c r="V82">
        <f>'🎛️ Premissas'!$D$38+'🎛️ Premissas'!$D$40+'🎛️ Premissas'!$D$42+'🎛️ Premissas'!$D$43</f>
        <v/>
      </c>
      <c r="W82">
        <f>'🎛️ Premissas'!$D$38+'🎛️ Premissas'!$D$40+'🎛️ Premissas'!$D$42+'🎛️ Premissas'!$D$43</f>
        <v/>
      </c>
      <c r="X82">
        <f>'🎛️ Premissas'!$D$38+'🎛️ Premissas'!$D$40+'🎛️ Premissas'!$D$42+'🎛️ Premissas'!$D$43</f>
        <v/>
      </c>
      <c r="Y82">
        <f>'🎛️ Premissas'!$D$38+'🎛️ Premissas'!$D$40+'🎛️ Premissas'!$D$42+'🎛️ Premissas'!$D$43</f>
        <v/>
      </c>
    </row>
    <row r="83" hidden="1" outlineLevel="1" s="134">
      <c r="A83" t="inlineStr">
        <is>
          <t>Impostos</t>
        </is>
      </c>
      <c r="B83">
        <f>B80*'🎛️ Premissas'!$D$67</f>
        <v/>
      </c>
      <c r="C83">
        <f>C80*'🎛️ Premissas'!$D$67</f>
        <v/>
      </c>
      <c r="D83">
        <f>D80*'🎛️ Premissas'!$D$67</f>
        <v/>
      </c>
      <c r="E83">
        <f>E80*'🎛️ Premissas'!$D$67</f>
        <v/>
      </c>
      <c r="F83">
        <f>F80*'🎛️ Premissas'!$D$67</f>
        <v/>
      </c>
      <c r="G83">
        <f>G80*'🎛️ Premissas'!$D$67</f>
        <v/>
      </c>
      <c r="H83">
        <f>H80*'🎛️ Premissas'!$D$67</f>
        <v/>
      </c>
      <c r="I83">
        <f>I80*'🎛️ Premissas'!$D$67</f>
        <v/>
      </c>
      <c r="J83">
        <f>J80*'🎛️ Premissas'!$D$67</f>
        <v/>
      </c>
      <c r="K83">
        <f>K80*'🎛️ Premissas'!$D$67</f>
        <v/>
      </c>
      <c r="L83">
        <f>L80*'🎛️ Premissas'!$D$67</f>
        <v/>
      </c>
      <c r="M83">
        <f>M80*'🎛️ Premissas'!$D$67</f>
        <v/>
      </c>
      <c r="N83">
        <f>N80*'🎛️ Premissas'!$D$67</f>
        <v/>
      </c>
      <c r="O83">
        <f>O80*'🎛️ Premissas'!$D$67</f>
        <v/>
      </c>
      <c r="P83">
        <f>P80*'🎛️ Premissas'!$D$67</f>
        <v/>
      </c>
      <c r="Q83">
        <f>Q80*'🎛️ Premissas'!$D$67</f>
        <v/>
      </c>
      <c r="R83">
        <f>R80*'🎛️ Premissas'!$D$67</f>
        <v/>
      </c>
      <c r="S83">
        <f>S80*'🎛️ Premissas'!$D$67</f>
        <v/>
      </c>
      <c r="T83">
        <f>T80*'🎛️ Premissas'!$D$67</f>
        <v/>
      </c>
      <c r="U83">
        <f>U80*'🎛️ Premissas'!$D$67</f>
        <v/>
      </c>
      <c r="V83">
        <f>V80*'🎛️ Premissas'!$D$67</f>
        <v/>
      </c>
      <c r="W83">
        <f>W80*'🎛️ Premissas'!$D$67</f>
        <v/>
      </c>
      <c r="X83">
        <f>X80*'🎛️ Premissas'!$D$67</f>
        <v/>
      </c>
      <c r="Y83">
        <f>Y80*'🎛️ Premissas'!$D$67</f>
        <v/>
      </c>
    </row>
    <row r="84" hidden="1" outlineLevel="1" s="134">
      <c r="A84" t="inlineStr">
        <is>
          <t>Resultado Mensal</t>
        </is>
      </c>
      <c r="B84">
        <f>B80-B81-B82-B83</f>
        <v/>
      </c>
      <c r="C84">
        <f>C80-C81-C82-C83</f>
        <v/>
      </c>
      <c r="D84">
        <f>D80-D81-D82-D83</f>
        <v/>
      </c>
      <c r="E84">
        <f>E80-E81-E82-E83</f>
        <v/>
      </c>
      <c r="F84">
        <f>F80-F81-F82-F83</f>
        <v/>
      </c>
      <c r="G84">
        <f>G80-G81-G82-G83</f>
        <v/>
      </c>
      <c r="H84">
        <f>H80-H81-H82-H83</f>
        <v/>
      </c>
      <c r="I84">
        <f>I80-I81-I82-I83</f>
        <v/>
      </c>
      <c r="J84">
        <f>J80-J81-J82-J83</f>
        <v/>
      </c>
      <c r="K84">
        <f>K80-K81-K82-K83</f>
        <v/>
      </c>
      <c r="L84">
        <f>L80-L81-L82-L83</f>
        <v/>
      </c>
      <c r="M84">
        <f>M80-M81-M82-M83</f>
        <v/>
      </c>
      <c r="N84">
        <f>N80-N81-N82-N83</f>
        <v/>
      </c>
      <c r="O84">
        <f>O80-O81-O82-O83</f>
        <v/>
      </c>
      <c r="P84">
        <f>P80-P81-P82-P83</f>
        <v/>
      </c>
      <c r="Q84">
        <f>Q80-Q81-Q82-Q83</f>
        <v/>
      </c>
      <c r="R84">
        <f>R80-R81-R82-R83</f>
        <v/>
      </c>
      <c r="S84">
        <f>S80-S81-S82-S83</f>
        <v/>
      </c>
      <c r="T84">
        <f>T80-T81-T82-T83</f>
        <v/>
      </c>
      <c r="U84">
        <f>U80-U81-U82-U83</f>
        <v/>
      </c>
      <c r="V84">
        <f>V80-V81-V82-V83</f>
        <v/>
      </c>
      <c r="W84">
        <f>W80-W81-W82-W83</f>
        <v/>
      </c>
      <c r="X84">
        <f>X80-X81-X82-X83</f>
        <v/>
      </c>
      <c r="Y84">
        <f>Y80-Y81-Y82-Y83</f>
        <v/>
      </c>
    </row>
    <row r="85" collapsed="1" s="134"/>
    <row r="86" hidden="1" outlineLevel="1" s="134">
      <c r="A86" t="inlineStr">
        <is>
          <t>Cons CF (helper TIR)</t>
        </is>
      </c>
      <c r="B86">
        <f>-'🎛️ Premissas'!$B$55</f>
        <v/>
      </c>
      <c r="C86">
        <f>B60</f>
        <v/>
      </c>
      <c r="D86">
        <f>C60</f>
        <v/>
      </c>
      <c r="E86">
        <f>D60</f>
        <v/>
      </c>
      <c r="F86">
        <f>E60</f>
        <v/>
      </c>
      <c r="G86">
        <f>F60</f>
        <v/>
      </c>
      <c r="H86">
        <f>G60</f>
        <v/>
      </c>
      <c r="I86">
        <f>H60</f>
        <v/>
      </c>
      <c r="J86">
        <f>I60</f>
        <v/>
      </c>
      <c r="K86">
        <f>J60</f>
        <v/>
      </c>
      <c r="L86">
        <f>K60</f>
        <v/>
      </c>
      <c r="M86">
        <f>L60</f>
        <v/>
      </c>
      <c r="N86">
        <f>M60</f>
        <v/>
      </c>
      <c r="O86">
        <f>N60</f>
        <v/>
      </c>
      <c r="P86">
        <f>O60</f>
        <v/>
      </c>
      <c r="Q86">
        <f>P60</f>
        <v/>
      </c>
      <c r="R86">
        <f>Q60</f>
        <v/>
      </c>
      <c r="S86">
        <f>R60</f>
        <v/>
      </c>
      <c r="T86">
        <f>S60</f>
        <v/>
      </c>
      <c r="U86">
        <f>T60</f>
        <v/>
      </c>
      <c r="V86">
        <f>U60</f>
        <v/>
      </c>
      <c r="W86">
        <f>V60</f>
        <v/>
      </c>
      <c r="X86">
        <f>W60</f>
        <v/>
      </c>
      <c r="Y86">
        <f>X60</f>
        <v/>
      </c>
      <c r="Z86">
        <f>Y60</f>
        <v/>
      </c>
    </row>
    <row r="87" hidden="1" outlineLevel="1" s="134">
      <c r="A87" t="inlineStr">
        <is>
          <t>Base CF (helper TIR)</t>
        </is>
      </c>
      <c r="B87">
        <f>-'🎛️ Premissas'!$B$55</f>
        <v/>
      </c>
      <c r="C87">
        <f>B72</f>
        <v/>
      </c>
      <c r="D87">
        <f>C72</f>
        <v/>
      </c>
      <c r="E87">
        <f>D72</f>
        <v/>
      </c>
      <c r="F87">
        <f>E72</f>
        <v/>
      </c>
      <c r="G87">
        <f>F72</f>
        <v/>
      </c>
      <c r="H87">
        <f>G72</f>
        <v/>
      </c>
      <c r="I87">
        <f>H72</f>
        <v/>
      </c>
      <c r="J87">
        <f>I72</f>
        <v/>
      </c>
      <c r="K87">
        <f>J72</f>
        <v/>
      </c>
      <c r="L87">
        <f>K72</f>
        <v/>
      </c>
      <c r="M87">
        <f>L72</f>
        <v/>
      </c>
      <c r="N87">
        <f>M72</f>
        <v/>
      </c>
      <c r="O87">
        <f>N72</f>
        <v/>
      </c>
      <c r="P87">
        <f>O72</f>
        <v/>
      </c>
      <c r="Q87">
        <f>P72</f>
        <v/>
      </c>
      <c r="R87">
        <f>Q72</f>
        <v/>
      </c>
      <c r="S87">
        <f>R72</f>
        <v/>
      </c>
      <c r="T87">
        <f>S72</f>
        <v/>
      </c>
      <c r="U87">
        <f>T72</f>
        <v/>
      </c>
      <c r="V87">
        <f>U72</f>
        <v/>
      </c>
      <c r="W87">
        <f>V72</f>
        <v/>
      </c>
      <c r="X87">
        <f>W72</f>
        <v/>
      </c>
      <c r="Y87">
        <f>X72</f>
        <v/>
      </c>
      <c r="Z87">
        <f>Y72</f>
        <v/>
      </c>
    </row>
    <row r="88" hidden="1" outlineLevel="1" s="134">
      <c r="A88" t="inlineStr">
        <is>
          <t>Otim CF (helper TIR)</t>
        </is>
      </c>
      <c r="B88">
        <f>-'🎛️ Premissas'!$B$55</f>
        <v/>
      </c>
      <c r="C88">
        <f>B84</f>
        <v/>
      </c>
      <c r="D88">
        <f>C84</f>
        <v/>
      </c>
      <c r="E88">
        <f>D84</f>
        <v/>
      </c>
      <c r="F88">
        <f>E84</f>
        <v/>
      </c>
      <c r="G88">
        <f>F84</f>
        <v/>
      </c>
      <c r="H88">
        <f>G84</f>
        <v/>
      </c>
      <c r="I88">
        <f>H84</f>
        <v/>
      </c>
      <c r="J88">
        <f>I84</f>
        <v/>
      </c>
      <c r="K88">
        <f>J84</f>
        <v/>
      </c>
      <c r="L88">
        <f>K84</f>
        <v/>
      </c>
      <c r="M88">
        <f>L84</f>
        <v/>
      </c>
      <c r="N88">
        <f>M84</f>
        <v/>
      </c>
      <c r="O88">
        <f>N84</f>
        <v/>
      </c>
      <c r="P88">
        <f>O84</f>
        <v/>
      </c>
      <c r="Q88">
        <f>P84</f>
        <v/>
      </c>
      <c r="R88">
        <f>Q84</f>
        <v/>
      </c>
      <c r="S88">
        <f>R84</f>
        <v/>
      </c>
      <c r="T88">
        <f>S84</f>
        <v/>
      </c>
      <c r="U88">
        <f>T84</f>
        <v/>
      </c>
      <c r="V88">
        <f>U84</f>
        <v/>
      </c>
      <c r="W88">
        <f>V84</f>
        <v/>
      </c>
      <c r="X88">
        <f>W84</f>
        <v/>
      </c>
      <c r="Y88">
        <f>X84</f>
        <v/>
      </c>
      <c r="Z88">
        <f>Y84</f>
        <v/>
      </c>
    </row>
    <row r="89" collapsed="1" s="134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F85"/>
  <mergeCells count="9">
    <mergeCell ref="A34:E34"/>
    <mergeCell ref="A29:E29"/>
    <mergeCell ref="A4:E4"/>
    <mergeCell ref="A24:E24"/>
    <mergeCell ref="A37:E38"/>
    <mergeCell ref="A2:E2"/>
    <mergeCell ref="A11:E11"/>
    <mergeCell ref="A1:E1"/>
    <mergeCell ref="A18:E1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2026-04-15T14:12:42Z</dcterms:created>
  <dcterms:modified xmlns:dcterms="http://purl.org/dc/terms/" xmlns:xsi="http://www.w3.org/2001/XMLSchema-instance" xsi:type="dcterms:W3CDTF">2026-04-30T15:50:20Z</dcterms:modified>
  <cp:lastModifiedBy>Carlos Eduardo Rodrigues</cp:lastModifiedBy>
  <cp:revision>4</cp:revision>
</cp:coreProperties>
</file>
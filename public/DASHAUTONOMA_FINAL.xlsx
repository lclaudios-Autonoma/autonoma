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Cadu 1/AUTONOMA/autonoma_investidor/"/>
    </mc:Choice>
  </mc:AlternateContent>
  <xr:revisionPtr revIDLastSave="0" documentId="13_ncr:1_{C6680AEC-9796-1749-B4E0-29A3BB50E292}" xr6:coauthVersionLast="47" xr6:coauthVersionMax="47" xr10:uidLastSave="{00000000-0000-0000-0000-000000000000}"/>
  <bookViews>
    <workbookView xWindow="0" yWindow="500" windowWidth="33600" windowHeight="20500" tabRatio="500" xr2:uid="{00000000-000D-0000-FFFF-FFFF00000000}"/>
  </bookViews>
  <sheets>
    <sheet name="🚀 Dashboard Investidor" sheetId="1" r:id="rId1"/>
    <sheet name="💎 Resumo Anjo" sheetId="6" r:id="rId2"/>
    <sheet name="🔧 Cenário Ativo" sheetId="2" r:id="rId3"/>
    <sheet name="🎛️ Premissas" sheetId="3" r:id="rId4"/>
    <sheet name="📊 Base Mensal" sheetId="4" r:id="rId5"/>
    <sheet name="📊 Resumo Cenários" sheetId="5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0" i="6" l="1"/>
  <c r="D50" i="6" s="1"/>
  <c r="E50" i="6" s="1"/>
  <c r="F50" i="6" s="1"/>
  <c r="C49" i="6"/>
  <c r="D49" i="6" s="1"/>
  <c r="E49" i="6" s="1"/>
  <c r="F49" i="6" s="1"/>
  <c r="C48" i="6"/>
  <c r="D48" i="6" s="1"/>
  <c r="E48" i="6" s="1"/>
  <c r="F48" i="6" s="1"/>
  <c r="C47" i="6"/>
  <c r="D47" i="6" s="1"/>
  <c r="E47" i="6" s="1"/>
  <c r="F47" i="6" s="1"/>
  <c r="C46" i="6"/>
  <c r="D46" i="6" s="1"/>
  <c r="E46" i="6" s="1"/>
  <c r="F46" i="6" s="1"/>
  <c r="C45" i="6"/>
  <c r="D45" i="6" s="1"/>
  <c r="E45" i="6" s="1"/>
  <c r="F45" i="6" s="1"/>
  <c r="E44" i="6"/>
  <c r="F44" i="6" s="1"/>
  <c r="D44" i="6"/>
  <c r="C44" i="6"/>
  <c r="D30" i="6"/>
  <c r="C30" i="6"/>
  <c r="D29" i="6"/>
  <c r="D28" i="6"/>
  <c r="D27" i="6"/>
  <c r="D26" i="6"/>
  <c r="E23" i="6"/>
  <c r="D23" i="6"/>
  <c r="C23" i="6"/>
  <c r="E22" i="6"/>
  <c r="D22" i="6"/>
  <c r="C22" i="6"/>
  <c r="E21" i="6"/>
  <c r="D21" i="6"/>
  <c r="C21" i="6"/>
  <c r="C9" i="6"/>
  <c r="C8" i="6"/>
  <c r="C7" i="6"/>
  <c r="C6" i="6"/>
  <c r="Q76" i="5"/>
  <c r="Q64" i="5"/>
  <c r="Q52" i="5"/>
  <c r="Q53" i="5" s="1"/>
  <c r="P78" i="5"/>
  <c r="O78" i="5"/>
  <c r="N78" i="5"/>
  <c r="P77" i="5"/>
  <c r="O77" i="5"/>
  <c r="N77" i="5"/>
  <c r="P76" i="5"/>
  <c r="O76" i="5"/>
  <c r="N76" i="5"/>
  <c r="P66" i="5"/>
  <c r="O66" i="5"/>
  <c r="N66" i="5"/>
  <c r="P65" i="5"/>
  <c r="O65" i="5"/>
  <c r="N65" i="5"/>
  <c r="P64" i="5"/>
  <c r="O64" i="5"/>
  <c r="N64" i="5"/>
  <c r="P54" i="5"/>
  <c r="O54" i="5"/>
  <c r="N54" i="5"/>
  <c r="P53" i="5"/>
  <c r="O53" i="5"/>
  <c r="N53" i="5"/>
  <c r="P52" i="5"/>
  <c r="O52" i="5"/>
  <c r="N52" i="5"/>
  <c r="D14" i="5"/>
  <c r="C14" i="5"/>
  <c r="B14" i="5"/>
  <c r="O102" i="1"/>
  <c r="B81" i="5"/>
  <c r="C81" i="5"/>
  <c r="D81" i="5"/>
  <c r="E81" i="5"/>
  <c r="F81" i="5"/>
  <c r="G81" i="5"/>
  <c r="H81" i="5"/>
  <c r="I81" i="5"/>
  <c r="J81" i="5"/>
  <c r="K81" i="5"/>
  <c r="L81" i="5"/>
  <c r="M81" i="5"/>
  <c r="B69" i="5"/>
  <c r="C69" i="5"/>
  <c r="D69" i="5"/>
  <c r="E69" i="5"/>
  <c r="F69" i="5"/>
  <c r="G69" i="5"/>
  <c r="H69" i="5"/>
  <c r="I69" i="5"/>
  <c r="J69" i="5"/>
  <c r="K69" i="5"/>
  <c r="L69" i="5"/>
  <c r="M69" i="5"/>
  <c r="B57" i="5"/>
  <c r="C57" i="5"/>
  <c r="D57" i="5"/>
  <c r="E57" i="5"/>
  <c r="F57" i="5"/>
  <c r="G57" i="5"/>
  <c r="H57" i="5"/>
  <c r="I57" i="5"/>
  <c r="J57" i="5"/>
  <c r="K57" i="5"/>
  <c r="L57" i="5"/>
  <c r="M57" i="5"/>
  <c r="B88" i="5"/>
  <c r="B87" i="5"/>
  <c r="B86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B75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B63" i="5"/>
  <c r="B66" i="5" s="1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B51" i="5"/>
  <c r="B54" i="5" s="1"/>
  <c r="B56" i="2"/>
  <c r="D20" i="5"/>
  <c r="C20" i="5"/>
  <c r="B20" i="5"/>
  <c r="B58" i="3"/>
  <c r="C5" i="4"/>
  <c r="O77" i="1" s="1"/>
  <c r="C66" i="3"/>
  <c r="M105" i="1"/>
  <c r="M104" i="1"/>
  <c r="M103" i="1"/>
  <c r="B47" i="2"/>
  <c r="B45" i="2"/>
  <c r="B8" i="5"/>
  <c r="C8" i="5"/>
  <c r="D8" i="5"/>
  <c r="B5" i="1"/>
  <c r="D13" i="5"/>
  <c r="D15" i="5" s="1"/>
  <c r="C13" i="5"/>
  <c r="C15" i="5" s="1"/>
  <c r="B13" i="5"/>
  <c r="B15" i="5" s="1"/>
  <c r="D12" i="5"/>
  <c r="C12" i="5"/>
  <c r="B12" i="5"/>
  <c r="D10" i="5"/>
  <c r="C10" i="5"/>
  <c r="B10" i="5"/>
  <c r="D9" i="5"/>
  <c r="C9" i="5"/>
  <c r="B9" i="5"/>
  <c r="D7" i="5"/>
  <c r="C7" i="5"/>
  <c r="B7" i="5"/>
  <c r="D6" i="5"/>
  <c r="C6" i="5"/>
  <c r="B6" i="5"/>
  <c r="D5" i="5"/>
  <c r="C5" i="5"/>
  <c r="B5" i="5"/>
  <c r="C2" i="4"/>
  <c r="B44" i="2"/>
  <c r="A50" i="1" s="1"/>
  <c r="B42" i="2"/>
  <c r="B41" i="2"/>
  <c r="B40" i="2"/>
  <c r="B39" i="2"/>
  <c r="B38" i="2"/>
  <c r="B37" i="2"/>
  <c r="B36" i="2"/>
  <c r="B34" i="2"/>
  <c r="B33" i="2"/>
  <c r="B32" i="2"/>
  <c r="G50" i="1" s="1"/>
  <c r="B31" i="2"/>
  <c r="B30" i="2"/>
  <c r="B29" i="2"/>
  <c r="B28" i="2"/>
  <c r="B27" i="2"/>
  <c r="B25" i="2"/>
  <c r="B24" i="2"/>
  <c r="B23" i="2"/>
  <c r="B22" i="2"/>
  <c r="B21" i="2"/>
  <c r="B20" i="2"/>
  <c r="B19" i="2"/>
  <c r="B18" i="2"/>
  <c r="B17" i="2"/>
  <c r="B16" i="2"/>
  <c r="B15" i="2"/>
  <c r="B13" i="2"/>
  <c r="B12" i="2"/>
  <c r="B11" i="2"/>
  <c r="B10" i="2"/>
  <c r="B8" i="2"/>
  <c r="B7" i="2"/>
  <c r="B6" i="2"/>
  <c r="B3" i="2"/>
  <c r="C14" i="4" l="1"/>
  <c r="Q77" i="5"/>
  <c r="Q65" i="5"/>
  <c r="Q54" i="5"/>
  <c r="B51" i="2"/>
  <c r="B78" i="5"/>
  <c r="C75" i="5"/>
  <c r="B77" i="5"/>
  <c r="B76" i="5"/>
  <c r="B52" i="5"/>
  <c r="C63" i="5"/>
  <c r="B65" i="5"/>
  <c r="B53" i="5"/>
  <c r="C51" i="5"/>
  <c r="B64" i="5"/>
  <c r="B57" i="3"/>
  <c r="C16" i="5"/>
  <c r="D16" i="5"/>
  <c r="B16" i="5"/>
  <c r="B17" i="5"/>
  <c r="C17" i="5"/>
  <c r="D17" i="5"/>
  <c r="C7" i="4"/>
  <c r="S77" i="1" s="1"/>
  <c r="C6" i="4"/>
  <c r="R77" i="1" s="1"/>
  <c r="C8" i="4"/>
  <c r="T77" i="1" s="1"/>
  <c r="D5" i="4"/>
  <c r="D14" i="4" s="1"/>
  <c r="B49" i="2"/>
  <c r="B50" i="2" s="1"/>
  <c r="B54" i="2" s="1"/>
  <c r="A8" i="1" s="1"/>
  <c r="M20" i="4"/>
  <c r="V87" i="1" s="1"/>
  <c r="Y20" i="4"/>
  <c r="V99" i="1" s="1"/>
  <c r="E20" i="4"/>
  <c r="V79" i="1" s="1"/>
  <c r="U20" i="4"/>
  <c r="V95" i="1" s="1"/>
  <c r="G20" i="4"/>
  <c r="V81" i="1" s="1"/>
  <c r="W20" i="4"/>
  <c r="V97" i="1" s="1"/>
  <c r="I20" i="4"/>
  <c r="V83" i="1" s="1"/>
  <c r="L20" i="4"/>
  <c r="V86" i="1" s="1"/>
  <c r="N20" i="4"/>
  <c r="V88" i="1" s="1"/>
  <c r="F20" i="4"/>
  <c r="V80" i="1" s="1"/>
  <c r="K20" i="4"/>
  <c r="V85" i="1" s="1"/>
  <c r="C20" i="4"/>
  <c r="V77" i="1" s="1"/>
  <c r="J20" i="4"/>
  <c r="V84" i="1" s="1"/>
  <c r="H20" i="4"/>
  <c r="V82" i="1" s="1"/>
  <c r="V20" i="4"/>
  <c r="V96" i="1" s="1"/>
  <c r="S20" i="4"/>
  <c r="V93" i="1" s="1"/>
  <c r="Z20" i="4"/>
  <c r="V100" i="1" s="1"/>
  <c r="R20" i="4"/>
  <c r="V92" i="1" s="1"/>
  <c r="X20" i="4"/>
  <c r="V98" i="1" s="1"/>
  <c r="P20" i="4"/>
  <c r="V90" i="1" s="1"/>
  <c r="O20" i="4"/>
  <c r="V89" i="1" s="1"/>
  <c r="Q20" i="4"/>
  <c r="V91" i="1" s="1"/>
  <c r="D20" i="4"/>
  <c r="V78" i="1" s="1"/>
  <c r="T20" i="4"/>
  <c r="V94" i="1" s="1"/>
  <c r="Q78" i="5" l="1"/>
  <c r="Q66" i="5"/>
  <c r="C66" i="5"/>
  <c r="D63" i="5"/>
  <c r="C65" i="5"/>
  <c r="C64" i="5"/>
  <c r="B80" i="5"/>
  <c r="B79" i="5"/>
  <c r="C78" i="5"/>
  <c r="D75" i="5"/>
  <c r="C77" i="5"/>
  <c r="C76" i="5"/>
  <c r="B55" i="5"/>
  <c r="B56" i="5"/>
  <c r="B68" i="5"/>
  <c r="B67" i="5"/>
  <c r="D51" i="5"/>
  <c r="C53" i="5"/>
  <c r="C52" i="5"/>
  <c r="C54" i="5"/>
  <c r="E5" i="4"/>
  <c r="O78" i="1"/>
  <c r="D7" i="4"/>
  <c r="S78" i="1" s="1"/>
  <c r="D8" i="4"/>
  <c r="T78" i="1" s="1"/>
  <c r="D6" i="4"/>
  <c r="R78" i="1" s="1"/>
  <c r="B52" i="2"/>
  <c r="C15" i="4"/>
  <c r="O79" i="1" l="1"/>
  <c r="E14" i="4"/>
  <c r="B71" i="5"/>
  <c r="B72" i="5" s="1"/>
  <c r="C87" i="5" s="1"/>
  <c r="B59" i="5"/>
  <c r="B60" i="5" s="1"/>
  <c r="C86" i="5" s="1"/>
  <c r="C55" i="5"/>
  <c r="C56" i="5"/>
  <c r="B83" i="5"/>
  <c r="B84" i="5" s="1"/>
  <c r="C88" i="5" s="1"/>
  <c r="C68" i="5"/>
  <c r="C67" i="5"/>
  <c r="D66" i="5"/>
  <c r="D64" i="5"/>
  <c r="D65" i="5"/>
  <c r="E63" i="5"/>
  <c r="C80" i="5"/>
  <c r="C79" i="5"/>
  <c r="D52" i="5"/>
  <c r="E51" i="5"/>
  <c r="D53" i="5"/>
  <c r="D54" i="5"/>
  <c r="D78" i="5"/>
  <c r="E75" i="5"/>
  <c r="D77" i="5"/>
  <c r="D76" i="5"/>
  <c r="E6" i="4"/>
  <c r="R79" i="1" s="1"/>
  <c r="E8" i="4"/>
  <c r="T79" i="1" s="1"/>
  <c r="E7" i="4"/>
  <c r="S79" i="1" s="1"/>
  <c r="F5" i="4"/>
  <c r="D9" i="4"/>
  <c r="N78" i="1" s="1"/>
  <c r="B53" i="2"/>
  <c r="E50" i="1" s="1"/>
  <c r="E51" i="1" s="1"/>
  <c r="C50" i="1"/>
  <c r="C16" i="4"/>
  <c r="O80" i="1" l="1"/>
  <c r="F14" i="4"/>
  <c r="E76" i="5"/>
  <c r="F75" i="5"/>
  <c r="E78" i="5"/>
  <c r="E77" i="5"/>
  <c r="C83" i="5"/>
  <c r="C84" i="5" s="1"/>
  <c r="D88" i="5" s="1"/>
  <c r="E64" i="5"/>
  <c r="E66" i="5"/>
  <c r="E65" i="5"/>
  <c r="F63" i="5"/>
  <c r="C59" i="5"/>
  <c r="C60" i="5" s="1"/>
  <c r="D86" i="5" s="1"/>
  <c r="E53" i="5"/>
  <c r="E54" i="5"/>
  <c r="F51" i="5"/>
  <c r="E52" i="5"/>
  <c r="D67" i="5"/>
  <c r="D68" i="5"/>
  <c r="D56" i="5"/>
  <c r="D55" i="5"/>
  <c r="D80" i="5"/>
  <c r="D79" i="5"/>
  <c r="C71" i="5"/>
  <c r="C72" i="5" s="1"/>
  <c r="D87" i="5" s="1"/>
  <c r="G5" i="4"/>
  <c r="E9" i="4"/>
  <c r="N79" i="1" s="1"/>
  <c r="F6" i="4"/>
  <c r="R80" i="1" s="1"/>
  <c r="F8" i="4"/>
  <c r="T80" i="1" s="1"/>
  <c r="F7" i="4"/>
  <c r="S80" i="1" s="1"/>
  <c r="C17" i="4"/>
  <c r="C18" i="4" s="1"/>
  <c r="C9" i="4"/>
  <c r="N77" i="1" s="1"/>
  <c r="C11" i="4"/>
  <c r="O81" i="1" l="1"/>
  <c r="G14" i="4"/>
  <c r="G8" i="4"/>
  <c r="T81" i="1" s="1"/>
  <c r="E67" i="5"/>
  <c r="E68" i="5"/>
  <c r="F78" i="5"/>
  <c r="G75" i="5"/>
  <c r="F77" i="5"/>
  <c r="F76" i="5"/>
  <c r="D83" i="5"/>
  <c r="D84" i="5" s="1"/>
  <c r="E88" i="5" s="1"/>
  <c r="D59" i="5"/>
  <c r="D60" i="5" s="1"/>
  <c r="E86" i="5" s="1"/>
  <c r="G51" i="5"/>
  <c r="F54" i="5"/>
  <c r="F53" i="5"/>
  <c r="F52" i="5"/>
  <c r="D71" i="5"/>
  <c r="D72" i="5" s="1"/>
  <c r="E87" i="5" s="1"/>
  <c r="G63" i="5"/>
  <c r="F65" i="5"/>
  <c r="F66" i="5"/>
  <c r="F64" i="5"/>
  <c r="E56" i="5"/>
  <c r="E55" i="5"/>
  <c r="E80" i="5"/>
  <c r="E79" i="5"/>
  <c r="G6" i="4"/>
  <c r="R81" i="1" s="1"/>
  <c r="H5" i="4"/>
  <c r="G7" i="4"/>
  <c r="S81" i="1" s="1"/>
  <c r="M77" i="1"/>
  <c r="C21" i="4"/>
  <c r="C23" i="4" s="1"/>
  <c r="C24" i="4" s="1"/>
  <c r="P77" i="1" s="1"/>
  <c r="U77" i="1"/>
  <c r="C12" i="4"/>
  <c r="C26" i="4"/>
  <c r="W77" i="1" s="1"/>
  <c r="O82" i="1" l="1"/>
  <c r="H14" i="4"/>
  <c r="E59" i="5"/>
  <c r="E60" i="5" s="1"/>
  <c r="F86" i="5" s="1"/>
  <c r="F55" i="5"/>
  <c r="F56" i="5"/>
  <c r="G78" i="5"/>
  <c r="H75" i="5"/>
  <c r="G77" i="5"/>
  <c r="G76" i="5"/>
  <c r="F68" i="5"/>
  <c r="F67" i="5"/>
  <c r="H51" i="5"/>
  <c r="G53" i="5"/>
  <c r="G54" i="5"/>
  <c r="G52" i="5"/>
  <c r="F80" i="5"/>
  <c r="F79" i="5"/>
  <c r="E83" i="5"/>
  <c r="E84" i="5" s="1"/>
  <c r="F88" i="5" s="1"/>
  <c r="G66" i="5"/>
  <c r="H63" i="5"/>
  <c r="G65" i="5"/>
  <c r="G64" i="5"/>
  <c r="E71" i="5"/>
  <c r="E72" i="5" s="1"/>
  <c r="F87" i="5" s="1"/>
  <c r="H8" i="4"/>
  <c r="T82" i="1" s="1"/>
  <c r="H7" i="4"/>
  <c r="S82" i="1" s="1"/>
  <c r="H6" i="4"/>
  <c r="R82" i="1" s="1"/>
  <c r="I5" i="4"/>
  <c r="D15" i="4"/>
  <c r="C25" i="4"/>
  <c r="Q77" i="1" s="1"/>
  <c r="O83" i="1" l="1"/>
  <c r="I14" i="4"/>
  <c r="I6" i="4"/>
  <c r="R83" i="1" s="1"/>
  <c r="J5" i="4"/>
  <c r="F59" i="5"/>
  <c r="F60" i="5" s="1"/>
  <c r="G86" i="5" s="1"/>
  <c r="H66" i="5"/>
  <c r="H64" i="5"/>
  <c r="H65" i="5"/>
  <c r="I63" i="5"/>
  <c r="G80" i="5"/>
  <c r="G79" i="5"/>
  <c r="H78" i="5"/>
  <c r="I75" i="5"/>
  <c r="H77" i="5"/>
  <c r="H76" i="5"/>
  <c r="H54" i="5"/>
  <c r="H53" i="5"/>
  <c r="H52" i="5"/>
  <c r="I51" i="5"/>
  <c r="G68" i="5"/>
  <c r="G67" i="5"/>
  <c r="F83" i="5"/>
  <c r="F84" i="5" s="1"/>
  <c r="G88" i="5" s="1"/>
  <c r="F71" i="5"/>
  <c r="F72" i="5" s="1"/>
  <c r="G87" i="5" s="1"/>
  <c r="G56" i="5"/>
  <c r="G55" i="5"/>
  <c r="I8" i="4"/>
  <c r="T83" i="1" s="1"/>
  <c r="I7" i="4"/>
  <c r="S83" i="1" s="1"/>
  <c r="D16" i="4"/>
  <c r="O84" i="1" l="1"/>
  <c r="J14" i="4"/>
  <c r="J8" i="4"/>
  <c r="T84" i="1" s="1"/>
  <c r="J6" i="4"/>
  <c r="R84" i="1" s="1"/>
  <c r="K5" i="4"/>
  <c r="J7" i="4"/>
  <c r="S84" i="1" s="1"/>
  <c r="H80" i="5"/>
  <c r="H79" i="5"/>
  <c r="G71" i="5"/>
  <c r="G72" i="5" s="1"/>
  <c r="H87" i="5" s="1"/>
  <c r="H67" i="5"/>
  <c r="H68" i="5"/>
  <c r="G59" i="5"/>
  <c r="G60" i="5" s="1"/>
  <c r="H86" i="5" s="1"/>
  <c r="I54" i="5"/>
  <c r="I53" i="5"/>
  <c r="I52" i="5"/>
  <c r="J51" i="5"/>
  <c r="I76" i="5"/>
  <c r="I77" i="5"/>
  <c r="J75" i="5"/>
  <c r="I78" i="5"/>
  <c r="G83" i="5"/>
  <c r="G84" i="5" s="1"/>
  <c r="H88" i="5" s="1"/>
  <c r="I64" i="5"/>
  <c r="J63" i="5"/>
  <c r="I66" i="5"/>
  <c r="I65" i="5"/>
  <c r="H56" i="5"/>
  <c r="H55" i="5"/>
  <c r="D17" i="4"/>
  <c r="D18" i="4" s="1"/>
  <c r="D11" i="4"/>
  <c r="O85" i="1" l="1"/>
  <c r="K14" i="4"/>
  <c r="K8" i="4"/>
  <c r="T85" i="1" s="1"/>
  <c r="L5" i="4"/>
  <c r="K6" i="4"/>
  <c r="R85" i="1" s="1"/>
  <c r="K7" i="4"/>
  <c r="S85" i="1" s="1"/>
  <c r="K63" i="5"/>
  <c r="J65" i="5"/>
  <c r="J64" i="5"/>
  <c r="J66" i="5"/>
  <c r="I80" i="5"/>
  <c r="I79" i="5"/>
  <c r="H71" i="5"/>
  <c r="H72" i="5" s="1"/>
  <c r="I87" i="5" s="1"/>
  <c r="I67" i="5"/>
  <c r="I68" i="5"/>
  <c r="I55" i="5"/>
  <c r="I56" i="5"/>
  <c r="K51" i="5"/>
  <c r="J53" i="5"/>
  <c r="J54" i="5"/>
  <c r="J52" i="5"/>
  <c r="H59" i="5"/>
  <c r="H60" i="5" s="1"/>
  <c r="I86" i="5" s="1"/>
  <c r="J78" i="5"/>
  <c r="K75" i="5"/>
  <c r="J77" i="5"/>
  <c r="J76" i="5"/>
  <c r="H83" i="5"/>
  <c r="H84" i="5" s="1"/>
  <c r="I88" i="5" s="1"/>
  <c r="M78" i="1"/>
  <c r="D21" i="4"/>
  <c r="D23" i="4" s="1"/>
  <c r="D24" i="4" s="1"/>
  <c r="P78" i="1" s="1"/>
  <c r="U78" i="1"/>
  <c r="L7" i="4"/>
  <c r="S86" i="1" s="1"/>
  <c r="M5" i="4"/>
  <c r="D26" i="4"/>
  <c r="W78" i="1" s="1"/>
  <c r="D12" i="4"/>
  <c r="O87" i="1" l="1"/>
  <c r="M14" i="4"/>
  <c r="O86" i="1"/>
  <c r="L14" i="4"/>
  <c r="L6" i="4"/>
  <c r="R86" i="1" s="1"/>
  <c r="L8" i="4"/>
  <c r="T86" i="1" s="1"/>
  <c r="L51" i="5"/>
  <c r="K53" i="5"/>
  <c r="K52" i="5"/>
  <c r="K54" i="5"/>
  <c r="I83" i="5"/>
  <c r="I84" i="5" s="1"/>
  <c r="J88" i="5" s="1"/>
  <c r="K78" i="5"/>
  <c r="L75" i="5"/>
  <c r="K77" i="5"/>
  <c r="K76" i="5"/>
  <c r="I59" i="5"/>
  <c r="I60" i="5" s="1"/>
  <c r="J86" i="5" s="1"/>
  <c r="J68" i="5"/>
  <c r="J67" i="5"/>
  <c r="K66" i="5"/>
  <c r="L63" i="5"/>
  <c r="K65" i="5"/>
  <c r="K64" i="5"/>
  <c r="I71" i="5"/>
  <c r="I72" i="5" s="1"/>
  <c r="J87" i="5" s="1"/>
  <c r="J55" i="5"/>
  <c r="J56" i="5"/>
  <c r="J80" i="5"/>
  <c r="J79" i="5"/>
  <c r="M6" i="4"/>
  <c r="R87" i="1" s="1"/>
  <c r="M7" i="4"/>
  <c r="S87" i="1" s="1"/>
  <c r="M8" i="4"/>
  <c r="T87" i="1" s="1"/>
  <c r="N5" i="4"/>
  <c r="N14" i="4" s="1"/>
  <c r="E15" i="4"/>
  <c r="D25" i="4"/>
  <c r="Q78" i="1" s="1"/>
  <c r="K68" i="5" l="1"/>
  <c r="K67" i="5"/>
  <c r="J71" i="5"/>
  <c r="J72" i="5" s="1"/>
  <c r="K87" i="5" s="1"/>
  <c r="K80" i="5"/>
  <c r="K79" i="5"/>
  <c r="K56" i="5"/>
  <c r="K55" i="5"/>
  <c r="J83" i="5"/>
  <c r="J84" i="5" s="1"/>
  <c r="K88" i="5" s="1"/>
  <c r="L66" i="5"/>
  <c r="M63" i="5"/>
  <c r="L65" i="5"/>
  <c r="L64" i="5"/>
  <c r="J59" i="5"/>
  <c r="J60" i="5" s="1"/>
  <c r="K86" i="5" s="1"/>
  <c r="L78" i="5"/>
  <c r="M75" i="5"/>
  <c r="L77" i="5"/>
  <c r="L76" i="5"/>
  <c r="L54" i="5"/>
  <c r="L52" i="5"/>
  <c r="L53" i="5"/>
  <c r="M51" i="5"/>
  <c r="O5" i="4"/>
  <c r="O14" i="4" s="1"/>
  <c r="O88" i="1"/>
  <c r="E16" i="4"/>
  <c r="E11" i="4"/>
  <c r="K59" i="5" l="1"/>
  <c r="K60" i="5" s="1"/>
  <c r="L86" i="5" s="1"/>
  <c r="L80" i="5"/>
  <c r="L79" i="5"/>
  <c r="K83" i="5"/>
  <c r="K84" i="5" s="1"/>
  <c r="L88" i="5" s="1"/>
  <c r="M64" i="5"/>
  <c r="M66" i="5"/>
  <c r="M65" i="5"/>
  <c r="N63" i="5"/>
  <c r="L68" i="5"/>
  <c r="L67" i="5"/>
  <c r="M52" i="5"/>
  <c r="M54" i="5"/>
  <c r="M53" i="5"/>
  <c r="N51" i="5"/>
  <c r="M76" i="5"/>
  <c r="M78" i="5"/>
  <c r="N75" i="5"/>
  <c r="M77" i="5"/>
  <c r="L55" i="5"/>
  <c r="L56" i="5"/>
  <c r="K71" i="5"/>
  <c r="K72" i="5" s="1"/>
  <c r="L87" i="5" s="1"/>
  <c r="M79" i="1"/>
  <c r="E21" i="4"/>
  <c r="P5" i="4"/>
  <c r="P14" i="4" s="1"/>
  <c r="O89" i="1"/>
  <c r="E12" i="4"/>
  <c r="E17" i="4"/>
  <c r="E18" i="4" s="1"/>
  <c r="M67" i="5" l="1"/>
  <c r="M68" i="5"/>
  <c r="O75" i="5"/>
  <c r="M55" i="5"/>
  <c r="M56" i="5"/>
  <c r="O63" i="5"/>
  <c r="M80" i="5"/>
  <c r="M79" i="5"/>
  <c r="D28" i="5" s="1"/>
  <c r="L83" i="5"/>
  <c r="L84" i="5" s="1"/>
  <c r="M88" i="5" s="1"/>
  <c r="L71" i="5"/>
  <c r="L72" i="5" s="1"/>
  <c r="M87" i="5" s="1"/>
  <c r="O51" i="5"/>
  <c r="L59" i="5"/>
  <c r="L60" i="5" s="1"/>
  <c r="M86" i="5" s="1"/>
  <c r="U79" i="1"/>
  <c r="E23" i="4"/>
  <c r="E24" i="4" s="1"/>
  <c r="P79" i="1" s="1"/>
  <c r="Q5" i="4"/>
  <c r="Q14" i="4" s="1"/>
  <c r="O90" i="1"/>
  <c r="E26" i="4"/>
  <c r="W79" i="1" s="1"/>
  <c r="D25" i="5" l="1"/>
  <c r="D26" i="5"/>
  <c r="B26" i="5"/>
  <c r="B25" i="5"/>
  <c r="B28" i="5"/>
  <c r="C26" i="5"/>
  <c r="C25" i="5"/>
  <c r="C28" i="5"/>
  <c r="M59" i="5"/>
  <c r="M60" i="5" s="1"/>
  <c r="P75" i="5"/>
  <c r="P51" i="5"/>
  <c r="M83" i="5"/>
  <c r="M84" i="5" s="1"/>
  <c r="P63" i="5"/>
  <c r="M71" i="5"/>
  <c r="M72" i="5" s="1"/>
  <c r="R5" i="4"/>
  <c r="R14" i="4" s="1"/>
  <c r="O91" i="1"/>
  <c r="F9" i="4"/>
  <c r="N80" i="1" s="1"/>
  <c r="F15" i="4"/>
  <c r="E25" i="4"/>
  <c r="Q79" i="1" s="1"/>
  <c r="N68" i="5" l="1"/>
  <c r="N71" i="5" s="1"/>
  <c r="N55" i="5"/>
  <c r="D27" i="5"/>
  <c r="N88" i="5"/>
  <c r="B27" i="5"/>
  <c r="N86" i="5"/>
  <c r="C27" i="5"/>
  <c r="N87" i="5"/>
  <c r="Q63" i="5"/>
  <c r="Q51" i="5"/>
  <c r="N81" i="5"/>
  <c r="Q75" i="5"/>
  <c r="S5" i="4"/>
  <c r="S14" i="4" s="1"/>
  <c r="O92" i="1"/>
  <c r="F16" i="4"/>
  <c r="N67" i="5" l="1"/>
  <c r="N69" i="5"/>
  <c r="N72" i="5" s="1"/>
  <c r="O87" i="5" s="1"/>
  <c r="N57" i="5"/>
  <c r="O69" i="5"/>
  <c r="N56" i="5"/>
  <c r="N59" i="5" s="1"/>
  <c r="N80" i="5"/>
  <c r="R63" i="5"/>
  <c r="N79" i="5"/>
  <c r="R51" i="5"/>
  <c r="R75" i="5"/>
  <c r="T5" i="4"/>
  <c r="T14" i="4" s="1"/>
  <c r="O93" i="1"/>
  <c r="F17" i="4"/>
  <c r="F18" i="4" s="1"/>
  <c r="F11" i="4"/>
  <c r="F12" i="4" s="1"/>
  <c r="N60" i="5" l="1"/>
  <c r="O86" i="5" s="1"/>
  <c r="O67" i="5"/>
  <c r="O68" i="5"/>
  <c r="O71" i="5" s="1"/>
  <c r="O72" i="5" s="1"/>
  <c r="P87" i="5" s="1"/>
  <c r="O55" i="5"/>
  <c r="N83" i="5"/>
  <c r="N84" i="5" s="1"/>
  <c r="O88" i="5" s="1"/>
  <c r="S51" i="5"/>
  <c r="S75" i="5"/>
  <c r="S63" i="5"/>
  <c r="M80" i="1"/>
  <c r="F21" i="4"/>
  <c r="F23" i="4" s="1"/>
  <c r="F24" i="4" s="1"/>
  <c r="P80" i="1" s="1"/>
  <c r="U80" i="1"/>
  <c r="U5" i="4"/>
  <c r="U14" i="4" s="1"/>
  <c r="O94" i="1"/>
  <c r="F26" i="4"/>
  <c r="W80" i="1" s="1"/>
  <c r="O57" i="5" l="1"/>
  <c r="P68" i="5"/>
  <c r="P71" i="5" s="1"/>
  <c r="P56" i="5"/>
  <c r="O56" i="5"/>
  <c r="O59" i="5" s="1"/>
  <c r="O79" i="5"/>
  <c r="T51" i="5"/>
  <c r="T63" i="5"/>
  <c r="T75" i="5"/>
  <c r="V5" i="4"/>
  <c r="V14" i="4" s="1"/>
  <c r="O95" i="1"/>
  <c r="G9" i="4"/>
  <c r="N81" i="1" s="1"/>
  <c r="F25" i="4"/>
  <c r="Q80" i="1" s="1"/>
  <c r="G15" i="4"/>
  <c r="P69" i="5" l="1"/>
  <c r="P72" i="5" s="1"/>
  <c r="Q87" i="5" s="1"/>
  <c r="P55" i="5"/>
  <c r="Q57" i="5" s="1"/>
  <c r="O81" i="5"/>
  <c r="P67" i="5"/>
  <c r="P57" i="5"/>
  <c r="O60" i="5"/>
  <c r="P86" i="5" s="1"/>
  <c r="O80" i="5"/>
  <c r="O83" i="5" s="1"/>
  <c r="U75" i="5"/>
  <c r="U63" i="5"/>
  <c r="P59" i="5"/>
  <c r="U51" i="5"/>
  <c r="W5" i="4"/>
  <c r="W14" i="4" s="1"/>
  <c r="O96" i="1"/>
  <c r="G16" i="4"/>
  <c r="G11" i="4"/>
  <c r="G12" i="4" s="1"/>
  <c r="P60" i="5" l="1"/>
  <c r="Q86" i="5" s="1"/>
  <c r="Q56" i="5"/>
  <c r="Q55" i="5"/>
  <c r="R52" i="5" s="1"/>
  <c r="O84" i="5"/>
  <c r="P88" i="5" s="1"/>
  <c r="V63" i="5"/>
  <c r="Q59" i="5"/>
  <c r="Q60" i="5" s="1"/>
  <c r="R86" i="5" s="1"/>
  <c r="V51" i="5"/>
  <c r="P81" i="5"/>
  <c r="V75" i="5"/>
  <c r="M81" i="1"/>
  <c r="G21" i="4"/>
  <c r="X5" i="4"/>
  <c r="X14" i="4" s="1"/>
  <c r="O97" i="1"/>
  <c r="G17" i="4"/>
  <c r="G18" i="4" s="1"/>
  <c r="R53" i="5" l="1"/>
  <c r="Q67" i="5"/>
  <c r="R64" i="5" s="1"/>
  <c r="Q69" i="5"/>
  <c r="Q68" i="5"/>
  <c r="Q71" i="5" s="1"/>
  <c r="P79" i="5"/>
  <c r="P80" i="5"/>
  <c r="W75" i="5"/>
  <c r="W63" i="5"/>
  <c r="W51" i="5"/>
  <c r="U81" i="1"/>
  <c r="G23" i="4"/>
  <c r="G24" i="4" s="1"/>
  <c r="P81" i="1" s="1"/>
  <c r="Y5" i="4"/>
  <c r="Y14" i="4" s="1"/>
  <c r="O98" i="1"/>
  <c r="G26" i="4"/>
  <c r="W81" i="1" s="1"/>
  <c r="R65" i="5" l="1"/>
  <c r="R54" i="5"/>
  <c r="R55" i="5" s="1"/>
  <c r="S52" i="5" s="1"/>
  <c r="Q72" i="5"/>
  <c r="R87" i="5" s="1"/>
  <c r="P83" i="5"/>
  <c r="P84" i="5" s="1"/>
  <c r="Q88" i="5" s="1"/>
  <c r="X63" i="5"/>
  <c r="X51" i="5"/>
  <c r="X75" i="5"/>
  <c r="Z5" i="4"/>
  <c r="O99" i="1"/>
  <c r="H16" i="4"/>
  <c r="G25" i="4"/>
  <c r="Q81" i="1" s="1"/>
  <c r="O100" i="1" l="1"/>
  <c r="Z14" i="4"/>
  <c r="R66" i="5"/>
  <c r="S53" i="5"/>
  <c r="R56" i="5"/>
  <c r="R59" i="5" s="1"/>
  <c r="R67" i="5"/>
  <c r="S64" i="5" s="1"/>
  <c r="R68" i="5"/>
  <c r="R71" i="5" s="1"/>
  <c r="R57" i="5"/>
  <c r="Y51" i="5"/>
  <c r="Y63" i="5"/>
  <c r="Y75" i="5"/>
  <c r="Q81" i="5"/>
  <c r="H15" i="4"/>
  <c r="H9" i="4"/>
  <c r="N82" i="1" s="1"/>
  <c r="R69" i="5" l="1"/>
  <c r="R72" i="5" s="1"/>
  <c r="S87" i="5" s="1"/>
  <c r="S65" i="5"/>
  <c r="S54" i="5"/>
  <c r="R60" i="5"/>
  <c r="S86" i="5" s="1"/>
  <c r="Q80" i="5"/>
  <c r="Q79" i="5"/>
  <c r="R76" i="5" s="1"/>
  <c r="H11" i="4"/>
  <c r="H12" i="4" s="1"/>
  <c r="H17" i="4"/>
  <c r="H18" i="4" s="1"/>
  <c r="R77" i="5" l="1"/>
  <c r="S66" i="5"/>
  <c r="S69" i="5"/>
  <c r="S56" i="5"/>
  <c r="S59" i="5" s="1"/>
  <c r="S55" i="5"/>
  <c r="T52" i="5" s="1"/>
  <c r="S57" i="5"/>
  <c r="S60" i="5" s="1"/>
  <c r="T86" i="5" s="1"/>
  <c r="Q83" i="5"/>
  <c r="Q84" i="5" s="1"/>
  <c r="R88" i="5" s="1"/>
  <c r="S68" i="5"/>
  <c r="M82" i="1"/>
  <c r="H21" i="4"/>
  <c r="H23" i="4" s="1"/>
  <c r="H24" i="4" s="1"/>
  <c r="U82" i="1"/>
  <c r="I9" i="4"/>
  <c r="N83" i="1" s="1"/>
  <c r="H26" i="4"/>
  <c r="W82" i="1" s="1"/>
  <c r="I15" i="4"/>
  <c r="R78" i="5" l="1"/>
  <c r="R79" i="5" s="1"/>
  <c r="S76" i="5" s="1"/>
  <c r="S67" i="5"/>
  <c r="T64" i="5" s="1"/>
  <c r="T53" i="5"/>
  <c r="S71" i="5"/>
  <c r="S72" i="5" s="1"/>
  <c r="T87" i="5" s="1"/>
  <c r="P82" i="1"/>
  <c r="H25" i="4"/>
  <c r="Q82" i="1" s="1"/>
  <c r="I16" i="4"/>
  <c r="S77" i="5" l="1"/>
  <c r="S78" i="5"/>
  <c r="T65" i="5"/>
  <c r="T54" i="5"/>
  <c r="T55" i="5" s="1"/>
  <c r="U52" i="5" s="1"/>
  <c r="R81" i="5"/>
  <c r="R80" i="5"/>
  <c r="I17" i="4"/>
  <c r="I18" i="4" s="1"/>
  <c r="I11" i="4"/>
  <c r="T66" i="5" l="1"/>
  <c r="T67" i="5" s="1"/>
  <c r="U64" i="5" s="1"/>
  <c r="U53" i="5"/>
  <c r="U54" i="5" s="1"/>
  <c r="T56" i="5"/>
  <c r="T57" i="5"/>
  <c r="T68" i="5"/>
  <c r="R83" i="5"/>
  <c r="R84" i="5" s="1"/>
  <c r="S88" i="5" s="1"/>
  <c r="S81" i="5"/>
  <c r="M83" i="1"/>
  <c r="I21" i="4"/>
  <c r="I23" i="4" s="1"/>
  <c r="I24" i="4" s="1"/>
  <c r="U83" i="1"/>
  <c r="I26" i="4"/>
  <c r="W83" i="1" s="1"/>
  <c r="I12" i="4"/>
  <c r="U65" i="5" l="1"/>
  <c r="U66" i="5" s="1"/>
  <c r="T69" i="5"/>
  <c r="U57" i="5"/>
  <c r="U55" i="5"/>
  <c r="V52" i="5" s="1"/>
  <c r="U56" i="5"/>
  <c r="U59" i="5" s="1"/>
  <c r="T59" i="5"/>
  <c r="T60" i="5"/>
  <c r="U86" i="5" s="1"/>
  <c r="T71" i="5"/>
  <c r="S80" i="5"/>
  <c r="S79" i="5"/>
  <c r="T76" i="5" s="1"/>
  <c r="P83" i="1"/>
  <c r="J9" i="4"/>
  <c r="N84" i="1" s="1"/>
  <c r="I25" i="4"/>
  <c r="J15" i="4"/>
  <c r="U60" i="5" l="1"/>
  <c r="V86" i="5" s="1"/>
  <c r="T77" i="5"/>
  <c r="T72" i="5"/>
  <c r="U87" i="5" s="1"/>
  <c r="V53" i="5"/>
  <c r="U67" i="5"/>
  <c r="V64" i="5" s="1"/>
  <c r="S83" i="5"/>
  <c r="S84" i="5" s="1"/>
  <c r="T88" i="5" s="1"/>
  <c r="Q83" i="1"/>
  <c r="J16" i="4"/>
  <c r="T78" i="5" l="1"/>
  <c r="V65" i="5"/>
  <c r="V54" i="5"/>
  <c r="V55" i="5" s="1"/>
  <c r="W52" i="5" s="1"/>
  <c r="U69" i="5"/>
  <c r="U68" i="5"/>
  <c r="U71" i="5" s="1"/>
  <c r="J17" i="4"/>
  <c r="J18" i="4" s="1"/>
  <c r="J11" i="4"/>
  <c r="T81" i="5" l="1"/>
  <c r="V66" i="5"/>
  <c r="V67" i="5" s="1"/>
  <c r="W64" i="5" s="1"/>
  <c r="W53" i="5"/>
  <c r="V56" i="5"/>
  <c r="V57" i="5"/>
  <c r="V69" i="5"/>
  <c r="U72" i="5"/>
  <c r="V87" i="5" s="1"/>
  <c r="T80" i="5"/>
  <c r="T79" i="5"/>
  <c r="U76" i="5" s="1"/>
  <c r="M84" i="1"/>
  <c r="J21" i="4"/>
  <c r="J23" i="4" s="1"/>
  <c r="J24" i="4" s="1"/>
  <c r="U84" i="1"/>
  <c r="J26" i="4"/>
  <c r="W84" i="1" s="1"/>
  <c r="J12" i="4"/>
  <c r="U77" i="5" l="1"/>
  <c r="V68" i="5"/>
  <c r="V71" i="5" s="1"/>
  <c r="W65" i="5"/>
  <c r="W57" i="5"/>
  <c r="W54" i="5"/>
  <c r="W55" i="5"/>
  <c r="X52" i="5" s="1"/>
  <c r="X53" i="5" s="1"/>
  <c r="V59" i="5"/>
  <c r="V60" i="5" s="1"/>
  <c r="W86" i="5" s="1"/>
  <c r="W56" i="5"/>
  <c r="W59" i="5" s="1"/>
  <c r="T83" i="5"/>
  <c r="T84" i="5" s="1"/>
  <c r="U88" i="5" s="1"/>
  <c r="P84" i="1"/>
  <c r="K9" i="4"/>
  <c r="N85" i="1" s="1"/>
  <c r="J25" i="4"/>
  <c r="K15" i="4"/>
  <c r="U78" i="5" l="1"/>
  <c r="V72" i="5"/>
  <c r="W87" i="5" s="1"/>
  <c r="W66" i="5"/>
  <c r="W67" i="5" s="1"/>
  <c r="X64" i="5" s="1"/>
  <c r="W60" i="5"/>
  <c r="X86" i="5" s="1"/>
  <c r="X54" i="5"/>
  <c r="W69" i="5"/>
  <c r="Q84" i="1"/>
  <c r="K16" i="4"/>
  <c r="U81" i="5" l="1"/>
  <c r="W68" i="5"/>
  <c r="W71" i="5" s="1"/>
  <c r="W72" i="5" s="1"/>
  <c r="X87" i="5" s="1"/>
  <c r="X65" i="5"/>
  <c r="X56" i="5"/>
  <c r="X59" i="5" s="1"/>
  <c r="X55" i="5"/>
  <c r="Y52" i="5" s="1"/>
  <c r="X57" i="5"/>
  <c r="U80" i="5"/>
  <c r="U79" i="5"/>
  <c r="V76" i="5" s="1"/>
  <c r="K17" i="4"/>
  <c r="K18" i="4" s="1"/>
  <c r="K11" i="4"/>
  <c r="V77" i="5" l="1"/>
  <c r="X66" i="5"/>
  <c r="Y53" i="5"/>
  <c r="X60" i="5"/>
  <c r="Y86" i="5" s="1"/>
  <c r="U83" i="5"/>
  <c r="U84" i="5" s="1"/>
  <c r="V88" i="5" s="1"/>
  <c r="X67" i="5"/>
  <c r="Y64" i="5" s="1"/>
  <c r="Y65" i="5" s="1"/>
  <c r="U85" i="1"/>
  <c r="M85" i="1"/>
  <c r="K21" i="4"/>
  <c r="K23" i="4" s="1"/>
  <c r="K24" i="4" s="1"/>
  <c r="L9" i="4"/>
  <c r="N86" i="1" s="1"/>
  <c r="L15" i="4"/>
  <c r="K26" i="4"/>
  <c r="W85" i="1" s="1"/>
  <c r="K12" i="4"/>
  <c r="V78" i="5" l="1"/>
  <c r="Y66" i="5"/>
  <c r="X69" i="5"/>
  <c r="X68" i="5"/>
  <c r="X71" i="5" s="1"/>
  <c r="Y54" i="5"/>
  <c r="Y57" i="5"/>
  <c r="V81" i="5"/>
  <c r="P85" i="1"/>
  <c r="L16" i="4"/>
  <c r="K25" i="4"/>
  <c r="X72" i="5" l="1"/>
  <c r="Y87" i="5" s="1"/>
  <c r="Y56" i="5"/>
  <c r="Y55" i="5"/>
  <c r="B33" i="5" s="1"/>
  <c r="Y69" i="5"/>
  <c r="V80" i="5"/>
  <c r="V79" i="5"/>
  <c r="W76" i="5" s="1"/>
  <c r="Y67" i="5"/>
  <c r="C33" i="5" s="1"/>
  <c r="Y68" i="5"/>
  <c r="Q85" i="1"/>
  <c r="L17" i="4"/>
  <c r="L18" i="4" s="1"/>
  <c r="L11" i="4"/>
  <c r="W77" i="5" l="1"/>
  <c r="Y59" i="5"/>
  <c r="Y60" i="5" s="1"/>
  <c r="B30" i="5"/>
  <c r="B19" i="5"/>
  <c r="B31" i="5"/>
  <c r="C30" i="5"/>
  <c r="C31" i="5"/>
  <c r="C19" i="5"/>
  <c r="Y71" i="5"/>
  <c r="Y72" i="5" s="1"/>
  <c r="V83" i="5"/>
  <c r="V84" i="5" s="1"/>
  <c r="W88" i="5" s="1"/>
  <c r="M86" i="1"/>
  <c r="L21" i="4"/>
  <c r="L23" i="4" s="1"/>
  <c r="L24" i="4" s="1"/>
  <c r="U86" i="1"/>
  <c r="M15" i="4"/>
  <c r="L26" i="4"/>
  <c r="W86" i="1" s="1"/>
  <c r="L12" i="4"/>
  <c r="W78" i="5" l="1"/>
  <c r="Z86" i="5"/>
  <c r="B32" i="5"/>
  <c r="C32" i="5"/>
  <c r="Z87" i="5"/>
  <c r="P86" i="1"/>
  <c r="L25" i="4"/>
  <c r="M16" i="4"/>
  <c r="M11" i="4"/>
  <c r="W79" i="5" l="1"/>
  <c r="X76" i="5" s="1"/>
  <c r="B36" i="5"/>
  <c r="B35" i="5"/>
  <c r="W81" i="5"/>
  <c r="C35" i="5"/>
  <c r="C36" i="5"/>
  <c r="W80" i="5"/>
  <c r="W83" i="5" s="1"/>
  <c r="M87" i="1"/>
  <c r="M21" i="4"/>
  <c r="Q86" i="1"/>
  <c r="M12" i="4"/>
  <c r="M17" i="4"/>
  <c r="M18" i="4" s="1"/>
  <c r="M9" i="4"/>
  <c r="N87" i="1" s="1"/>
  <c r="X77" i="5" l="1"/>
  <c r="W84" i="5"/>
  <c r="X88" i="5" s="1"/>
  <c r="U87" i="1"/>
  <c r="M23" i="4"/>
  <c r="M24" i="4" s="1"/>
  <c r="N7" i="4"/>
  <c r="S88" i="1" s="1"/>
  <c r="N6" i="4"/>
  <c r="R88" i="1" s="1"/>
  <c r="N8" i="4"/>
  <c r="T88" i="1" s="1"/>
  <c r="M26" i="4"/>
  <c r="W87" i="1" s="1"/>
  <c r="X78" i="5" l="1"/>
  <c r="X79" i="5" s="1"/>
  <c r="Y76" i="5" s="1"/>
  <c r="Y77" i="5" s="1"/>
  <c r="P87" i="1"/>
  <c r="N15" i="4"/>
  <c r="M25" i="4"/>
  <c r="X81" i="5" l="1"/>
  <c r="X84" i="5" s="1"/>
  <c r="Y88" i="5" s="1"/>
  <c r="X80" i="5"/>
  <c r="X83" i="5" s="1"/>
  <c r="Y78" i="5"/>
  <c r="Y80" i="5"/>
  <c r="Q87" i="1"/>
  <c r="N16" i="4"/>
  <c r="Y81" i="5" l="1"/>
  <c r="Y79" i="5"/>
  <c r="D33" i="5" s="1"/>
  <c r="D30" i="5"/>
  <c r="D31" i="5"/>
  <c r="D19" i="5"/>
  <c r="E8" i="1" s="1"/>
  <c r="Y83" i="5"/>
  <c r="N17" i="4"/>
  <c r="N18" i="4" s="1"/>
  <c r="N9" i="4"/>
  <c r="N11" i="4"/>
  <c r="C14" i="6" s="1"/>
  <c r="N88" i="1" l="1"/>
  <c r="C13" i="6"/>
  <c r="Y84" i="5"/>
  <c r="D32" i="5" s="1"/>
  <c r="M88" i="1"/>
  <c r="N21" i="4"/>
  <c r="N23" i="4" s="1"/>
  <c r="N24" i="4" s="1"/>
  <c r="C17" i="6" s="1"/>
  <c r="U88" i="1"/>
  <c r="O6" i="4"/>
  <c r="R89" i="1" s="1"/>
  <c r="O8" i="4"/>
  <c r="T89" i="1" s="1"/>
  <c r="O7" i="4"/>
  <c r="S89" i="1" s="1"/>
  <c r="N26" i="4"/>
  <c r="N12" i="4"/>
  <c r="C15" i="6" s="1"/>
  <c r="W88" i="1" l="1"/>
  <c r="C16" i="6"/>
  <c r="Z88" i="5"/>
  <c r="D36" i="5" s="1"/>
  <c r="P88" i="1"/>
  <c r="N25" i="4"/>
  <c r="O15" i="4"/>
  <c r="D35" i="5" l="1"/>
  <c r="Q88" i="1"/>
  <c r="O16" i="4"/>
  <c r="O17" i="4" l="1"/>
  <c r="O18" i="4" s="1"/>
  <c r="O9" i="4"/>
  <c r="N89" i="1" s="1"/>
  <c r="O11" i="4"/>
  <c r="M89" i="1" l="1"/>
  <c r="O21" i="4"/>
  <c r="O23" i="4" s="1"/>
  <c r="O24" i="4" s="1"/>
  <c r="U89" i="1"/>
  <c r="P7" i="4"/>
  <c r="S90" i="1" s="1"/>
  <c r="P8" i="4"/>
  <c r="T90" i="1" s="1"/>
  <c r="P6" i="4"/>
  <c r="R90" i="1" s="1"/>
  <c r="O26" i="4"/>
  <c r="W89" i="1" s="1"/>
  <c r="O12" i="4"/>
  <c r="P89" i="1" l="1"/>
  <c r="P15" i="4"/>
  <c r="O25" i="4"/>
  <c r="Q89" i="1" l="1"/>
  <c r="P16" i="4"/>
  <c r="P9" i="4"/>
  <c r="N90" i="1" s="1"/>
  <c r="Q7" i="4" l="1"/>
  <c r="S91" i="1" s="1"/>
  <c r="Q8" i="4"/>
  <c r="T91" i="1" s="1"/>
  <c r="Q6" i="4"/>
  <c r="R91" i="1" s="1"/>
  <c r="P17" i="4"/>
  <c r="P18" i="4" s="1"/>
  <c r="P11" i="4"/>
  <c r="U90" i="1" l="1"/>
  <c r="M90" i="1"/>
  <c r="P21" i="4"/>
  <c r="P23" i="4" s="1"/>
  <c r="P24" i="4" s="1"/>
  <c r="Q15" i="4"/>
  <c r="P26" i="4"/>
  <c r="W90" i="1" s="1"/>
  <c r="P12" i="4"/>
  <c r="P90" i="1" l="1"/>
  <c r="P25" i="4"/>
  <c r="Q16" i="4"/>
  <c r="Q90" i="1" l="1"/>
  <c r="Q17" i="4"/>
  <c r="Q18" i="4" s="1"/>
  <c r="Q11" i="4"/>
  <c r="Q9" i="4"/>
  <c r="N91" i="1" s="1"/>
  <c r="M91" i="1" l="1"/>
  <c r="Q21" i="4"/>
  <c r="Q23" i="4" s="1"/>
  <c r="Q24" i="4" s="1"/>
  <c r="U91" i="1"/>
  <c r="R6" i="4"/>
  <c r="R92" i="1" s="1"/>
  <c r="Q26" i="4"/>
  <c r="W91" i="1" s="1"/>
  <c r="Q12" i="4"/>
  <c r="P91" i="1" l="1"/>
  <c r="Q25" i="4"/>
  <c r="R15" i="4"/>
  <c r="R7" i="4"/>
  <c r="S92" i="1" s="1"/>
  <c r="Q91" i="1" l="1"/>
  <c r="R16" i="4"/>
  <c r="R8" i="4"/>
  <c r="R9" i="4" l="1"/>
  <c r="N92" i="1" s="1"/>
  <c r="T92" i="1"/>
  <c r="R17" i="4"/>
  <c r="R18" i="4" s="1"/>
  <c r="R11" i="4"/>
  <c r="U92" i="1" l="1"/>
  <c r="M92" i="1"/>
  <c r="R21" i="4"/>
  <c r="R23" i="4" s="1"/>
  <c r="R24" i="4" s="1"/>
  <c r="S6" i="4"/>
  <c r="R93" i="1" s="1"/>
  <c r="R26" i="4"/>
  <c r="W92" i="1" s="1"/>
  <c r="R12" i="4"/>
  <c r="S7" i="4" l="1"/>
  <c r="S93" i="1" s="1"/>
  <c r="S15" i="4"/>
  <c r="P92" i="1"/>
  <c r="R25" i="4"/>
  <c r="S8" i="4" l="1"/>
  <c r="T93" i="1" s="1"/>
  <c r="Q92" i="1"/>
  <c r="S16" i="4"/>
  <c r="S11" i="4" l="1"/>
  <c r="M93" i="1" s="1"/>
  <c r="S9" i="4"/>
  <c r="N93" i="1" s="1"/>
  <c r="S17" i="4"/>
  <c r="S18" i="4" s="1"/>
  <c r="S26" i="4" l="1"/>
  <c r="W93" i="1" s="1"/>
  <c r="S12" i="4"/>
  <c r="T6" i="4"/>
  <c r="R94" i="1" s="1"/>
  <c r="S21" i="4"/>
  <c r="S23" i="4" s="1"/>
  <c r="S24" i="4" s="1"/>
  <c r="P93" i="1" s="1"/>
  <c r="U93" i="1"/>
  <c r="T7" i="4" l="1"/>
  <c r="S94" i="1" s="1"/>
  <c r="T15" i="4"/>
  <c r="S25" i="4"/>
  <c r="Q93" i="1" s="1"/>
  <c r="T8" i="4" l="1"/>
  <c r="T94" i="1" s="1"/>
  <c r="T16" i="4"/>
  <c r="T11" i="4" l="1"/>
  <c r="T21" i="4" s="1"/>
  <c r="T9" i="4"/>
  <c r="N94" i="1" s="1"/>
  <c r="T17" i="4"/>
  <c r="T18" i="4" s="1"/>
  <c r="U94" i="1" s="1"/>
  <c r="T12" i="4" l="1"/>
  <c r="M94" i="1"/>
  <c r="T26" i="4"/>
  <c r="W94" i="1" s="1"/>
  <c r="T23" i="4"/>
  <c r="T24" i="4" s="1"/>
  <c r="P94" i="1" s="1"/>
  <c r="U6" i="4"/>
  <c r="R95" i="1" s="1"/>
  <c r="T25" i="4" l="1"/>
  <c r="Q94" i="1" s="1"/>
  <c r="U7" i="4"/>
  <c r="S95" i="1" s="1"/>
  <c r="U15" i="4"/>
  <c r="U16" i="4" l="1"/>
  <c r="U8" i="4"/>
  <c r="T95" i="1" s="1"/>
  <c r="U11" i="4" l="1"/>
  <c r="U12" i="4" s="1"/>
  <c r="U9" i="4"/>
  <c r="N95" i="1" s="1"/>
  <c r="U17" i="4"/>
  <c r="U18" i="4" s="1"/>
  <c r="U26" i="4" l="1"/>
  <c r="W95" i="1" s="1"/>
  <c r="U21" i="4"/>
  <c r="U23" i="4" s="1"/>
  <c r="U24" i="4" s="1"/>
  <c r="M95" i="1"/>
  <c r="U95" i="1"/>
  <c r="V6" i="4"/>
  <c r="R96" i="1" s="1"/>
  <c r="P95" i="1" l="1"/>
  <c r="U25" i="4"/>
  <c r="Q95" i="1" s="1"/>
  <c r="V7" i="4"/>
  <c r="S96" i="1" s="1"/>
  <c r="V15" i="4"/>
  <c r="V8" i="4" l="1"/>
  <c r="T96" i="1" s="1"/>
  <c r="V16" i="4"/>
  <c r="V11" i="4" l="1"/>
  <c r="V9" i="4"/>
  <c r="N96" i="1" s="1"/>
  <c r="V17" i="4"/>
  <c r="V18" i="4"/>
  <c r="U96" i="1" s="1"/>
  <c r="M96" i="1"/>
  <c r="V21" i="4"/>
  <c r="V12" i="4"/>
  <c r="W6" i="4"/>
  <c r="R97" i="1" s="1"/>
  <c r="V26" i="4" l="1"/>
  <c r="W96" i="1" s="1"/>
  <c r="V23" i="4"/>
  <c r="V24" i="4" s="1"/>
  <c r="V25" i="4" s="1"/>
  <c r="W15" i="4"/>
  <c r="W7" i="4"/>
  <c r="S97" i="1" s="1"/>
  <c r="P96" i="1" l="1"/>
  <c r="Q96" i="1"/>
  <c r="W16" i="4"/>
  <c r="W8" i="4"/>
  <c r="T97" i="1" s="1"/>
  <c r="W17" i="4" l="1"/>
  <c r="W18" i="4" s="1"/>
  <c r="W11" i="4"/>
  <c r="W9" i="4"/>
  <c r="N97" i="1" s="1"/>
  <c r="M97" i="1" l="1"/>
  <c r="W21" i="4"/>
  <c r="W23" i="4" s="1"/>
  <c r="W24" i="4" s="1"/>
  <c r="U97" i="1"/>
  <c r="X6" i="4"/>
  <c r="R98" i="1" s="1"/>
  <c r="W26" i="4"/>
  <c r="W97" i="1" s="1"/>
  <c r="W12" i="4"/>
  <c r="P97" i="1" l="1"/>
  <c r="W25" i="4"/>
  <c r="X15" i="4"/>
  <c r="X7" i="4"/>
  <c r="S98" i="1" s="1"/>
  <c r="Q97" i="1" l="1"/>
  <c r="X16" i="4"/>
  <c r="X8" i="4"/>
  <c r="T98" i="1" s="1"/>
  <c r="X17" i="4" l="1"/>
  <c r="X18" i="4" s="1"/>
  <c r="X9" i="4"/>
  <c r="N98" i="1" s="1"/>
  <c r="X11" i="4"/>
  <c r="M98" i="1" l="1"/>
  <c r="X21" i="4"/>
  <c r="X23" i="4" s="1"/>
  <c r="X24" i="4" s="1"/>
  <c r="U98" i="1"/>
  <c r="Y6" i="4"/>
  <c r="R99" i="1" s="1"/>
  <c r="X26" i="4"/>
  <c r="W98" i="1" s="1"/>
  <c r="X12" i="4"/>
  <c r="P98" i="1" l="1"/>
  <c r="X25" i="4"/>
  <c r="Y15" i="4"/>
  <c r="Y7" i="4"/>
  <c r="S99" i="1" s="1"/>
  <c r="Q98" i="1" l="1"/>
  <c r="Y16" i="4"/>
  <c r="Y8" i="4"/>
  <c r="Y9" i="4" l="1"/>
  <c r="N99" i="1" s="1"/>
  <c r="T99" i="1"/>
  <c r="Y17" i="4"/>
  <c r="Y18" i="4" s="1"/>
  <c r="Y11" i="4"/>
  <c r="Z6" i="4" l="1"/>
  <c r="R100" i="1" s="1"/>
  <c r="U99" i="1"/>
  <c r="M99" i="1"/>
  <c r="Y21" i="4"/>
  <c r="Y23" i="4" s="1"/>
  <c r="Y24" i="4" s="1"/>
  <c r="Y26" i="4"/>
  <c r="W99" i="1" s="1"/>
  <c r="Y12" i="4"/>
  <c r="Z7" i="4" l="1"/>
  <c r="S100" i="1" s="1"/>
  <c r="Z15" i="4"/>
  <c r="P99" i="1"/>
  <c r="Y25" i="4"/>
  <c r="Z8" i="4" l="1"/>
  <c r="T100" i="1" s="1"/>
  <c r="Z16" i="4"/>
  <c r="Q99" i="1"/>
  <c r="Z9" i="4" l="1"/>
  <c r="Z11" i="4"/>
  <c r="Z17" i="4"/>
  <c r="Z18" i="4" s="1"/>
  <c r="Z21" i="4" l="1"/>
  <c r="Z23" i="4" s="1"/>
  <c r="Z24" i="4" s="1"/>
  <c r="D14" i="6"/>
  <c r="N100" i="1"/>
  <c r="D13" i="6"/>
  <c r="Z12" i="4"/>
  <c r="D15" i="6" s="1"/>
  <c r="M100" i="1"/>
  <c r="U100" i="1"/>
  <c r="Z26" i="4"/>
  <c r="W100" i="1" l="1"/>
  <c r="D16" i="6"/>
  <c r="P100" i="1"/>
  <c r="D17" i="6"/>
  <c r="Z25" i="4"/>
  <c r="Q100" i="1" s="1"/>
  <c r="I50" i="1"/>
  <c r="C21" i="5"/>
  <c r="D21" i="5"/>
  <c r="B21" i="5"/>
  <c r="G8" i="1" a="1"/>
  <c r="G8" i="1" s="1"/>
  <c r="B22" i="5" l="1"/>
  <c r="N103" i="1"/>
  <c r="N105" i="1"/>
  <c r="D22" i="5"/>
  <c r="C8" i="1"/>
  <c r="I8" i="1" s="1"/>
  <c r="C22" i="5"/>
  <c r="N104" i="1"/>
  <c r="C23" i="5" l="1"/>
  <c r="O104" i="1"/>
  <c r="O105" i="1"/>
  <c r="D23" i="5"/>
  <c r="B23" i="5"/>
  <c r="O10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santos</author>
  </authors>
  <commentList>
    <comment ref="G9" authorId="0" shapeId="0" xr:uid="{88CEFBBE-CCDA-794B-85E7-4F83855F4BC5}">
      <text>
        <r>
          <rPr>
            <b/>
            <sz val="10"/>
            <color rgb="FF000000"/>
            <rFont val="Tahoma"/>
            <family val="2"/>
          </rPr>
          <t>carlos santos:</t>
        </r>
        <r>
          <rPr>
            <sz val="10"/>
            <color rgb="FF000000"/>
            <rFont val="Tahoma"/>
            <family val="2"/>
          </rPr>
          <t xml:space="preserve">
Source: Anthropic pricing, https://www.anthropic.com/pricing — Haiku 4.5 $1/MTok input</t>
        </r>
      </text>
    </comment>
    <comment ref="G10" authorId="0" shapeId="0" xr:uid="{542E244B-7B4F-3B49-9A91-9AD4704D5476}">
      <text>
        <r>
          <rPr>
            <b/>
            <sz val="10"/>
            <color rgb="FF000000"/>
            <rFont val="Tahoma"/>
            <family val="2"/>
          </rPr>
          <t>carlos santos:</t>
        </r>
        <r>
          <rPr>
            <sz val="10"/>
            <color rgb="FF000000"/>
            <rFont val="Tahoma"/>
            <family val="2"/>
          </rPr>
          <t xml:space="preserve">
Source: Anthropic pricing, https://www.anthropic.com/pricing — Haiku 4.5 $5/MTok output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<sst xmlns="http://schemas.openxmlformats.org/spreadsheetml/2006/main" count="541" uniqueCount="426">
  <si>
    <t>Pagantes M12</t>
  </si>
  <si>
    <t>Pagantes M24</t>
  </si>
  <si>
    <t>Indicador</t>
  </si>
  <si>
    <t>Conservador</t>
  </si>
  <si>
    <t>Base (padrão)</t>
  </si>
  <si>
    <t>Otimista</t>
  </si>
  <si>
    <t>CAC Real (full-loaded)</t>
  </si>
  <si>
    <t>Vida média (meses)</t>
  </si>
  <si>
    <t>1 ÷ churn mensal</t>
  </si>
  <si>
    <t>LTV Essencial</t>
  </si>
  <si>
    <t>Margem × vida média</t>
  </si>
  <si>
    <t>LTV / CAC</t>
  </si>
  <si>
    <t>≥3× ok · ≥8× top quartile</t>
  </si>
  <si>
    <t>Payback CAC (meses)</t>
  </si>
  <si>
    <t>TOTAL PAGANTES</t>
  </si>
  <si>
    <t>← Selecione: Conservador / Base / Otimista</t>
  </si>
  <si>
    <t>Coluna das premissas (uso interno — não edite)</t>
  </si>
  <si>
    <t>Premissas resolvidas para o cenário selecionado</t>
  </si>
  <si>
    <t>── PREÇOS ──</t>
  </si>
  <si>
    <t>Preço Essencial</t>
  </si>
  <si>
    <t>← Premissas!Preço Essencial (linha 5)</t>
  </si>
  <si>
    <t>Preço Autônoma</t>
  </si>
  <si>
    <t>← Premissas!Preço Autônoma (linha 6)</t>
  </si>
  <si>
    <t>Preço Livre</t>
  </si>
  <si>
    <t>← Premissas!Preço Livre (linha 7)</t>
  </si>
  <si>
    <t>── API ──</t>
  </si>
  <si>
    <t>Câmbio USD/BRL</t>
  </si>
  <si>
    <t>← Premissas!Câmbio USD/BRL (linha 9)</t>
  </si>
  <si>
    <t>Sonnet Input $/MTok</t>
  </si>
  <si>
    <t>← Premissas!Sonnet 4.6 Input ($/MTok) (linha 10)</t>
  </si>
  <si>
    <t>Sonnet Output $/MTok</t>
  </si>
  <si>
    <t>← Premissas!Sonnet 4.6 Output ($/MTok) (linha 11)</t>
  </si>
  <si>
    <t>Desconto Caching</t>
  </si>
  <si>
    <t>← Premissas!Desconto Prompt Caching (%) (linha 12)</t>
  </si>
  <si>
    <t>── USO ──</t>
  </si>
  <si>
    <t>Free: interações/mês</t>
  </si>
  <si>
    <t>← Premissas!Free: interações/mês (LIMITE) (linha 14)</t>
  </si>
  <si>
    <t>Free: tokens input</t>
  </si>
  <si>
    <t>← Premissas!Free: tokens input/interação (linha 15)</t>
  </si>
  <si>
    <t>Free: tokens output</t>
  </si>
  <si>
    <t>← Premissas!Free: tokens output/interação (linha 16)</t>
  </si>
  <si>
    <t>Free: % ativas/mês</t>
  </si>
  <si>
    <t>← Premissas!Free: % usuárias ativas/mês (linha 17)</t>
  </si>
  <si>
    <t>Essencial: interações/mês</t>
  </si>
  <si>
    <t>← Premissas!Essencial: interações chat/mês (linha 18)</t>
  </si>
  <si>
    <t>Essencial: tokens input</t>
  </si>
  <si>
    <t>← Premissas!Essencial: tokens input/interação (linha 19)</t>
  </si>
  <si>
    <t>Essencial: tokens output</t>
  </si>
  <si>
    <t>← Premissas!Essencial: tokens output/interação (linha 20)</t>
  </si>
  <si>
    <t>Autônoma: sessões agente/mês</t>
  </si>
  <si>
    <t>← Premissas!Autônoma: sessões agente/mês (linha 22)</t>
  </si>
  <si>
    <t>Autônoma: tokens input/sessão</t>
  </si>
  <si>
    <t>← Premissas!Autônoma: tokens input/sessão agente (linha 23)</t>
  </si>
  <si>
    <t>Autônoma: tokens output/sessão</t>
  </si>
  <si>
    <t>← Premissas!Autônoma: tokens output/sessão agente (linha 24)</t>
  </si>
  <si>
    <t>Livre: sessões totais/mês</t>
  </si>
  <si>
    <t>← Premissas!Livre: sessões totais agentes/mês (linha 26)</t>
  </si>
  <si>
    <t>── CRESCIMENTO ──</t>
  </si>
  <si>
    <t>Free leads M1–12</t>
  </si>
  <si>
    <t>← Premissas!Crescimento Free M1–12 (leads/mês) (linha 28)</t>
  </si>
  <si>
    <t>Free leads M13–24</t>
  </si>
  <si>
    <t>← Premissas!Crescimento Free M13–24 (leads/mês) (linha 29)</t>
  </si>
  <si>
    <t>Conv. Free→Essencial</t>
  </si>
  <si>
    <t>← Premissas!Conversão Free → Essencial (%) (linha 31)</t>
  </si>
  <si>
    <t>Churn Essencial/mês</t>
  </si>
  <si>
    <t>← Premissas!Churn mensal Essencial (linha 34)</t>
  </si>
  <si>
    <t>Churn Autônoma/mês</t>
  </si>
  <si>
    <t>← Premissas!Churn mensal Autônoma (linha 35)</t>
  </si>
  <si>
    <t>Churn Livre/mês</t>
  </si>
  <si>
    <t>← Premissas!Churn mensal Livre (linha 36)</t>
  </si>
  <si>
    <t>── CUSTO FIXO ──</t>
  </si>
  <si>
    <t>Equipe Ano 1</t>
  </si>
  <si>
    <t>← Premissas!Equipe Ano 1 (média/mês) (linha 38)</t>
  </si>
  <si>
    <t>Equipe Ano 2</t>
  </si>
  <si>
    <t>← Premissas!Equipe Ano 2 (média/mês) (linha 39)</t>
  </si>
  <si>
    <t>Infra Ano 1</t>
  </si>
  <si>
    <t>← Premissas!Infraestrutura Ano 1 (linha 41)</t>
  </si>
  <si>
    <t>Infra Ano 2</t>
  </si>
  <si>
    <t>← Premissas!Infraestrutura Ano 2 (linha 42)</t>
  </si>
  <si>
    <t>Marketing Ano 1</t>
  </si>
  <si>
    <t>← Premissas!Marketing base Ano 1 (linha 44)</t>
  </si>
  <si>
    <t>Marketing Ano 2</t>
  </si>
  <si>
    <t>← Premissas!Marketing base Ano 2 (linha 45)</t>
  </si>
  <si>
    <t>Outros</t>
  </si>
  <si>
    <t>← Premissas!Outros (jurídico, contab, misc.) (linha 47)</t>
  </si>
  <si>
    <t>── UNIT ECONOMICS ──</t>
  </si>
  <si>
    <t>CAC full-loaded</t>
  </si>
  <si>
    <t>← Premissas!CAC real full-loaded (R$) (linha 49)</t>
  </si>
  <si>
    <t>% aquisição via paid</t>
  </si>
  <si>
    <t>← Premissas!% aquisição via paid (linha 51)</t>
  </si>
  <si>
    <t>── VALUATION ──</t>
  </si>
  <si>
    <t>Múltiplo ARR M18</t>
  </si>
  <si>
    <t>← Premissas!Múltiplo ARR Série A (× ARR) (linha 53)</t>
  </si>
  <si>
    <t>AutoNoma · Premissas · Fonte Única de Verdade · 100% Sonnet 4.6</t>
  </si>
  <si>
    <t>Azul = Input editável</t>
  </si>
  <si>
    <t>Preto = Fórmula</t>
  </si>
  <si>
    <t>1 · PREÇOS DOS PLANOS (R$/mês)</t>
  </si>
  <si>
    <t>R$/mês · chat + 1 agente</t>
  </si>
  <si>
    <t>R$/mês · chat + 2 agentes</t>
  </si>
  <si>
    <t>R$ por USD</t>
  </si>
  <si>
    <t>Sonnet 4.6 Input ($/MTok)</t>
  </si>
  <si>
    <t>USD — oficial Anthropic</t>
  </si>
  <si>
    <t>Sonnet 4.6 Output ($/MTok)</t>
  </si>
  <si>
    <t>Desconto Prompt Caching (%)</t>
  </si>
  <si>
    <t>% redução no bloco fixo</t>
  </si>
  <si>
    <t>3 · USO POR PLANO — 100% SONNET 4.6</t>
  </si>
  <si>
    <t>Free: interações/mês (LIMITE)</t>
  </si>
  <si>
    <t>Sonnet · teto produto</t>
  </si>
  <si>
    <t>Free: tokens input/interação</t>
  </si>
  <si>
    <t>inclui system prompt cacheado</t>
  </si>
  <si>
    <t>Free: tokens output/interação</t>
  </si>
  <si>
    <t>resposta orientada</t>
  </si>
  <si>
    <t>Free: % usuárias ativas/mês</t>
  </si>
  <si>
    <t>% do cadastro que usa no mês</t>
  </si>
  <si>
    <t>Essencial: interações chat/mês</t>
  </si>
  <si>
    <t>ilimitado prático · 20 dias × uso</t>
  </si>
  <si>
    <t>Essencial: tokens input/interação</t>
  </si>
  <si>
    <t>contexto Noma + memória</t>
  </si>
  <si>
    <t>Essencial: tokens output/interação</t>
  </si>
  <si>
    <t>resposta + ação autônoma</t>
  </si>
  <si>
    <t>Autônoma: chat (= Essencial)</t>
  </si>
  <si>
    <t>chat ilimitado Sonnet</t>
  </si>
  <si>
    <t>sessões profundas com 1 agente</t>
  </si>
  <si>
    <t>Autônoma: tokens input/sessão agente</t>
  </si>
  <si>
    <t>contexto resolução + memória</t>
  </si>
  <si>
    <t>Autônoma: tokens output/sessão agente</t>
  </si>
  <si>
    <t>resolução completa + confirmação</t>
  </si>
  <si>
    <t>Livre: chat (= Essencial)</t>
  </si>
  <si>
    <t>Livre: sessões totais agentes/mês</t>
  </si>
  <si>
    <t>2 agentes · mais que Autônoma</t>
  </si>
  <si>
    <t>4 · CRESCIMENTO DA BASE</t>
  </si>
  <si>
    <t>Crescimento Free M1–12 (leads/mês)</t>
  </si>
  <si>
    <t>cadastros orgânicos+viral+paid</t>
  </si>
  <si>
    <t>Crescimento Free M13–24 (leads/mês)</t>
  </si>
  <si>
    <t>escala Brasil</t>
  </si>
  <si>
    <t>Conversão Free → Essencial (%)</t>
  </si>
  <si>
    <t>% base Free que vira assinante</t>
  </si>
  <si>
    <t>% Essenciais que sobem</t>
  </si>
  <si>
    <t>% Autônomas que sobem</t>
  </si>
  <si>
    <t>Churn mensal Essencial</t>
  </si>
  <si>
    <t>% cancela por mês</t>
  </si>
  <si>
    <t>Churn mensal Autônoma</t>
  </si>
  <si>
    <t>% cancela por mês · agente = lock-in</t>
  </si>
  <si>
    <t>Churn mensal Livre</t>
  </si>
  <si>
    <t>% cancela · 2 agentes = máximo lock-in</t>
  </si>
  <si>
    <t>5 · CUSTO FIXO MENSAL (R$)</t>
  </si>
  <si>
    <t>Equipe Ano 1 (média/mês)</t>
  </si>
  <si>
    <t>devs+CS+pró-labore fundadores</t>
  </si>
  <si>
    <t>Equipe Ano 2 (média/mês)</t>
  </si>
  <si>
    <t>expansão de time</t>
  </si>
  <si>
    <t>Infraestrutura Ano 1</t>
  </si>
  <si>
    <t>servidores, DB, CDN</t>
  </si>
  <si>
    <t>Infraestrutura Ano 2</t>
  </si>
  <si>
    <t>escala com base</t>
  </si>
  <si>
    <t>Marketing base Ano 1</t>
  </si>
  <si>
    <t>além do paid do pre-seed</t>
  </si>
  <si>
    <t>Marketing base Ano 2</t>
  </si>
  <si>
    <t>crescimento + paid</t>
  </si>
  <si>
    <t>Outros (jurídico, contab, misc.)</t>
  </si>
  <si>
    <t>fixo administrativo</t>
  </si>
  <si>
    <t>6 · UNIT ECONOMICS (CAC full-loaded)</t>
  </si>
  <si>
    <t>CAC real full-loaded (R$)</t>
  </si>
  <si>
    <t>inclui mkt+CS+onboarding</t>
  </si>
  <si>
    <t>CAC via paid apenas (R$)</t>
  </si>
  <si>
    <t>referência apenas</t>
  </si>
  <si>
    <t>% novos pagantes via ads</t>
  </si>
  <si>
    <t>📐 Nota modelo: Conversão aplica-se ao pool elegível mensal (Free - já pagantes). Taxa ≠ '% dos leads mensais' mas '% da base elegível acumulada que converte por mês'. Calibrado para reproduzir ~4.400 pagantes no M12 (cenário Base).</t>
  </si>
  <si>
    <t>Cenário ativo:</t>
  </si>
  <si>
    <t>Unid.</t>
  </si>
  <si>
    <t>M01</t>
  </si>
  <si>
    <t>M02</t>
  </si>
  <si>
    <t>M03</t>
  </si>
  <si>
    <t>M04</t>
  </si>
  <si>
    <t>M05</t>
  </si>
  <si>
    <t>M07</t>
  </si>
  <si>
    <t>M08</t>
  </si>
  <si>
    <t>M09</t>
  </si>
  <si>
    <t>M10</t>
  </si>
  <si>
    <t>M12 ★</t>
  </si>
  <si>
    <t>M13</t>
  </si>
  <si>
    <t>M14</t>
  </si>
  <si>
    <t>M15</t>
  </si>
  <si>
    <t>M16</t>
  </si>
  <si>
    <t>M17</t>
  </si>
  <si>
    <t>M19</t>
  </si>
  <si>
    <t>M20</t>
  </si>
  <si>
    <t>M21</t>
  </si>
  <si>
    <t>M22</t>
  </si>
  <si>
    <t>M23</t>
  </si>
  <si>
    <t>M24 ★</t>
  </si>
  <si>
    <t>USUÁRIOS</t>
  </si>
  <si>
    <t>Free · Cadastros (Sonnet 40 int/mês)</t>
  </si>
  <si>
    <t>usr</t>
  </si>
  <si>
    <t>Essencial · Assinantes</t>
  </si>
  <si>
    <t>ass.</t>
  </si>
  <si>
    <t>Autônoma · Assinantes</t>
  </si>
  <si>
    <t>Livre · Assinantes</t>
  </si>
  <si>
    <t>RECEITA</t>
  </si>
  <si>
    <t>R$</t>
  </si>
  <si>
    <t>CUSTO API · 100% Sonnet 4.6 · Caching ativo</t>
  </si>
  <si>
    <t>API Free (Sonnet · 40 int/mês)</t>
  </si>
  <si>
    <t>API Essencial (chat ilimitado)</t>
  </si>
  <si>
    <t>API Autônoma (+1 agente)</t>
  </si>
  <si>
    <t>API Livre (+2 agentes)</t>
  </si>
  <si>
    <t>TOTAL API</t>
  </si>
  <si>
    <t>CUSTO FIXO</t>
  </si>
  <si>
    <t>Custo Fixo (equipe+infra+mkt)</t>
  </si>
  <si>
    <t>RESULTADO</t>
  </si>
  <si>
    <t>RESULTADO MENSAL</t>
  </si>
  <si>
    <t>Margem Bruta API (% MRR)</t>
  </si>
  <si>
    <t>%</t>
  </si>
  <si>
    <t>AutoNoma · Comparativo Real de Cenários · 3 Anos · Fórmulas Dinâmicas</t>
  </si>
  <si>
    <t>PREMISSAS DIFERENCIADORAS POR CENÁRIO</t>
  </si>
  <si>
    <t>R$/assinante</t>
  </si>
  <si>
    <t>%/mês</t>
  </si>
  <si>
    <t>Churn anual implícito</t>
  </si>
  <si>
    <t>%/ano</t>
  </si>
  <si>
    <t>× ARR (SaaS LATAM)</t>
  </si>
  <si>
    <t>Free: % usuárias ativas</t>
  </si>
  <si>
    <t>% do cadastro</t>
  </si>
  <si>
    <t>Conversão Free→Essencial</t>
  </si>
  <si>
    <t>% base Free</t>
  </si>
  <si>
    <t>UNIT ECONOMICS (calculado das premissas)</t>
  </si>
  <si>
    <t>Custo API Essencial/mês</t>
  </si>
  <si>
    <t>R$/assinante/mês</t>
  </si>
  <si>
    <t>Margem Unitária Essencial/mês</t>
  </si>
  <si>
    <t>R$/mês</t>
  </si>
  <si>
    <t>1 ÷ churn</t>
  </si>
  <si>
    <t>R$ vida útil</t>
  </si>
  <si>
    <t>meses</t>
  </si>
  <si>
    <t>Múltiplo aplicado</t>
  </si>
  <si>
    <t>ANO 1 · Resultados</t>
  </si>
  <si>
    <t>MRR Dezembro M12</t>
  </si>
  <si>
    <t>ARR Ano 1 (MRR×12)</t>
  </si>
  <si>
    <t>R$/ano</t>
  </si>
  <si>
    <t>Resultado Líquido no Ano</t>
  </si>
  <si>
    <t>assinantes</t>
  </si>
  <si>
    <t>ANO 2 · Resultados</t>
  </si>
  <si>
    <t>MRR Dezembro M24</t>
  </si>
  <si>
    <t>ARR Ano 2 (MRR×12)</t>
  </si>
  <si>
    <t>Total Pagantes</t>
  </si>
  <si>
    <t>MRR</t>
  </si>
  <si>
    <t>Pagantes</t>
  </si>
  <si>
    <t>Free</t>
  </si>
  <si>
    <t>Acumulado</t>
  </si>
  <si>
    <t>Mês</t>
  </si>
  <si>
    <t>Resultado</t>
  </si>
  <si>
    <t>Essencial</t>
  </si>
  <si>
    <t>Autônoma</t>
  </si>
  <si>
    <t>Livre</t>
  </si>
  <si>
    <t>API Total</t>
  </si>
  <si>
    <t>Custo Fixo</t>
  </si>
  <si>
    <t>Margem%</t>
  </si>
  <si>
    <t>M06</t>
  </si>
  <si>
    <t>M11</t>
  </si>
  <si>
    <t>M12</t>
  </si>
  <si>
    <t>M18</t>
  </si>
  <si>
    <t>M24</t>
  </si>
  <si>
    <t>Conversão Free → Autônoma (%)</t>
  </si>
  <si>
    <t>Conversão Free → Livre (%)</t>
  </si>
  <si>
    <t>R$/mês · + uso esporadico agente</t>
  </si>
  <si>
    <t xml:space="preserve">M06 </t>
  </si>
  <si>
    <t xml:space="preserve">M11 </t>
  </si>
  <si>
    <t>▶  CENÁRIO ATIVO  ◀  (altere aqui o modelo)</t>
  </si>
  <si>
    <t>Base</t>
  </si>
  <si>
    <t>Custo API por Essencial / mês</t>
  </si>
  <si>
    <t>ARPU cobre custo API?</t>
  </si>
  <si>
    <t>Margem Unitária Essencial / mês</t>
  </si>
  <si>
    <t>Preço − Custo API (contribuição)</t>
  </si>
  <si>
    <t>Vida média Essencial (meses)</t>
  </si>
  <si>
    <t>CAC ÷ margem mensal · &lt;12m = excelente</t>
  </si>
  <si>
    <t>BREAKEVEN</t>
  </si>
  <si>
    <t>resultado acum. &gt; 0</t>
  </si>
  <si>
    <t>Resultado Mensal</t>
  </si>
  <si>
    <t>Cenário</t>
  </si>
  <si>
    <t>full-loaded</t>
  </si>
  <si>
    <t>margem × vida média</t>
  </si>
  <si>
    <t>AutoNoma · Base Mensal · 24 Meses · Fórmulas Dinâmicas · Cenário Controlado por 🔧 Cenário Ativo</t>
  </si>
  <si>
    <t>VALUATION SUGERIDO M24</t>
  </si>
  <si>
    <t>Obs.: Este estudo não configura convite ou promessa de investimento. Valores projetados com base em premissas controláveis em 🎛️ Premissas e 🔧 Cenário Ativo.</t>
  </si>
  <si>
    <t>CENÁRIO ATIVO:</t>
  </si>
  <si>
    <t>← altere em '🔧 Cenário Ativo'!B2 · Opções: Conservador / Base / Otimista</t>
  </si>
  <si>
    <t>PAYBACK CAC</t>
  </si>
  <si>
    <t>VALUATION M24</t>
  </si>
  <si>
    <t>RETORNO ANJO</t>
  </si>
  <si>
    <t>CAC</t>
  </si>
  <si>
    <t>CHURN MENSAL</t>
  </si>
  <si>
    <t>MARGEM M24</t>
  </si>
  <si>
    <t>anual ~46%</t>
  </si>
  <si>
    <t>bruta sobre MRR</t>
  </si>
  <si>
    <t>VPL (Valor Presente Líquido)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</si>
  <si>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</si>
  <si>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</si>
  <si>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</si>
  <si>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</si>
  <si>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</si>
  <si>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</si>
  <si>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</si>
  <si>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</si>
  <si>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</si>
  <si>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 xml:space="preserve">M18 </t>
  </si>
  <si>
    <t>Conv. Free→Autônoma</t>
  </si>
  <si>
    <t>Conv. Free→Livre</t>
  </si>
  <si>
    <t>← Premissas!Conversão Free → Autônoma (%) (linha 32)</t>
  </si>
  <si>
    <t>← Premissas!Conversão Free → Livre (%) (linha 33)</t>
  </si>
  <si>
    <t>Aporte máximo (R$)</t>
  </si>
  <si>
    <t>% Equity oferecido</t>
  </si>
  <si>
    <t>Valuation pre-money implícito</t>
  </si>
  <si>
    <t>= Aporte/%Equity - Aporte</t>
  </si>
  <si>
    <t>Valuation post-money implícito</t>
  </si>
  <si>
    <t>= Aporte / %Equity</t>
  </si>
  <si>
    <t>Equity anjo (% Premissas)</t>
  </si>
  <si>
    <t>Retorno sobre aporte (×)</t>
  </si>
  <si>
    <t>× sobre aporte</t>
  </si>
  <si>
    <t>Valuation 100% M24</t>
  </si>
  <si>
    <t>9 · PARÂMETROS DO MODELO</t>
  </si>
  <si>
    <t>Free cadastradas no M1 (semente)</t>
  </si>
  <si>
    <t>← lista de espera M1</t>
  </si>
  <si>
    <t>Floor YoY · Conservador</t>
  </si>
  <si>
    <t>← piso ajuste valuation</t>
  </si>
  <si>
    <t>Floor YoY · Base</t>
  </si>
  <si>
    <t>Floor YoY · Otimista</t>
  </si>
  <si>
    <t>Divisor YoY (suavização)</t>
  </si>
  <si>
    <t>← maior = ajuste mais suave</t>
  </si>
  <si>
    <t>Taxa de desconto mensal (NPV/IRR)</t>
  </si>
  <si>
    <t>← editável (simule aqui)</t>
  </si>
  <si>
    <t>valor da fatia % sobre aporte</t>
  </si>
  <si>
    <t>AutoNoma © 2025 · Dashboard dinâmico · Todos os valores recalculam ao mudar o cenário em '🔧 Cenário Ativo'!B2</t>
  </si>
  <si>
    <t>Alíquota imposto/receita</t>
  </si>
  <si>
    <t>7 · VALUATION M24 (sobre Receita Acumulada 24m)</t>
  </si>
  <si>
    <t>Múltiplo × Receita Acumulada 24m</t>
  </si>
  <si>
    <t>× sobre 'Base Mensal'!Z12 (R$ 12,8M)</t>
  </si>
  <si>
    <t>Receita Acumulada 24m (Z12)</t>
  </si>
  <si>
    <t>R$ acumulado 24m</t>
  </si>
  <si>
    <t>× Receita acum</t>
  </si>
  <si>
    <t>Receita acum 24m × múltiplo cenário</t>
  </si>
  <si>
    <t>RECEITA ACUM 24m</t>
  </si>
  <si>
    <t>soma MRR M1–M24</t>
  </si>
  <si>
    <t>Alíquota imposto sobre receita</t>
  </si>
  <si>
    <t>← Premissas!Alíquota (linha 67)</t>
  </si>
  <si>
    <t>Custo Total (API + Fixo + Impostos)</t>
  </si>
  <si>
    <t>UNIT ECONOMICS · CENARIO ATIVO</t>
  </si>
  <si>
    <t>VALUATION 3 CENARIOS</t>
  </si>
  <si>
    <t xml:space="preserve">BREAKEVEN </t>
  </si>
  <si>
    <t>FLUXO DE CAIXA ACUMULADO</t>
  </si>
  <si>
    <t>MRR &amp; ASSINANTES</t>
  </si>
  <si>
    <t>← anualizada</t>
  </si>
  <si>
    <t xml:space="preserve">IMPOSTOS </t>
  </si>
  <si>
    <t xml:space="preserve">UNIT ECONOMICS CALCULADOS (helpers) </t>
  </si>
  <si>
    <t>── HELPERS · 3 CENÁRIOS · 24 MESES (oculto) ──</t>
  </si>
  <si>
    <t>Free Cadastros</t>
  </si>
  <si>
    <t>Comparativo dos 3 cenários · Premissas / Unit Economics / Valuation / Operacional · Independentes</t>
  </si>
  <si>
    <t>Impostos</t>
  </si>
  <si>
    <t>CONSERVADOR</t>
  </si>
  <si>
    <t>BASE</t>
  </si>
  <si>
    <t>OTIMISTA</t>
  </si>
  <si>
    <t>RESULTADO ACUMULADO</t>
  </si>
  <si>
    <t>MRR MENSAL</t>
  </si>
  <si>
    <t>MRR ACUMULADO</t>
  </si>
  <si>
    <t>INDICADOR</t>
  </si>
  <si>
    <t>UNIDADE</t>
  </si>
  <si>
    <t>Cons CF (helper TIR)</t>
  </si>
  <si>
    <t>Base CF (helper TIR)</t>
  </si>
  <si>
    <t>Otim CF (helper TIR)</t>
  </si>
  <si>
    <t>R$ · taxa B66 mensal</t>
  </si>
  <si>
    <t>TIR (anualizada)</t>
  </si>
  <si>
    <t>% a.a.</t>
  </si>
  <si>
    <t>RESUMO</t>
  </si>
  <si>
    <t xml:space="preserve">← Simples Nacional </t>
  </si>
  <si>
    <t>PARAMETRO</t>
  </si>
  <si>
    <t>UNIDADE/NOTA</t>
  </si>
  <si>
    <t>2 · CUSTO API ANTHROPIC (1 semestre 2026)</t>
  </si>
  <si>
    <t>VALUATION · MÊS 24 (Receita Acum × múltiplo)</t>
  </si>
  <si>
    <t>✅ Todos os indicadores acima são calculados independentemente por cenário. Helpers de simulação ocultos linhas 50-89.</t>
  </si>
  <si>
    <t>Múltiplo valuation M24</t>
  </si>
  <si>
    <t xml:space="preserve">AUTONOMA · DASHBOARD </t>
  </si>
  <si>
    <t>AutoNoma · Seletor de Cenário · Controler</t>
  </si>
  <si>
    <t>8 · CAPTAÇÃO ANJO (R$1M = 15% equity)</t>
  </si>
  <si>
    <t>= 15% fixo (R$1M = 15%)</t>
  </si>
  <si>
    <t>2b · CUSTO API HAIKU (plano Free)</t>
  </si>
  <si>
    <t>Haiku 4.5 Input ($/MTok)</t>
  </si>
  <si>
    <t>Haiku 4.5 Output ($/MTok)</t>
  </si>
  <si>
    <t>← Free roda em Haiku (só custo)</t>
  </si>
  <si>
    <t>Aporte R$1M</t>
  </si>
  <si>
    <t>Asset Light SaaS · Brasil → LATAM · Sonnet 4.6 (pagos) + Haiku 4.5 (Free) · Projeto de 24 meses com valuation M24</t>
  </si>
  <si>
    <t>tempo p/ recuperar CAC (dias)</t>
  </si>
  <si>
    <t>AUTONOMA · RESUMO PARA INVESTIDOR ANJO</t>
  </si>
  <si>
    <t>Asset-Light SaaS · Brasil → LATAM · Sonnet 4.6 (planos pagos) + Haiku 4.5 (Free) · Horizonte 24 meses</t>
  </si>
  <si>
    <t>1 · A OFERTA</t>
  </si>
  <si>
    <t>Aporte</t>
  </si>
  <si>
    <t>Equity oferecido</t>
  </si>
  <si>
    <t>Valuation post-money</t>
  </si>
  <si>
    <t>Valuation pre-money</t>
  </si>
  <si>
    <t>← entrada do anjo</t>
  </si>
  <si>
    <t>← fatia adquirida</t>
  </si>
  <si>
    <t>= aporte ÷ equity</t>
  </si>
  <si>
    <t>2 · MARCOS ATÉ A SÉRIE A (cenário Base)</t>
  </si>
  <si>
    <t>Assinantes pagantes</t>
  </si>
  <si>
    <t>MRR (R$/mês)</t>
  </si>
  <si>
    <t>Receita acumulada</t>
  </si>
  <si>
    <t>Margem bruta</t>
  </si>
  <si>
    <t>Resultado mensal</t>
  </si>
  <si>
    <t>3 · RETORNO DO ANJO (fatia de 15%)</t>
  </si>
  <si>
    <t>Valuation M24</t>
  </si>
  <si>
    <t>Valor da fatia 15%</t>
  </si>
  <si>
    <t>Múltiplo s/ aporte</t>
  </si>
  <si>
    <t>4 · USO DO CAPITAL (R$1M · ~runway 18 meses)</t>
  </si>
  <si>
    <t>Produto &amp; Engenharia (Sonnet/Haiku, dev)</t>
  </si>
  <si>
    <t>Aquisição &amp; Marketing (CAC, growth)</t>
  </si>
  <si>
    <t>Equipe &amp; Operação (CS, pró-labore)</t>
  </si>
  <si>
    <t>Reserva &amp; Jurídico/Contab.</t>
  </si>
  <si>
    <t>Total</t>
  </si>
  <si>
    <t>5 · TESTE DE STRESS / DOWNSIDE (honestidade ao anjo)</t>
  </si>
  <si>
    <t>• Mesmo no cenário Conservador, o aporte retorna ~4,2× em 24 meses (fatia 15% = R$4,2M).</t>
  </si>
  <si>
    <t>• Churn diferenciado por plano: Essencial 8%, Autônoma 5%, Livre 3% — lock-in cresce com o agente.</t>
  </si>
  <si>
    <t>• Break-even de caixa no M6; margem bruta &gt;80% sustentada por rodar o Free em Haiku (só custo).</t>
  </si>
  <si>
    <t>• Sensível a: CAC real (hoje R$60 full-loaded) e conversão Free→pago. Ambos controláveis em 🎛️ Premissas.</t>
  </si>
  <si>
    <t>• Próximo marco: Receita acum. R$15M no M24 sustenta conversão Série A a 5× receita (≈R$75M).</t>
  </si>
  <si>
    <t>Obs.: Este resumo não configura convite ou promessa de investimento. Todos os valores recalculam ao alterar o cenário em 🔧 Cenário Ativo e as premissas em 🎛️ Premissas. AutoNoma © 2025.</t>
  </si>
  <si>
    <t>6 · SENSIBILIDADE: CHURN × LTV/CAC (plano Essencial, cenário Base)</t>
  </si>
  <si>
    <t>Churn/mês</t>
  </si>
  <si>
    <t>Vida média (m)</t>
  </si>
  <si>
    <t>LTV (R$)</t>
  </si>
  <si>
    <t>Leitura</t>
  </si>
  <si>
    <t>Leitura: mesmo dobrando o churn para 15%/mês (vida ~7m), o LTV/CAC continua saudável em 4,8×. O modelo não depende de retenção otimista — sobrevive ao downside.</t>
  </si>
  <si>
    <t>Malva = Link cross-sheet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</si>
</sst>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&quot;R$&quot;#,##0"/>
    <numFmt numFmtId="165" formatCode="&quot;R$&quot;#,##0;&quot;(R$&quot;#,##0\);\-"/>
    <numFmt numFmtId="166" formatCode="0.0\×"/>
    <numFmt numFmtId="167" formatCode="&quot;R$&quot;#,##0.00"/>
    <numFmt numFmtId="168" formatCode="0.0%"/>
    <numFmt numFmtId="169" formatCode="#,##0.0\m"/>
    <numFmt numFmtId="170" formatCode="0.0\m"/>
    <numFmt numFmtId="171" formatCode="#,##0.000"/>
    <numFmt numFmtId="172" formatCode="0\×"/>
    <numFmt numFmtId="173" formatCode="#,##0.0"/>
    <numFmt numFmtId="174" formatCode="0.0&quot;×&quot;"/>
    <numFmt numFmtId="175" formatCode="0.0&quot; mês&quot;"/>
    <numFmt numFmtId="176" formatCode="0.0&quot; meses&quot;"/>
    <numFmt numFmtId="177" formatCode="&quot;R$&quot;\ #,##0"/>
    <numFmt numFmtId="178" formatCode="0&quot;x&quot;"/>
    <numFmt numFmtId="179" formatCode="&quot;R$&quot;\ #,##0,,&quot;M&quot;"/>
    <numFmt numFmtId="180" formatCode="0&quot; dias&quot;"/>
    <numFmt numFmtId="181" formatCode="\R&quot;R$&quot;\ #,##0"/>
    <numFmt numFmtId="182" formatCode="\R&quot;R$&quot;\ #,##0;\(\R&quot;R$&quot;\ #,##0\)"/>
    <numFmt numFmtId="183" formatCode="\R&quot;R$&quot;\ #,##0,,&quot;M&quot;"/>
    <numFmt numFmtId="184" formatCode="0.0&quot;x&quot;"/>
    <numFmt numFmtId="185" formatCode="0.0"/>
  </numFmts>
  <fonts count="85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B8401A"/>
      <name val="Arial"/>
      <family val="2"/>
    </font>
    <font>
      <sz val="10"/>
      <color rgb="FFB8401A"/>
      <name val="Arial"/>
      <family val="2"/>
    </font>
    <font>
      <i/>
      <sz val="9"/>
      <color rgb="FF0000FF"/>
      <name val="Arial"/>
      <family val="2"/>
    </font>
    <font>
      <i/>
      <sz val="9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666666"/>
      <name val="Arial"/>
      <family val="2"/>
    </font>
    <font>
      <sz val="10"/>
      <color rgb="FF000000"/>
      <name val="Arial"/>
      <family val="2"/>
    </font>
    <font>
      <i/>
      <sz val="9"/>
      <color rgb="FF666666"/>
      <name val="Arial"/>
      <family val="2"/>
    </font>
    <font>
      <b/>
      <sz val="9"/>
      <color theme="0"/>
      <name val="Arial"/>
      <family val="2"/>
    </font>
    <font>
      <b/>
      <sz val="10"/>
      <color rgb="FF0000FF"/>
      <name val="Arial"/>
      <family val="2"/>
    </font>
    <font>
      <sz val="10"/>
      <color rgb="FF6E4B00"/>
      <name val="Arial"/>
      <family val="2"/>
    </font>
    <font>
      <sz val="9"/>
      <color rgb="FF505050"/>
      <name val="Arial"/>
      <family val="2"/>
    </font>
    <font>
      <i/>
      <sz val="9"/>
      <color rgb="FF505050"/>
      <name val="Arial"/>
      <family val="2"/>
    </font>
    <font>
      <i/>
      <sz val="10"/>
      <color rgb="FF505050"/>
      <name val="Arial"/>
      <family val="2"/>
    </font>
    <font>
      <b/>
      <sz val="9"/>
      <color theme="3" tint="-0.499984740745262"/>
      <name val="Arial"/>
      <family val="2"/>
    </font>
    <font>
      <b/>
      <sz val="10"/>
      <color rgb="FF6E4B00"/>
      <name val="Arial"/>
      <family val="2"/>
    </font>
    <font>
      <i/>
      <sz val="9"/>
      <color rgb="FF654200"/>
      <name val="Arial"/>
      <family val="2"/>
    </font>
    <font>
      <sz val="11"/>
      <color theme="0"/>
      <name val="Calibri"/>
      <family val="2"/>
      <charset val="1"/>
    </font>
    <font>
      <sz val="8"/>
      <color rgb="FF808080"/>
      <name val="Tahoma"/>
      <family val="2"/>
    </font>
    <font>
      <b/>
      <sz val="9"/>
      <color theme="1"/>
      <name val="Tahoma"/>
      <family val="2"/>
    </font>
    <font>
      <b/>
      <sz val="8"/>
      <color rgb="FF505050"/>
      <name val="Tahoma"/>
      <family val="2"/>
    </font>
    <font>
      <b/>
      <sz val="10"/>
      <color rgb="FFFFFFFF"/>
      <name val="Tahoma"/>
      <family val="2"/>
    </font>
    <font>
      <b/>
      <sz val="11"/>
      <color theme="1"/>
      <name val="Calibri"/>
      <family val="2"/>
      <charset val="1"/>
    </font>
    <font>
      <i/>
      <sz val="8"/>
      <color rgb="FF505050"/>
      <name val="Arial"/>
      <family val="2"/>
    </font>
    <font>
      <b/>
      <sz val="11"/>
      <color rgb="FF0000FF"/>
      <name val="Calibri"/>
      <family val="2"/>
      <charset val="1"/>
    </font>
    <font>
      <i/>
      <sz val="11"/>
      <color rgb="FF666666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i/>
      <sz val="9"/>
      <color rgb="FF505050"/>
      <name val="Arial"/>
      <family val="2"/>
    </font>
    <font>
      <b/>
      <i/>
      <sz val="9"/>
      <color rgb="FF0000FF"/>
      <name val="Arial"/>
      <family val="2"/>
    </font>
    <font>
      <sz val="10"/>
      <color rgb="FFC62828"/>
      <name val="Arial"/>
      <family val="2"/>
    </font>
    <font>
      <sz val="8"/>
      <color theme="2" tint="-0.749992370372631"/>
      <name val="Tahoma"/>
      <family val="2"/>
    </font>
    <font>
      <b/>
      <sz val="16"/>
      <color rgb="FFFFFFFF"/>
      <name val="Tahoma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rgb="FF0000FF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9B6A7D"/>
      <name val="Tahoma"/>
      <family val="2"/>
    </font>
    <font>
      <b/>
      <sz val="13"/>
      <color rgb="FF7D4E5E"/>
      <name val="Tahoma"/>
      <family val="2"/>
    </font>
    <font>
      <b/>
      <sz val="8"/>
      <color rgb="FFFFFFFF"/>
      <name val="Tahoma"/>
      <family val="2"/>
    </font>
    <font>
      <b/>
      <sz val="9"/>
      <color rgb="FFFFFFFF"/>
      <name val="Tahoma"/>
      <family val="2"/>
    </font>
    <font>
      <b/>
      <sz val="18"/>
      <color rgb="FF7D4E5E"/>
      <name val="Tahoma"/>
      <family val="2"/>
    </font>
    <font>
      <b/>
      <sz val="14"/>
      <color rgb="FFFFFFFF"/>
      <name val="Tahoma"/>
      <family val="2"/>
    </font>
    <font>
      <sz val="11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6"/>
      <color rgb="FF7D4E5E"/>
      <name val="Tahoma"/>
      <family val="2"/>
    </font>
    <font>
      <b/>
      <sz val="11"/>
      <color rgb="FF7D4E5E"/>
      <name val="Calibri"/>
      <family val="2"/>
      <charset val="1"/>
    </font>
    <font>
      <b/>
      <sz val="13"/>
      <color rgb="FFE5B3BB"/>
      <name val="Arial"/>
      <family val="2"/>
    </font>
    <font>
      <b/>
      <sz val="12"/>
      <color rgb="FF7D4E5E"/>
      <name val="Arial"/>
      <family val="2"/>
    </font>
    <font>
      <b/>
      <sz val="9"/>
      <color rgb="FFE5B3BB"/>
      <name val="Arial"/>
      <family val="2"/>
    </font>
    <font>
      <b/>
      <sz val="14"/>
      <color rgb="FFE5B3BB"/>
      <name val="Arial"/>
      <family val="2"/>
    </font>
    <font>
      <b/>
      <sz val="10"/>
      <color rgb="FF3D2A33"/>
      <name val="Arial"/>
      <family val="2"/>
    </font>
    <font>
      <b/>
      <sz val="10"/>
      <color rgb="FFE5B3BB"/>
      <name val="Arial"/>
      <family val="2"/>
    </font>
    <font>
      <b/>
      <sz val="12"/>
      <color rgb="FFE5B3BB"/>
      <name val="Arial"/>
      <family val="2"/>
    </font>
    <font>
      <b/>
      <sz val="10"/>
      <color rgb="FF7D4E5E"/>
      <name val="Arial"/>
      <family val="2"/>
    </font>
    <font>
      <b/>
      <sz val="12"/>
      <color rgb="FFFFFFFF"/>
      <name val="Tahoma"/>
      <family val="2"/>
    </font>
    <font>
      <b/>
      <sz val="9"/>
      <color theme="2" tint="-0.749992370372631"/>
      <name val="Arial"/>
      <family val="2"/>
    </font>
    <font>
      <sz val="9"/>
      <color rgb="FF9B6A7D"/>
      <name val="Arial"/>
      <family val="2"/>
    </font>
    <font>
      <b/>
      <sz val="10"/>
      <color rgb="FF9B6A7D"/>
      <name val="Arial"/>
      <family val="2"/>
    </font>
    <font>
      <b/>
      <sz val="10"/>
      <color rgb="FF9B6A7D"/>
      <name val="Calibri"/>
      <family val="2"/>
    </font>
    <font>
      <b/>
      <sz val="11"/>
      <color rgb="FF9B6A7D"/>
      <name val="Calibri"/>
      <family val="2"/>
      <charset val="1"/>
    </font>
    <font>
      <i/>
      <sz val="9"/>
      <color rgb="FF9B6A7D"/>
      <name val="Arial"/>
      <family val="2"/>
    </font>
    <font>
      <b/>
      <sz val="10"/>
      <color rgb="FFC08497"/>
      <name val="Arial"/>
      <family val="2"/>
    </font>
    <font>
      <b/>
      <sz val="12"/>
      <color rgb="FFC08497"/>
      <name val="Calibri"/>
      <family val="2"/>
      <charset val="1"/>
    </font>
    <font>
      <sz val="10"/>
      <color rgb="FF9B6A7D"/>
      <name val="Arial"/>
      <family val="2"/>
    </font>
    <font>
      <sz val="11"/>
      <color rgb="FFC08497"/>
      <name val="Calibri"/>
      <family val="2"/>
      <charset val="1"/>
    </font>
    <font>
      <i/>
      <sz val="9"/>
      <color rgb="FF7D4E5E"/>
      <name val="Arial"/>
      <family val="2"/>
    </font>
    <font>
      <b/>
      <i/>
      <sz val="9"/>
      <color rgb="FF7D4E5E"/>
      <name val="Arial"/>
      <family val="2"/>
    </font>
    <font>
      <sz val="12"/>
      <color theme="1"/>
      <name val="Calibri"/>
      <family val="2"/>
      <charset val="1"/>
    </font>
    <font>
      <i/>
      <sz val="12"/>
      <color rgb="FF9B6A7D"/>
      <name val="Tahoma"/>
      <family val="2"/>
    </font>
    <font>
      <sz val="12"/>
      <color theme="1"/>
      <name val="Tahoma"/>
      <family val="2"/>
    </font>
    <font>
      <b/>
      <sz val="12"/>
      <color rgb="FF7D4E5E"/>
      <name val="Tahoma"/>
      <family val="2"/>
    </font>
    <font>
      <i/>
      <sz val="12"/>
      <color rgb="FF999999"/>
      <name val="Tahoma"/>
      <family val="2"/>
    </font>
    <font>
      <b/>
      <sz val="12"/>
      <color theme="1"/>
      <name val="Tahoma"/>
      <family val="2"/>
    </font>
    <font>
      <b/>
      <sz val="12"/>
      <color rgb="FF0000FF"/>
      <name val="Tahoma"/>
      <family val="2"/>
    </font>
    <font>
      <sz val="12"/>
      <color rgb="FF7D4E5E"/>
      <name val="Tahoma"/>
      <family val="2"/>
    </font>
    <font>
      <sz val="12"/>
      <color rgb="FF3D2A33"/>
      <name val="Tahoma"/>
      <family val="2"/>
    </font>
    <font>
      <sz val="12"/>
      <color rgb="FF0000FF"/>
      <name val="Tahoma"/>
      <family val="2"/>
    </font>
    <font>
      <i/>
      <sz val="12"/>
      <color rgb="FF7D4E5E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EDE8DE"/>
        <bgColor rgb="FFF5EAE5"/>
      </patternFill>
    </fill>
    <fill>
      <patternFill patternType="solid">
        <fgColor theme="1"/>
        <bgColor rgb="FFF5F0E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2" tint="-0.89999084444715716"/>
        <bgColor rgb="FFF5EAE5"/>
      </patternFill>
    </fill>
    <fill>
      <patternFill patternType="solid">
        <fgColor theme="0" tint="-0.14999847407452621"/>
        <bgColor rgb="FFF5EAE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rgb="FFF5EAE5"/>
      </patternFill>
    </fill>
    <fill>
      <patternFill patternType="solid">
        <fgColor rgb="FFF5EAE6"/>
        <bgColor rgb="FFF5F0E0"/>
      </patternFill>
    </fill>
    <fill>
      <patternFill patternType="solid">
        <fgColor rgb="FFF5EAE6"/>
        <bgColor indexed="64"/>
      </patternFill>
    </fill>
    <fill>
      <patternFill patternType="solid">
        <fgColor theme="1"/>
        <bgColor rgb="FF993366"/>
      </patternFill>
    </fill>
    <fill>
      <patternFill patternType="solid">
        <fgColor theme="1"/>
        <bgColor rgb="FF888888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rgb="FF2A3A5A"/>
      </patternFill>
    </fill>
    <fill>
      <patternFill patternType="solid">
        <fgColor theme="1"/>
        <bgColor rgb="FF1A5C3C"/>
      </patternFill>
    </fill>
    <fill>
      <patternFill patternType="solid">
        <fgColor rgb="FF7D4E5E"/>
        <bgColor indexed="64"/>
      </patternFill>
    </fill>
    <fill>
      <patternFill patternType="solid">
        <fgColor rgb="FFF7EDF0"/>
        <bgColor indexed="64"/>
      </patternFill>
    </fill>
    <fill>
      <patternFill patternType="solid">
        <fgColor rgb="FF9B6A7D"/>
        <bgColor indexed="64"/>
      </patternFill>
    </fill>
    <fill>
      <patternFill patternType="solid">
        <fgColor rgb="FF3D2A33"/>
        <bgColor indexed="64"/>
      </patternFill>
    </fill>
    <fill>
      <patternFill patternType="solid">
        <fgColor rgb="FFFAF4F6"/>
        <bgColor indexed="64"/>
      </patternFill>
    </fill>
    <fill>
      <patternFill patternType="solid">
        <fgColor rgb="FFFCF7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9CC"/>
        <bgColor indexed="64"/>
      </patternFill>
    </fill>
    <fill>
      <patternFill patternType="solid">
        <fgColor theme="2" tint="-9.9978637043366805E-2"/>
        <bgColor rgb="FF2A3A5A"/>
      </patternFill>
    </fill>
    <fill>
      <patternFill patternType="solid">
        <fgColor rgb="FFC08497"/>
        <bgColor indexed="64"/>
      </patternFill>
    </fill>
    <fill>
      <patternFill patternType="solid">
        <fgColor theme="2" tint="-9.9978637043366805E-2"/>
        <bgColor indexed="64"/>
      </patternFill>
    </fill>
  </fills>
  <borders count="63">
    <border>
      <left/>
      <right/>
      <top/>
      <bottom/>
      <diagonal/>
    </border>
    <border>
      <left style="medium">
        <color rgb="FF1A5C3C"/>
      </left>
      <right style="medium">
        <color rgb="FF1A5C3C"/>
      </right>
      <top style="medium">
        <color rgb="FF1A5C3C"/>
      </top>
      <bottom style="medium">
        <color rgb="FF1A5C3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92D050"/>
      </top>
      <bottom/>
      <diagonal/>
    </border>
    <border>
      <left/>
      <right style="medium">
        <color rgb="FF92D050"/>
      </right>
      <top style="medium">
        <color rgb="FF92D050"/>
      </top>
      <bottom/>
      <diagonal/>
    </border>
    <border>
      <left style="medium">
        <color rgb="FF92D050"/>
      </left>
      <right/>
      <top/>
      <bottom style="medium">
        <color rgb="FF92D050"/>
      </bottom>
      <diagonal/>
    </border>
    <border>
      <left/>
      <right/>
      <top/>
      <bottom style="medium">
        <color rgb="FF92D050"/>
      </bottom>
      <diagonal/>
    </border>
    <border>
      <left/>
      <right style="medium">
        <color rgb="FF92D050"/>
      </right>
      <top/>
      <bottom style="medium">
        <color rgb="FF92D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92D050"/>
      </left>
      <right/>
      <top/>
      <bottom/>
      <diagonal/>
    </border>
    <border>
      <left/>
      <right style="medium">
        <color rgb="FF92D050"/>
      </right>
      <top/>
      <bottom/>
      <diagonal/>
    </border>
    <border>
      <left/>
      <right style="medium">
        <color rgb="FF92D050"/>
      </right>
      <top/>
      <bottom style="medium">
        <color indexed="64"/>
      </bottom>
      <diagonal/>
    </border>
    <border>
      <left style="medium">
        <color rgb="FF92D05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92D050"/>
      </right>
      <top style="medium">
        <color indexed="64"/>
      </top>
      <bottom style="medium">
        <color indexed="64"/>
      </bottom>
      <diagonal/>
    </border>
    <border>
      <left style="medium">
        <color rgb="FF92D050"/>
      </left>
      <right/>
      <top/>
      <bottom style="medium">
        <color indexed="64"/>
      </bottom>
      <diagonal/>
    </border>
    <border>
      <left style="thin">
        <color rgb="FFDDDDDD"/>
      </left>
      <right style="medium">
        <color rgb="FF92D050"/>
      </right>
      <top style="thin">
        <color rgb="FFDDDDDD"/>
      </top>
      <bottom style="thin">
        <color rgb="FFDDDDDD"/>
      </bottom>
      <diagonal/>
    </border>
    <border>
      <left/>
      <right style="medium">
        <color rgb="FF92D050"/>
      </right>
      <top style="thin">
        <color rgb="FFDDDDDD"/>
      </top>
      <bottom/>
      <diagonal/>
    </border>
    <border>
      <left/>
      <right style="medium">
        <color rgb="FF92D050"/>
      </right>
      <top style="thin">
        <color rgb="FFDDDDDD"/>
      </top>
      <bottom style="thin">
        <color rgb="FFDDDDDD"/>
      </bottom>
      <diagonal/>
    </border>
    <border>
      <left/>
      <right/>
      <top style="medium">
        <color rgb="FFC08497"/>
      </top>
      <bottom/>
      <diagonal/>
    </border>
    <border>
      <left/>
      <right style="medium">
        <color rgb="FF92D050"/>
      </right>
      <top style="medium">
        <color rgb="FFC08497"/>
      </top>
      <bottom/>
      <diagonal/>
    </border>
    <border>
      <left/>
      <right/>
      <top/>
      <bottom style="medium">
        <color rgb="FFC08497"/>
      </bottom>
      <diagonal/>
    </border>
    <border>
      <left style="medium">
        <color rgb="FFC08497"/>
      </left>
      <right/>
      <top style="medium">
        <color rgb="FFC08497"/>
      </top>
      <bottom/>
      <diagonal/>
    </border>
    <border>
      <left style="medium">
        <color rgb="FFC08497"/>
      </left>
      <right/>
      <top/>
      <bottom/>
      <diagonal/>
    </border>
    <border>
      <left style="medium">
        <color rgb="FFC08497"/>
      </left>
      <right/>
      <top/>
      <bottom style="medium">
        <color rgb="FFC08497"/>
      </bottom>
      <diagonal/>
    </border>
    <border>
      <left/>
      <right style="medium">
        <color rgb="FFC08497"/>
      </right>
      <top style="medium">
        <color rgb="FFC08497"/>
      </top>
      <bottom/>
      <diagonal/>
    </border>
    <border>
      <left/>
      <right style="medium">
        <color rgb="FFC08497"/>
      </right>
      <top/>
      <bottom/>
      <diagonal/>
    </border>
    <border>
      <left/>
      <right style="medium">
        <color rgb="FFC08497"/>
      </right>
      <top/>
      <bottom style="medium">
        <color rgb="FFC08497"/>
      </bottom>
      <diagonal/>
    </border>
    <border>
      <left/>
      <right/>
      <top style="thin">
        <color rgb="FFD9B3BE"/>
      </top>
      <bottom/>
      <diagonal/>
    </border>
    <border>
      <left/>
      <right/>
      <top/>
      <bottom style="thin">
        <color rgb="FFD9B3BE"/>
      </bottom>
      <diagonal/>
    </border>
    <border>
      <left style="thin">
        <color rgb="FFD9B3BE"/>
      </left>
      <right style="thin">
        <color rgb="FFD9B3BE"/>
      </right>
      <top style="thin">
        <color rgb="FFD9B3BE"/>
      </top>
      <bottom style="thin">
        <color rgb="FFD9B3B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C08497"/>
      </bottom>
      <diagonal/>
    </border>
    <border>
      <left style="medium">
        <color rgb="FFC08497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C08497"/>
      </left>
      <right/>
      <top style="thin">
        <color rgb="FFDDDDDD"/>
      </top>
      <bottom/>
      <diagonal/>
    </border>
    <border>
      <left style="medium">
        <color rgb="FFC08497"/>
      </left>
      <right/>
      <top/>
      <bottom style="medium">
        <color rgb="FF92D050"/>
      </bottom>
      <diagonal/>
    </border>
    <border>
      <left style="medium">
        <color rgb="FFC08497"/>
      </left>
      <right/>
      <top style="medium">
        <color rgb="FF92D050"/>
      </top>
      <bottom/>
      <diagonal/>
    </border>
    <border>
      <left style="thin">
        <color rgb="FFDDDDDD"/>
      </left>
      <right style="medium">
        <color rgb="FFC08497"/>
      </right>
      <top style="thin">
        <color rgb="FFDDDDDD"/>
      </top>
      <bottom style="thin">
        <color rgb="FFDDDDDD"/>
      </bottom>
      <diagonal/>
    </border>
    <border>
      <left/>
      <right style="medium">
        <color rgb="FFC08497"/>
      </right>
      <top style="thin">
        <color rgb="FFDDDDDD"/>
      </top>
      <bottom/>
      <diagonal/>
    </border>
    <border>
      <left/>
      <right style="medium">
        <color rgb="FFC08497"/>
      </right>
      <top/>
      <bottom style="medium">
        <color rgb="FF92D050"/>
      </bottom>
      <diagonal/>
    </border>
    <border>
      <left/>
      <right style="medium">
        <color rgb="FFC08497"/>
      </right>
      <top style="medium">
        <color rgb="FF92D050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medium">
        <color rgb="FFC08497"/>
      </bottom>
      <diagonal/>
    </border>
    <border>
      <left style="medium">
        <color rgb="FFC08497"/>
      </left>
      <right style="thin">
        <color rgb="FFDDDDDD"/>
      </right>
      <top style="thin">
        <color rgb="FFDDDDDD"/>
      </top>
      <bottom style="medium">
        <color indexed="64"/>
      </bottom>
      <diagonal/>
    </border>
    <border>
      <left style="medium">
        <color rgb="FFC08497"/>
      </left>
      <right/>
      <top/>
      <bottom style="thin">
        <color indexed="64"/>
      </bottom>
      <diagonal/>
    </border>
    <border>
      <left style="medium">
        <color rgb="FFC0849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8497"/>
      </left>
      <right style="thin">
        <color indexed="64"/>
      </right>
      <top style="thin">
        <color indexed="64"/>
      </top>
      <bottom/>
      <diagonal/>
    </border>
    <border>
      <left style="medium">
        <color rgb="FFC08497"/>
      </left>
      <right style="thin">
        <color rgb="FF92D050"/>
      </right>
      <top style="thin">
        <color rgb="FF92D050"/>
      </top>
      <bottom style="medium">
        <color rgb="FFC08497"/>
      </bottom>
      <diagonal/>
    </border>
    <border>
      <left/>
      <right style="medium">
        <color rgb="FFC08497"/>
      </right>
      <top/>
      <bottom style="medium">
        <color indexed="64"/>
      </bottom>
      <diagonal/>
    </border>
    <border>
      <left/>
      <right style="medium">
        <color rgb="FFC08497"/>
      </right>
      <top/>
      <bottom style="thin">
        <color indexed="64"/>
      </bottom>
      <diagonal/>
    </border>
    <border>
      <left style="thin">
        <color indexed="64"/>
      </left>
      <right style="medium">
        <color rgb="FFC0849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C08497"/>
      </right>
      <top style="thin">
        <color indexed="64"/>
      </top>
      <bottom/>
      <diagonal/>
    </border>
    <border>
      <left style="thin">
        <color rgb="FF92D050"/>
      </left>
      <right style="medium">
        <color rgb="FFC08497"/>
      </right>
      <top style="thin">
        <color rgb="FF92D050"/>
      </top>
      <bottom style="medium">
        <color rgb="FFC08497"/>
      </bottom>
      <diagonal/>
    </border>
    <border>
      <left style="medium">
        <color rgb="FFC08497"/>
      </left>
      <right style="thin">
        <color rgb="FFDDDDDD"/>
      </right>
      <top style="thin">
        <color rgb="FFDDDDDD"/>
      </top>
      <bottom style="medium">
        <color rgb="FFC08497"/>
      </bottom>
      <diagonal/>
    </border>
    <border>
      <left style="thin">
        <color rgb="FFDDDDDD"/>
      </left>
      <right style="medium">
        <color rgb="FFC08497"/>
      </right>
      <top style="thin">
        <color rgb="FFDDDDDD"/>
      </top>
      <bottom style="medium">
        <color rgb="FFC08497"/>
      </bottom>
      <diagonal/>
    </border>
    <border>
      <left style="medium">
        <color rgb="FFC08497"/>
      </left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53">
    <xf numFmtId="0" fontId="0" fillId="0" borderId="0" xfId="0"/>
    <xf numFmtId="3" fontId="3" fillId="0" borderId="2" xfId="0" applyNumberFormat="1" applyFont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14" fillId="0" borderId="2" xfId="0" applyNumberFormat="1" applyFont="1" applyBorder="1" applyAlignment="1">
      <alignment horizontal="right" vertical="center"/>
    </xf>
    <xf numFmtId="0" fontId="21" fillId="0" borderId="0" xfId="0" applyFont="1"/>
    <xf numFmtId="0" fontId="0" fillId="7" borderId="0" xfId="0" applyFill="1"/>
    <xf numFmtId="0" fontId="26" fillId="0" borderId="0" xfId="0" applyFont="1"/>
    <xf numFmtId="0" fontId="0" fillId="9" borderId="0" xfId="0" applyFill="1"/>
    <xf numFmtId="0" fontId="21" fillId="9" borderId="0" xfId="0" applyFont="1" applyFill="1"/>
    <xf numFmtId="3" fontId="0" fillId="0" borderId="0" xfId="0" applyNumberFormat="1"/>
    <xf numFmtId="0" fontId="21" fillId="7" borderId="0" xfId="0" applyFont="1" applyFill="1"/>
    <xf numFmtId="177" fontId="2" fillId="0" borderId="2" xfId="0" applyNumberFormat="1" applyFont="1" applyBorder="1" applyAlignment="1">
      <alignment horizontal="right" vertical="center"/>
    </xf>
    <xf numFmtId="177" fontId="30" fillId="0" borderId="15" xfId="0" applyNumberFormat="1" applyFont="1" applyBorder="1" applyAlignment="1">
      <alignment horizontal="right"/>
    </xf>
    <xf numFmtId="164" fontId="5" fillId="16" borderId="2" xfId="0" applyNumberFormat="1" applyFont="1" applyFill="1" applyBorder="1" applyAlignment="1">
      <alignment horizontal="center" vertical="center"/>
    </xf>
    <xf numFmtId="168" fontId="5" fillId="16" borderId="2" xfId="0" applyNumberFormat="1" applyFont="1" applyFill="1" applyBorder="1" applyAlignment="1">
      <alignment horizontal="center" vertical="center"/>
    </xf>
    <xf numFmtId="172" fontId="5" fillId="16" borderId="2" xfId="0" applyNumberFormat="1" applyFont="1" applyFill="1" applyBorder="1" applyAlignment="1">
      <alignment horizontal="center" vertical="center"/>
    </xf>
    <xf numFmtId="167" fontId="5" fillId="16" borderId="2" xfId="0" applyNumberFormat="1" applyFont="1" applyFill="1" applyBorder="1" applyAlignment="1">
      <alignment horizontal="center" vertical="center"/>
    </xf>
    <xf numFmtId="169" fontId="5" fillId="16" borderId="2" xfId="0" applyNumberFormat="1" applyFont="1" applyFill="1" applyBorder="1" applyAlignment="1">
      <alignment horizontal="center" vertical="center"/>
    </xf>
    <xf numFmtId="166" fontId="5" fillId="16" borderId="2" xfId="0" applyNumberFormat="1" applyFont="1" applyFill="1" applyBorder="1" applyAlignment="1">
      <alignment horizontal="center" vertical="center"/>
    </xf>
    <xf numFmtId="170" fontId="5" fillId="16" borderId="2" xfId="0" applyNumberFormat="1" applyFont="1" applyFill="1" applyBorder="1" applyAlignment="1">
      <alignment horizontal="center" vertical="center"/>
    </xf>
    <xf numFmtId="164" fontId="4" fillId="16" borderId="2" xfId="0" applyNumberFormat="1" applyFont="1" applyFill="1" applyBorder="1" applyAlignment="1">
      <alignment horizontal="center" vertical="center"/>
    </xf>
    <xf numFmtId="166" fontId="4" fillId="16" borderId="2" xfId="0" applyNumberFormat="1" applyFont="1" applyFill="1" applyBorder="1" applyAlignment="1">
      <alignment horizontal="center" vertical="center"/>
    </xf>
    <xf numFmtId="177" fontId="5" fillId="16" borderId="2" xfId="0" applyNumberFormat="1" applyFont="1" applyFill="1" applyBorder="1" applyAlignment="1">
      <alignment horizontal="center" vertical="center"/>
    </xf>
    <xf numFmtId="3" fontId="5" fillId="16" borderId="2" xfId="0" applyNumberFormat="1" applyFont="1" applyFill="1" applyBorder="1" applyAlignment="1">
      <alignment horizontal="center" vertical="center"/>
    </xf>
    <xf numFmtId="0" fontId="0" fillId="0" borderId="20" xfId="0" applyBorder="1"/>
    <xf numFmtId="0" fontId="0" fillId="6" borderId="19" xfId="0" applyFill="1" applyBorder="1"/>
    <xf numFmtId="0" fontId="0" fillId="6" borderId="0" xfId="0" applyFill="1"/>
    <xf numFmtId="0" fontId="0" fillId="6" borderId="7" xfId="0" applyFill="1" applyBorder="1"/>
    <xf numFmtId="0" fontId="0" fillId="6" borderId="8" xfId="0" applyFill="1" applyBorder="1"/>
    <xf numFmtId="0" fontId="0" fillId="6" borderId="20" xfId="0" applyFill="1" applyBorder="1"/>
    <xf numFmtId="0" fontId="0" fillId="6" borderId="2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21" xfId="0" applyFill="1" applyBorder="1"/>
    <xf numFmtId="0" fontId="22" fillId="0" borderId="0" xfId="0" applyFont="1" applyAlignment="1">
      <alignment vertical="center"/>
    </xf>
    <xf numFmtId="0" fontId="29" fillId="0" borderId="15" xfId="0" quotePrefix="1" applyFont="1" applyBorder="1"/>
    <xf numFmtId="0" fontId="0" fillId="0" borderId="16" xfId="0" applyBorder="1"/>
    <xf numFmtId="0" fontId="15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left" vertical="center"/>
    </xf>
    <xf numFmtId="0" fontId="34" fillId="13" borderId="14" xfId="0" applyFont="1" applyFill="1" applyBorder="1" applyAlignment="1">
      <alignment horizontal="right" vertical="center"/>
    </xf>
    <xf numFmtId="0" fontId="34" fillId="13" borderId="15" xfId="0" applyFont="1" applyFill="1" applyBorder="1" applyAlignment="1">
      <alignment horizontal="right" vertical="center"/>
    </xf>
    <xf numFmtId="0" fontId="34" fillId="13" borderId="16" xfId="0" applyFont="1" applyFill="1" applyBorder="1" applyAlignment="1">
      <alignment horizontal="right" vertical="center"/>
    </xf>
    <xf numFmtId="0" fontId="0" fillId="6" borderId="2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34" fillId="13" borderId="19" xfId="0" applyFont="1" applyFill="1" applyBorder="1" applyAlignment="1">
      <alignment horizontal="left" vertical="center"/>
    </xf>
    <xf numFmtId="0" fontId="34" fillId="13" borderId="0" xfId="0" applyFont="1" applyFill="1" applyAlignment="1">
      <alignment horizontal="left" vertical="center"/>
    </xf>
    <xf numFmtId="0" fontId="34" fillId="13" borderId="20" xfId="0" applyFont="1" applyFill="1" applyBorder="1" applyAlignment="1">
      <alignment horizontal="left" vertical="center"/>
    </xf>
    <xf numFmtId="0" fontId="20" fillId="12" borderId="20" xfId="0" applyFont="1" applyFill="1" applyBorder="1" applyAlignment="1">
      <alignment horizontal="center" vertical="center"/>
    </xf>
    <xf numFmtId="0" fontId="39" fillId="0" borderId="0" xfId="0" applyFont="1"/>
    <xf numFmtId="0" fontId="9" fillId="0" borderId="0" xfId="0" applyFont="1"/>
    <xf numFmtId="0" fontId="0" fillId="0" borderId="28" xfId="0" applyBorder="1"/>
    <xf numFmtId="0" fontId="35" fillId="22" borderId="0" xfId="0" applyFont="1" applyFill="1" applyBorder="1" applyAlignment="1">
      <alignment horizontal="center" vertical="center"/>
    </xf>
    <xf numFmtId="0" fontId="43" fillId="5" borderId="0" xfId="0" applyFont="1" applyFill="1" applyBorder="1" applyAlignment="1">
      <alignment horizontal="right" vertical="center"/>
    </xf>
    <xf numFmtId="0" fontId="0" fillId="0" borderId="0" xfId="0" applyBorder="1"/>
    <xf numFmtId="0" fontId="44" fillId="23" borderId="0" xfId="0" applyFont="1" applyFill="1" applyBorder="1" applyAlignment="1">
      <alignment horizontal="center" vertical="center"/>
    </xf>
    <xf numFmtId="0" fontId="24" fillId="5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45" fillId="24" borderId="0" xfId="0" applyFont="1" applyFill="1" applyBorder="1" applyAlignment="1">
      <alignment horizontal="center"/>
    </xf>
    <xf numFmtId="176" fontId="47" fillId="23" borderId="0" xfId="0" applyNumberFormat="1" applyFont="1" applyFill="1" applyBorder="1" applyAlignment="1">
      <alignment horizontal="center" vertical="center"/>
    </xf>
    <xf numFmtId="179" fontId="47" fillId="23" borderId="0" xfId="0" applyNumberFormat="1" applyFont="1" applyFill="1" applyBorder="1" applyAlignment="1">
      <alignment horizontal="center" vertical="center"/>
    </xf>
    <xf numFmtId="164" fontId="47" fillId="23" borderId="0" xfId="0" applyNumberFormat="1" applyFont="1" applyFill="1" applyBorder="1" applyAlignment="1">
      <alignment horizontal="center" vertical="center"/>
    </xf>
    <xf numFmtId="0" fontId="47" fillId="23" borderId="0" xfId="0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/>
    </xf>
    <xf numFmtId="0" fontId="23" fillId="7" borderId="0" xfId="0" applyFont="1" applyFill="1" applyBorder="1" applyAlignment="1">
      <alignment horizontal="center"/>
    </xf>
    <xf numFmtId="0" fontId="23" fillId="7" borderId="20" xfId="0" applyFont="1" applyFill="1" applyBorder="1" applyAlignment="1">
      <alignment horizontal="center"/>
    </xf>
    <xf numFmtId="0" fontId="46" fillId="24" borderId="30" xfId="0" applyFont="1" applyFill="1" applyBorder="1" applyAlignment="1">
      <alignment horizontal="center"/>
    </xf>
    <xf numFmtId="0" fontId="0" fillId="0" borderId="31" xfId="0" applyBorder="1"/>
    <xf numFmtId="0" fontId="35" fillId="22" borderId="32" xfId="0" applyFont="1" applyFill="1" applyBorder="1" applyAlignment="1">
      <alignment horizontal="center" vertical="center"/>
    </xf>
    <xf numFmtId="0" fontId="43" fillId="5" borderId="32" xfId="0" applyFont="1" applyFill="1" applyBorder="1" applyAlignment="1">
      <alignment horizontal="right" vertical="center"/>
    </xf>
    <xf numFmtId="0" fontId="0" fillId="0" borderId="32" xfId="0" applyBorder="1"/>
    <xf numFmtId="0" fontId="25" fillId="22" borderId="3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45" fillId="24" borderId="32" xfId="0" applyFont="1" applyFill="1" applyBorder="1" applyAlignment="1">
      <alignment horizontal="center"/>
    </xf>
    <xf numFmtId="0" fontId="46" fillId="24" borderId="33" xfId="0" applyFont="1" applyFill="1" applyBorder="1" applyAlignment="1">
      <alignment horizontal="center"/>
    </xf>
    <xf numFmtId="0" fontId="0" fillId="0" borderId="34" xfId="0" applyBorder="1"/>
    <xf numFmtId="0" fontId="35" fillId="22" borderId="35" xfId="0" applyFont="1" applyFill="1" applyBorder="1" applyAlignment="1">
      <alignment horizontal="center" vertical="center"/>
    </xf>
    <xf numFmtId="0" fontId="43" fillId="5" borderId="35" xfId="0" applyFont="1" applyFill="1" applyBorder="1" applyAlignment="1">
      <alignment horizontal="right" vertical="center"/>
    </xf>
    <xf numFmtId="0" fontId="0" fillId="0" borderId="35" xfId="0" applyBorder="1"/>
    <xf numFmtId="0" fontId="24" fillId="5" borderId="35" xfId="0" applyFont="1" applyFill="1" applyBorder="1" applyAlignment="1">
      <alignment horizontal="left" vertical="center"/>
    </xf>
    <xf numFmtId="0" fontId="0" fillId="0" borderId="35" xfId="0" applyBorder="1" applyAlignment="1">
      <alignment horizontal="center"/>
    </xf>
    <xf numFmtId="0" fontId="45" fillId="24" borderId="35" xfId="0" applyFont="1" applyFill="1" applyBorder="1" applyAlignment="1">
      <alignment horizontal="center"/>
    </xf>
    <xf numFmtId="178" fontId="47" fillId="23" borderId="35" xfId="0" applyNumberFormat="1" applyFont="1" applyFill="1" applyBorder="1" applyAlignment="1">
      <alignment horizontal="center" vertical="center"/>
    </xf>
    <xf numFmtId="0" fontId="46" fillId="24" borderId="36" xfId="0" applyFont="1" applyFill="1" applyBorder="1" applyAlignment="1">
      <alignment horizontal="center"/>
    </xf>
    <xf numFmtId="0" fontId="25" fillId="22" borderId="22" xfId="0" applyFont="1" applyFill="1" applyBorder="1" applyAlignment="1">
      <alignment horizontal="left"/>
    </xf>
    <xf numFmtId="0" fontId="25" fillId="22" borderId="10" xfId="0" applyFont="1" applyFill="1" applyBorder="1" applyAlignment="1">
      <alignment horizontal="left"/>
    </xf>
    <xf numFmtId="0" fontId="25" fillId="22" borderId="11" xfId="0" applyFont="1" applyFill="1" applyBorder="1" applyAlignment="1">
      <alignment horizontal="left"/>
    </xf>
    <xf numFmtId="0" fontId="25" fillId="22" borderId="9" xfId="0" applyFont="1" applyFill="1" applyBorder="1" applyAlignment="1">
      <alignment horizontal="left" vertical="center"/>
    </xf>
    <xf numFmtId="0" fontId="25" fillId="22" borderId="10" xfId="0" applyFont="1" applyFill="1" applyBorder="1" applyAlignment="1">
      <alignment horizontal="left" vertical="center"/>
    </xf>
    <xf numFmtId="0" fontId="25" fillId="22" borderId="23" xfId="0" applyFont="1" applyFill="1" applyBorder="1" applyAlignment="1">
      <alignment horizontal="left" vertical="center"/>
    </xf>
    <xf numFmtId="0" fontId="25" fillId="22" borderId="9" xfId="0" applyFont="1" applyFill="1" applyBorder="1" applyAlignment="1">
      <alignment horizontal="left"/>
    </xf>
    <xf numFmtId="0" fontId="25" fillId="22" borderId="23" xfId="0" applyFont="1" applyFill="1" applyBorder="1" applyAlignment="1">
      <alignment horizontal="left"/>
    </xf>
    <xf numFmtId="0" fontId="0" fillId="6" borderId="0" xfId="0" applyFill="1" applyBorder="1"/>
    <xf numFmtId="0" fontId="50" fillId="24" borderId="0" xfId="0" applyFont="1" applyFill="1" applyBorder="1" applyAlignment="1">
      <alignment horizontal="center" vertical="center"/>
    </xf>
    <xf numFmtId="0" fontId="25" fillId="24" borderId="0" xfId="0" applyFont="1" applyFill="1" applyBorder="1" applyAlignment="1">
      <alignment horizontal="center" vertical="center"/>
    </xf>
    <xf numFmtId="0" fontId="52" fillId="23" borderId="0" xfId="0" applyFont="1" applyFill="1" applyBorder="1" applyAlignment="1">
      <alignment horizontal="center" vertical="center"/>
    </xf>
    <xf numFmtId="177" fontId="51" fillId="23" borderId="0" xfId="0" applyNumberFormat="1" applyFont="1" applyFill="1" applyBorder="1" applyAlignment="1">
      <alignment horizontal="center" vertical="center"/>
    </xf>
    <xf numFmtId="174" fontId="51" fillId="23" borderId="0" xfId="0" applyNumberFormat="1" applyFont="1" applyFill="1" applyBorder="1" applyAlignment="1">
      <alignment horizontal="center" vertical="center"/>
    </xf>
    <xf numFmtId="168" fontId="51" fillId="23" borderId="0" xfId="0" applyNumberFormat="1" applyFont="1" applyFill="1" applyBorder="1" applyAlignment="1">
      <alignment horizontal="center" vertical="center"/>
    </xf>
    <xf numFmtId="0" fontId="49" fillId="22" borderId="28" xfId="0" applyFont="1" applyFill="1" applyBorder="1"/>
    <xf numFmtId="0" fontId="50" fillId="24" borderId="30" xfId="0" applyFont="1" applyFill="1" applyBorder="1" applyAlignment="1">
      <alignment horizontal="center" vertical="center"/>
    </xf>
    <xf numFmtId="0" fontId="25" fillId="24" borderId="30" xfId="0" applyFont="1" applyFill="1" applyBorder="1" applyAlignment="1">
      <alignment horizontal="center" vertical="center"/>
    </xf>
    <xf numFmtId="0" fontId="48" fillId="22" borderId="31" xfId="0" applyFont="1" applyFill="1" applyBorder="1" applyAlignment="1">
      <alignment horizontal="left"/>
    </xf>
    <xf numFmtId="0" fontId="0" fillId="6" borderId="32" xfId="0" applyFill="1" applyBorder="1"/>
    <xf numFmtId="0" fontId="25" fillId="24" borderId="32" xfId="0" applyFont="1" applyFill="1" applyBorder="1" applyAlignment="1">
      <alignment horizontal="center" vertical="center"/>
    </xf>
    <xf numFmtId="177" fontId="51" fillId="23" borderId="32" xfId="0" applyNumberFormat="1" applyFont="1" applyFill="1" applyBorder="1" applyAlignment="1">
      <alignment horizontal="center" vertical="center"/>
    </xf>
    <xf numFmtId="0" fontId="25" fillId="24" borderId="33" xfId="0" applyFont="1" applyFill="1" applyBorder="1" applyAlignment="1">
      <alignment horizontal="center" vertical="center"/>
    </xf>
    <xf numFmtId="0" fontId="49" fillId="22" borderId="34" xfId="0" applyFont="1" applyFill="1" applyBorder="1"/>
    <xf numFmtId="0" fontId="0" fillId="6" borderId="35" xfId="0" applyFill="1" applyBorder="1"/>
    <xf numFmtId="0" fontId="50" fillId="24" borderId="35" xfId="0" applyFont="1" applyFill="1" applyBorder="1" applyAlignment="1">
      <alignment horizontal="center" vertical="center"/>
    </xf>
    <xf numFmtId="0" fontId="52" fillId="23" borderId="35" xfId="0" applyFont="1" applyFill="1" applyBorder="1" applyAlignment="1">
      <alignment horizontal="center" vertical="center"/>
    </xf>
    <xf numFmtId="0" fontId="50" fillId="24" borderId="36" xfId="0" applyFont="1" applyFill="1" applyBorder="1" applyAlignment="1">
      <alignment horizontal="center" vertical="center"/>
    </xf>
    <xf numFmtId="0" fontId="54" fillId="23" borderId="1" xfId="0" applyFont="1" applyFill="1" applyBorder="1" applyAlignment="1">
      <alignment horizontal="center" vertical="center"/>
    </xf>
    <xf numFmtId="0" fontId="55" fillId="8" borderId="18" xfId="0" applyFont="1" applyFill="1" applyBorder="1" applyAlignment="1">
      <alignment horizontal="left" vertical="center"/>
    </xf>
    <xf numFmtId="0" fontId="56" fillId="4" borderId="0" xfId="0" applyFont="1" applyFill="1" applyAlignment="1">
      <alignment vertical="center"/>
    </xf>
    <xf numFmtId="0" fontId="57" fillId="26" borderId="2" xfId="0" applyFont="1" applyFill="1" applyBorder="1" applyAlignment="1">
      <alignment horizontal="center" vertical="center"/>
    </xf>
    <xf numFmtId="0" fontId="57" fillId="23" borderId="2" xfId="0" applyFont="1" applyFill="1" applyBorder="1" applyAlignment="1">
      <alignment horizontal="center" vertical="center"/>
    </xf>
    <xf numFmtId="0" fontId="58" fillId="25" borderId="20" xfId="0" applyFont="1" applyFill="1" applyBorder="1" applyAlignment="1">
      <alignment horizontal="left" vertical="center"/>
    </xf>
    <xf numFmtId="167" fontId="8" fillId="26" borderId="2" xfId="0" applyNumberFormat="1" applyFont="1" applyFill="1" applyBorder="1" applyAlignment="1">
      <alignment horizontal="center" vertical="center"/>
    </xf>
    <xf numFmtId="167" fontId="8" fillId="23" borderId="2" xfId="0" applyNumberFormat="1" applyFont="1" applyFill="1" applyBorder="1" applyAlignment="1">
      <alignment horizontal="center" vertical="center"/>
    </xf>
    <xf numFmtId="0" fontId="58" fillId="25" borderId="0" xfId="0" applyFont="1" applyFill="1"/>
    <xf numFmtId="4" fontId="8" fillId="26" borderId="2" xfId="0" applyNumberFormat="1" applyFont="1" applyFill="1" applyBorder="1" applyAlignment="1">
      <alignment horizontal="center" vertical="center"/>
    </xf>
    <xf numFmtId="4" fontId="8" fillId="23" borderId="2" xfId="0" applyNumberFormat="1" applyFont="1" applyFill="1" applyBorder="1" applyAlignment="1">
      <alignment horizontal="center" vertical="center"/>
    </xf>
    <xf numFmtId="171" fontId="40" fillId="23" borderId="0" xfId="0" applyNumberFormat="1" applyFont="1" applyFill="1" applyAlignment="1">
      <alignment horizontal="center"/>
    </xf>
    <xf numFmtId="171" fontId="8" fillId="26" borderId="2" xfId="0" applyNumberFormat="1" applyFont="1" applyFill="1" applyBorder="1" applyAlignment="1">
      <alignment horizontal="center" vertical="center"/>
    </xf>
    <xf numFmtId="171" fontId="8" fillId="23" borderId="2" xfId="0" applyNumberFormat="1" applyFont="1" applyFill="1" applyBorder="1" applyAlignment="1">
      <alignment horizontal="center" vertical="center"/>
    </xf>
    <xf numFmtId="168" fontId="8" fillId="26" borderId="2" xfId="0" applyNumberFormat="1" applyFont="1" applyFill="1" applyBorder="1" applyAlignment="1">
      <alignment horizontal="center" vertical="center"/>
    </xf>
    <xf numFmtId="168" fontId="8" fillId="23" borderId="2" xfId="0" applyNumberFormat="1" applyFont="1" applyFill="1" applyBorder="1" applyAlignment="1">
      <alignment horizontal="center" vertical="center"/>
    </xf>
    <xf numFmtId="3" fontId="8" fillId="26" borderId="2" xfId="0" applyNumberFormat="1" applyFont="1" applyFill="1" applyBorder="1" applyAlignment="1">
      <alignment horizontal="center" vertical="center"/>
    </xf>
    <xf numFmtId="3" fontId="8" fillId="23" borderId="2" xfId="0" applyNumberFormat="1" applyFont="1" applyFill="1" applyBorder="1" applyAlignment="1">
      <alignment horizontal="center" vertical="center"/>
    </xf>
    <xf numFmtId="164" fontId="8" fillId="26" borderId="2" xfId="0" applyNumberFormat="1" applyFont="1" applyFill="1" applyBorder="1" applyAlignment="1">
      <alignment horizontal="center" vertical="center"/>
    </xf>
    <xf numFmtId="164" fontId="8" fillId="23" borderId="2" xfId="0" applyNumberFormat="1" applyFont="1" applyFill="1" applyBorder="1" applyAlignment="1">
      <alignment horizontal="center" vertical="center"/>
    </xf>
    <xf numFmtId="164" fontId="13" fillId="23" borderId="2" xfId="0" applyNumberFormat="1" applyFont="1" applyFill="1" applyBorder="1" applyAlignment="1">
      <alignment horizontal="center" vertical="center"/>
    </xf>
    <xf numFmtId="178" fontId="8" fillId="26" borderId="2" xfId="0" applyNumberFormat="1" applyFont="1" applyFill="1" applyBorder="1" applyAlignment="1">
      <alignment horizontal="center" vertical="center"/>
    </xf>
    <xf numFmtId="178" fontId="8" fillId="23" borderId="2" xfId="0" applyNumberFormat="1" applyFont="1" applyFill="1" applyBorder="1" applyAlignment="1">
      <alignment horizontal="center" vertical="center"/>
    </xf>
    <xf numFmtId="0" fontId="16" fillId="23" borderId="3" xfId="0" applyFont="1" applyFill="1" applyBorder="1" applyAlignment="1">
      <alignment horizontal="left" vertical="center" wrapText="1"/>
    </xf>
    <xf numFmtId="168" fontId="32" fillId="23" borderId="15" xfId="0" applyNumberFormat="1" applyFont="1" applyFill="1" applyBorder="1" applyAlignment="1">
      <alignment horizontal="right" vertical="center" wrapText="1"/>
    </xf>
    <xf numFmtId="0" fontId="57" fillId="15" borderId="2" xfId="0" applyFont="1" applyFill="1" applyBorder="1" applyAlignment="1">
      <alignment horizontal="center" vertical="center"/>
    </xf>
    <xf numFmtId="164" fontId="14" fillId="23" borderId="2" xfId="0" applyNumberFormat="1" applyFont="1" applyFill="1" applyBorder="1" applyAlignment="1">
      <alignment horizontal="center" vertical="center"/>
    </xf>
    <xf numFmtId="168" fontId="14" fillId="23" borderId="2" xfId="0" applyNumberFormat="1" applyFont="1" applyFill="1" applyBorder="1" applyAlignment="1">
      <alignment horizontal="center" vertical="center"/>
    </xf>
    <xf numFmtId="172" fontId="14" fillId="23" borderId="2" xfId="0" applyNumberFormat="1" applyFont="1" applyFill="1" applyBorder="1" applyAlignment="1">
      <alignment horizontal="center" vertical="center"/>
    </xf>
    <xf numFmtId="167" fontId="14" fillId="23" borderId="2" xfId="0" applyNumberFormat="1" applyFont="1" applyFill="1" applyBorder="1" applyAlignment="1">
      <alignment horizontal="center" vertical="center"/>
    </xf>
    <xf numFmtId="169" fontId="14" fillId="23" borderId="2" xfId="0" applyNumberFormat="1" applyFont="1" applyFill="1" applyBorder="1" applyAlignment="1">
      <alignment horizontal="center" vertical="center"/>
    </xf>
    <xf numFmtId="166" fontId="14" fillId="23" borderId="2" xfId="0" applyNumberFormat="1" applyFont="1" applyFill="1" applyBorder="1" applyAlignment="1">
      <alignment horizontal="center" vertical="center"/>
    </xf>
    <xf numFmtId="170" fontId="14" fillId="23" borderId="2" xfId="0" applyNumberFormat="1" applyFont="1" applyFill="1" applyBorder="1" applyAlignment="1">
      <alignment horizontal="center" vertical="center"/>
    </xf>
    <xf numFmtId="164" fontId="19" fillId="23" borderId="2" xfId="0" applyNumberFormat="1" applyFont="1" applyFill="1" applyBorder="1" applyAlignment="1">
      <alignment horizontal="center" vertical="center"/>
    </xf>
    <xf numFmtId="166" fontId="19" fillId="23" borderId="2" xfId="0" applyNumberFormat="1" applyFont="1" applyFill="1" applyBorder="1" applyAlignment="1">
      <alignment horizontal="center" vertical="center"/>
    </xf>
    <xf numFmtId="177" fontId="14" fillId="23" borderId="2" xfId="0" applyNumberFormat="1" applyFont="1" applyFill="1" applyBorder="1" applyAlignment="1">
      <alignment horizontal="center" vertical="center"/>
    </xf>
    <xf numFmtId="3" fontId="14" fillId="23" borderId="2" xfId="0" applyNumberFormat="1" applyFont="1" applyFill="1" applyBorder="1" applyAlignment="1">
      <alignment horizontal="center" vertical="center"/>
    </xf>
    <xf numFmtId="180" fontId="47" fillId="23" borderId="32" xfId="0" applyNumberFormat="1" applyFont="1" applyFill="1" applyBorder="1" applyAlignment="1">
      <alignment horizontal="center" vertical="center"/>
    </xf>
    <xf numFmtId="0" fontId="61" fillId="24" borderId="0" xfId="0" applyFont="1" applyFill="1"/>
    <xf numFmtId="0" fontId="61" fillId="22" borderId="0" xfId="0" applyFont="1" applyFill="1"/>
    <xf numFmtId="0" fontId="61" fillId="24" borderId="38" xfId="0" applyFont="1" applyFill="1" applyBorder="1" applyAlignment="1"/>
    <xf numFmtId="167" fontId="64" fillId="0" borderId="2" xfId="0" applyNumberFormat="1" applyFont="1" applyBorder="1" applyAlignment="1">
      <alignment horizontal="right" vertical="center"/>
    </xf>
    <xf numFmtId="4" fontId="64" fillId="0" borderId="2" xfId="0" applyNumberFormat="1" applyFont="1" applyBorder="1" applyAlignment="1">
      <alignment horizontal="right" vertical="center"/>
    </xf>
    <xf numFmtId="171" fontId="64" fillId="0" borderId="2" xfId="0" applyNumberFormat="1" applyFont="1" applyBorder="1" applyAlignment="1">
      <alignment horizontal="right" vertical="center"/>
    </xf>
    <xf numFmtId="168" fontId="64" fillId="0" borderId="2" xfId="0" applyNumberFormat="1" applyFont="1" applyBorder="1" applyAlignment="1">
      <alignment horizontal="right" vertical="center"/>
    </xf>
    <xf numFmtId="3" fontId="64" fillId="0" borderId="2" xfId="0" applyNumberFormat="1" applyFont="1" applyBorder="1" applyAlignment="1">
      <alignment horizontal="right" vertical="center"/>
    </xf>
    <xf numFmtId="164" fontId="64" fillId="0" borderId="2" xfId="0" applyNumberFormat="1" applyFont="1" applyBorder="1" applyAlignment="1">
      <alignment horizontal="right" vertical="center"/>
    </xf>
    <xf numFmtId="167" fontId="65" fillId="0" borderId="4" xfId="0" applyNumberFormat="1" applyFont="1" applyBorder="1" applyAlignment="1">
      <alignment horizontal="right"/>
    </xf>
    <xf numFmtId="173" fontId="65" fillId="0" borderId="4" xfId="0" applyNumberFormat="1" applyFont="1" applyBorder="1" applyAlignment="1">
      <alignment horizontal="right"/>
    </xf>
    <xf numFmtId="164" fontId="65" fillId="0" borderId="4" xfId="0" applyNumberFormat="1" applyFont="1" applyBorder="1" applyAlignment="1">
      <alignment horizontal="right"/>
    </xf>
    <xf numFmtId="174" fontId="65" fillId="0" borderId="4" xfId="0" applyNumberFormat="1" applyFont="1" applyBorder="1" applyAlignment="1">
      <alignment horizontal="right"/>
    </xf>
    <xf numFmtId="175" fontId="65" fillId="0" borderId="17" xfId="0" applyNumberFormat="1" applyFont="1" applyBorder="1" applyAlignment="1">
      <alignment horizontal="right"/>
    </xf>
    <xf numFmtId="0" fontId="69" fillId="8" borderId="12" xfId="0" applyFont="1" applyFill="1" applyBorder="1" applyAlignment="1">
      <alignment horizontal="center"/>
    </xf>
    <xf numFmtId="0" fontId="69" fillId="8" borderId="13" xfId="0" applyFont="1" applyFill="1" applyBorder="1" applyAlignment="1">
      <alignment horizontal="center"/>
    </xf>
    <xf numFmtId="3" fontId="70" fillId="0" borderId="2" xfId="0" applyNumberFormat="1" applyFont="1" applyBorder="1" applyAlignment="1">
      <alignment horizontal="right" vertical="center"/>
    </xf>
    <xf numFmtId="3" fontId="70" fillId="0" borderId="2" xfId="0" quotePrefix="1" applyNumberFormat="1" applyFont="1" applyBorder="1" applyAlignment="1">
      <alignment horizontal="right" vertical="center"/>
    </xf>
    <xf numFmtId="164" fontId="60" fillId="0" borderId="2" xfId="0" applyNumberFormat="1" applyFont="1" applyBorder="1" applyAlignment="1">
      <alignment horizontal="right" vertical="center"/>
    </xf>
    <xf numFmtId="0" fontId="37" fillId="31" borderId="2" xfId="0" applyFont="1" applyFill="1" applyBorder="1" applyAlignment="1">
      <alignment horizontal="center" vertical="center"/>
    </xf>
    <xf numFmtId="165" fontId="36" fillId="31" borderId="2" xfId="0" applyNumberFormat="1" applyFont="1" applyFill="1" applyBorder="1" applyAlignment="1">
      <alignment horizontal="right" vertical="center"/>
    </xf>
    <xf numFmtId="0" fontId="38" fillId="31" borderId="2" xfId="0" applyFont="1" applyFill="1" applyBorder="1" applyAlignment="1">
      <alignment horizontal="center" vertical="center"/>
    </xf>
    <xf numFmtId="0" fontId="68" fillId="11" borderId="27" xfId="0" applyFont="1" applyFill="1" applyBorder="1" applyAlignment="1">
      <alignment horizontal="center" vertical="center"/>
    </xf>
    <xf numFmtId="164" fontId="60" fillId="23" borderId="2" xfId="0" applyNumberFormat="1" applyFont="1" applyFill="1" applyBorder="1" applyAlignment="1">
      <alignment horizontal="center" vertical="center"/>
    </xf>
    <xf numFmtId="168" fontId="60" fillId="23" borderId="2" xfId="0" applyNumberFormat="1" applyFont="1" applyFill="1" applyBorder="1" applyAlignment="1">
      <alignment horizontal="center" vertical="center"/>
    </xf>
    <xf numFmtId="172" fontId="60" fillId="23" borderId="2" xfId="0" applyNumberFormat="1" applyFont="1" applyFill="1" applyBorder="1" applyAlignment="1">
      <alignment horizontal="center" vertical="center"/>
    </xf>
    <xf numFmtId="167" fontId="60" fillId="23" borderId="2" xfId="0" applyNumberFormat="1" applyFont="1" applyFill="1" applyBorder="1" applyAlignment="1">
      <alignment horizontal="center" vertical="center"/>
    </xf>
    <xf numFmtId="169" fontId="60" fillId="23" borderId="2" xfId="0" applyNumberFormat="1" applyFont="1" applyFill="1" applyBorder="1" applyAlignment="1">
      <alignment horizontal="center" vertical="center"/>
    </xf>
    <xf numFmtId="166" fontId="60" fillId="23" borderId="2" xfId="0" applyNumberFormat="1" applyFont="1" applyFill="1" applyBorder="1" applyAlignment="1">
      <alignment horizontal="center" vertical="center"/>
    </xf>
    <xf numFmtId="170" fontId="60" fillId="23" borderId="2" xfId="0" applyNumberFormat="1" applyFont="1" applyFill="1" applyBorder="1" applyAlignment="1">
      <alignment horizontal="center" vertical="center"/>
    </xf>
    <xf numFmtId="177" fontId="60" fillId="23" borderId="2" xfId="0" applyNumberFormat="1" applyFont="1" applyFill="1" applyBorder="1" applyAlignment="1">
      <alignment horizontal="center" vertical="center"/>
    </xf>
    <xf numFmtId="3" fontId="60" fillId="23" borderId="2" xfId="0" applyNumberFormat="1" applyFont="1" applyFill="1" applyBorder="1" applyAlignment="1">
      <alignment horizontal="center" vertical="center"/>
    </xf>
    <xf numFmtId="0" fontId="56" fillId="25" borderId="28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67" fillId="0" borderId="0" xfId="0" applyFont="1" applyBorder="1" applyAlignment="1">
      <alignment horizontal="left" vertical="center"/>
    </xf>
    <xf numFmtId="0" fontId="58" fillId="25" borderId="0" xfId="0" applyFont="1" applyFill="1" applyBorder="1" applyAlignment="1">
      <alignment horizontal="left" vertical="center"/>
    </xf>
    <xf numFmtId="177" fontId="16" fillId="23" borderId="0" xfId="0" applyNumberFormat="1" applyFont="1" applyFill="1" applyBorder="1" applyAlignment="1">
      <alignment horizontal="left" vertical="center" wrapText="1"/>
    </xf>
    <xf numFmtId="0" fontId="16" fillId="23" borderId="0" xfId="0" applyFont="1" applyFill="1" applyBorder="1" applyAlignment="1">
      <alignment horizontal="left" vertical="center" wrapText="1"/>
    </xf>
    <xf numFmtId="177" fontId="28" fillId="0" borderId="0" xfId="0" applyNumberFormat="1" applyFont="1" applyBorder="1" applyAlignment="1">
      <alignment horizontal="right"/>
    </xf>
    <xf numFmtId="0" fontId="29" fillId="0" borderId="0" xfId="0" applyFont="1" applyBorder="1"/>
    <xf numFmtId="168" fontId="30" fillId="10" borderId="0" xfId="0" applyNumberFormat="1" applyFont="1" applyFill="1" applyBorder="1" applyAlignment="1">
      <alignment horizontal="right"/>
    </xf>
    <xf numFmtId="0" fontId="29" fillId="0" borderId="0" xfId="0" quotePrefix="1" applyFont="1" applyBorder="1"/>
    <xf numFmtId="177" fontId="30" fillId="0" borderId="0" xfId="0" applyNumberFormat="1" applyFont="1" applyBorder="1" applyAlignment="1">
      <alignment horizontal="right"/>
    </xf>
    <xf numFmtId="3" fontId="28" fillId="0" borderId="0" xfId="0" applyNumberFormat="1" applyFont="1" applyBorder="1" applyAlignment="1">
      <alignment horizontal="right"/>
    </xf>
    <xf numFmtId="9" fontId="28" fillId="0" borderId="0" xfId="0" applyNumberFormat="1" applyFont="1" applyBorder="1" applyAlignment="1">
      <alignment horizontal="right"/>
    </xf>
    <xf numFmtId="1" fontId="28" fillId="0" borderId="0" xfId="0" applyNumberFormat="1" applyFont="1" applyBorder="1" applyAlignment="1">
      <alignment horizontal="right"/>
    </xf>
    <xf numFmtId="10" fontId="28" fillId="0" borderId="0" xfId="0" applyNumberFormat="1" applyFont="1" applyBorder="1" applyAlignment="1">
      <alignment horizontal="right"/>
    </xf>
    <xf numFmtId="168" fontId="29" fillId="0" borderId="0" xfId="0" applyNumberFormat="1" applyFont="1" applyBorder="1" applyAlignment="1">
      <alignment horizontal="center"/>
    </xf>
    <xf numFmtId="168" fontId="8" fillId="26" borderId="40" xfId="0" applyNumberFormat="1" applyFont="1" applyFill="1" applyBorder="1" applyAlignment="1">
      <alignment horizontal="center" vertical="center"/>
    </xf>
    <xf numFmtId="168" fontId="8" fillId="23" borderId="40" xfId="0" applyNumberFormat="1" applyFont="1" applyFill="1" applyBorder="1" applyAlignment="1">
      <alignment horizontal="center" vertical="center"/>
    </xf>
    <xf numFmtId="0" fontId="56" fillId="25" borderId="31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68" fillId="14" borderId="41" xfId="0" applyFont="1" applyFill="1" applyBorder="1" applyAlignment="1">
      <alignment horizontal="center" vertical="center"/>
    </xf>
    <xf numFmtId="0" fontId="58" fillId="25" borderId="32" xfId="0" applyFont="1" applyFill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6" fillId="23" borderId="42" xfId="0" applyFont="1" applyFill="1" applyBorder="1" applyAlignment="1">
      <alignment horizontal="left" vertical="center" wrapText="1"/>
    </xf>
    <xf numFmtId="0" fontId="16" fillId="23" borderId="32" xfId="0" applyFont="1" applyFill="1" applyBorder="1" applyAlignment="1">
      <alignment horizontal="left" vertical="center" wrapText="1"/>
    </xf>
    <xf numFmtId="0" fontId="31" fillId="23" borderId="43" xfId="0" applyFont="1" applyFill="1" applyBorder="1" applyAlignment="1">
      <alignment horizontal="left" vertical="center" wrapText="1"/>
    </xf>
    <xf numFmtId="0" fontId="69" fillId="8" borderId="44" xfId="0" applyFont="1" applyFill="1" applyBorder="1" applyAlignment="1">
      <alignment horizontal="center"/>
    </xf>
    <xf numFmtId="0" fontId="26" fillId="0" borderId="32" xfId="0" applyFont="1" applyBorder="1"/>
    <xf numFmtId="0" fontId="26" fillId="0" borderId="43" xfId="0" applyFont="1" applyBorder="1"/>
    <xf numFmtId="0" fontId="26" fillId="0" borderId="33" xfId="0" applyFont="1" applyBorder="1"/>
    <xf numFmtId="0" fontId="56" fillId="25" borderId="34" xfId="0" applyFont="1" applyFill="1" applyBorder="1" applyAlignment="1">
      <alignment horizontal="center" vertical="center"/>
    </xf>
    <xf numFmtId="0" fontId="68" fillId="14" borderId="45" xfId="0" applyFont="1" applyFill="1" applyBorder="1" applyAlignment="1">
      <alignment horizontal="center" vertical="center"/>
    </xf>
    <xf numFmtId="0" fontId="58" fillId="25" borderId="35" xfId="0" applyFont="1" applyFill="1" applyBorder="1" applyAlignment="1">
      <alignment horizontal="left" vertical="center"/>
    </xf>
    <xf numFmtId="0" fontId="11" fillId="0" borderId="45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16" fillId="23" borderId="46" xfId="0" applyFont="1" applyFill="1" applyBorder="1" applyAlignment="1">
      <alignment horizontal="left" vertical="center" wrapText="1"/>
    </xf>
    <xf numFmtId="0" fontId="16" fillId="23" borderId="35" xfId="0" applyFont="1" applyFill="1" applyBorder="1" applyAlignment="1">
      <alignment horizontal="left" vertical="center" wrapText="1"/>
    </xf>
    <xf numFmtId="0" fontId="9" fillId="23" borderId="47" xfId="0" applyFont="1" applyFill="1" applyBorder="1" applyAlignment="1">
      <alignment horizontal="left" vertical="center" wrapText="1"/>
    </xf>
    <xf numFmtId="0" fontId="69" fillId="8" borderId="48" xfId="0" applyFont="1" applyFill="1" applyBorder="1" applyAlignment="1">
      <alignment horizontal="center"/>
    </xf>
    <xf numFmtId="0" fontId="29" fillId="0" borderId="36" xfId="0" applyFont="1" applyBorder="1"/>
    <xf numFmtId="0" fontId="53" fillId="25" borderId="28" xfId="0" applyFont="1" applyFill="1" applyBorder="1" applyAlignment="1">
      <alignment horizontal="center" vertical="center"/>
    </xf>
    <xf numFmtId="0" fontId="53" fillId="25" borderId="29" xfId="0" applyFont="1" applyFill="1" applyBorder="1" applyAlignment="1">
      <alignment horizontal="center" vertical="center"/>
    </xf>
    <xf numFmtId="1" fontId="63" fillId="0" borderId="0" xfId="0" applyNumberFormat="1" applyFont="1" applyBorder="1"/>
    <xf numFmtId="177" fontId="3" fillId="2" borderId="0" xfId="0" applyNumberFormat="1" applyFont="1" applyFill="1" applyBorder="1" applyAlignment="1">
      <alignment horizontal="left" vertical="center"/>
    </xf>
    <xf numFmtId="0" fontId="55" fillId="25" borderId="0" xfId="0" applyFont="1" applyFill="1" applyBorder="1" applyAlignment="1">
      <alignment horizontal="left" vertical="center"/>
    </xf>
    <xf numFmtId="168" fontId="66" fillId="0" borderId="49" xfId="0" applyNumberFormat="1" applyFont="1" applyBorder="1"/>
    <xf numFmtId="0" fontId="53" fillId="25" borderId="31" xfId="0" applyFont="1" applyFill="1" applyBorder="1" applyAlignment="1">
      <alignment horizontal="center" vertical="center"/>
    </xf>
    <xf numFmtId="0" fontId="62" fillId="30" borderId="32" xfId="0" applyFont="1" applyFill="1" applyBorder="1" applyAlignment="1">
      <alignment horizontal="left" vertical="center"/>
    </xf>
    <xf numFmtId="0" fontId="16" fillId="0" borderId="32" xfId="0" applyFont="1" applyBorder="1"/>
    <xf numFmtId="0" fontId="3" fillId="2" borderId="32" xfId="0" applyFont="1" applyFill="1" applyBorder="1" applyAlignment="1">
      <alignment horizontal="left" vertical="center"/>
    </xf>
    <xf numFmtId="0" fontId="55" fillId="25" borderId="32" xfId="0" applyFont="1" applyFill="1" applyBorder="1" applyAlignment="1">
      <alignment horizontal="left" vertical="center"/>
    </xf>
    <xf numFmtId="0" fontId="2" fillId="0" borderId="50" xfId="0" applyFont="1" applyBorder="1" applyAlignment="1">
      <alignment horizontal="left" vertical="center"/>
    </xf>
    <xf numFmtId="0" fontId="55" fillId="8" borderId="51" xfId="0" applyFont="1" applyFill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3" xfId="0" applyFont="1" applyBorder="1" applyAlignment="1">
      <alignment horizontal="left" vertical="center"/>
    </xf>
    <xf numFmtId="0" fontId="2" fillId="0" borderId="54" xfId="0" applyFont="1" applyBorder="1" applyAlignment="1">
      <alignment horizontal="left" vertical="center"/>
    </xf>
    <xf numFmtId="0" fontId="53" fillId="25" borderId="34" xfId="0" applyFont="1" applyFill="1" applyBorder="1" applyAlignment="1">
      <alignment horizontal="center" vertical="center"/>
    </xf>
    <xf numFmtId="0" fontId="17" fillId="0" borderId="35" xfId="0" applyFont="1" applyBorder="1" applyAlignment="1">
      <alignment vertical="center"/>
    </xf>
    <xf numFmtId="0" fontId="3" fillId="2" borderId="35" xfId="0" applyFont="1" applyFill="1" applyBorder="1" applyAlignment="1">
      <alignment horizontal="left" vertical="center"/>
    </xf>
    <xf numFmtId="0" fontId="55" fillId="25" borderId="35" xfId="0" applyFont="1" applyFill="1" applyBorder="1" applyAlignment="1">
      <alignment horizontal="left" vertical="center"/>
    </xf>
    <xf numFmtId="0" fontId="27" fillId="0" borderId="35" xfId="0" applyFont="1" applyBorder="1" applyAlignment="1">
      <alignment horizontal="left" vertical="center"/>
    </xf>
    <xf numFmtId="0" fontId="27" fillId="0" borderId="55" xfId="0" applyFont="1" applyBorder="1" applyAlignment="1">
      <alignment horizontal="left" vertical="center"/>
    </xf>
    <xf numFmtId="0" fontId="55" fillId="8" borderId="56" xfId="0" applyFont="1" applyFill="1" applyBorder="1" applyAlignment="1">
      <alignment horizontal="left" vertical="center"/>
    </xf>
    <xf numFmtId="0" fontId="16" fillId="0" borderId="57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59" fillId="25" borderId="28" xfId="0" applyFont="1" applyFill="1" applyBorder="1" applyAlignment="1">
      <alignment vertical="center"/>
    </xf>
    <xf numFmtId="0" fontId="3" fillId="0" borderId="0" xfId="0" applyFont="1" applyBorder="1"/>
    <xf numFmtId="0" fontId="60" fillId="23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1" fillId="25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8" fillId="31" borderId="0" xfId="0" applyFont="1" applyFill="1" applyBorder="1" applyAlignment="1">
      <alignment horizontal="center" vertical="center"/>
    </xf>
    <xf numFmtId="0" fontId="68" fillId="21" borderId="0" xfId="0" applyFont="1" applyFill="1" applyBorder="1" applyAlignment="1">
      <alignment horizontal="left" vertical="center"/>
    </xf>
    <xf numFmtId="0" fontId="68" fillId="20" borderId="0" xfId="0" applyFont="1" applyFill="1" applyBorder="1" applyAlignment="1">
      <alignment horizontal="left" vertical="center"/>
    </xf>
    <xf numFmtId="0" fontId="68" fillId="17" borderId="0" xfId="0" applyFont="1" applyFill="1" applyBorder="1" applyAlignment="1">
      <alignment horizontal="left" vertical="center"/>
    </xf>
    <xf numFmtId="0" fontId="68" fillId="18" borderId="0" xfId="0" applyFont="1" applyFill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177" fontId="33" fillId="0" borderId="0" xfId="0" applyNumberFormat="1" applyFont="1" applyBorder="1" applyAlignment="1">
      <alignment horizontal="right" vertical="center"/>
    </xf>
    <xf numFmtId="0" fontId="68" fillId="19" borderId="0" xfId="0" applyFont="1" applyFill="1" applyBorder="1" applyAlignment="1">
      <alignment horizontal="left" vertical="center"/>
    </xf>
    <xf numFmtId="0" fontId="15" fillId="0" borderId="40" xfId="0" applyFont="1" applyBorder="1" applyAlignment="1">
      <alignment horizontal="center" vertical="center"/>
    </xf>
    <xf numFmtId="168" fontId="2" fillId="0" borderId="40" xfId="0" applyNumberFormat="1" applyFont="1" applyBorder="1" applyAlignment="1">
      <alignment horizontal="right" vertical="center"/>
    </xf>
    <xf numFmtId="0" fontId="59" fillId="25" borderId="31" xfId="0" applyFont="1" applyFill="1" applyBorder="1" applyAlignment="1">
      <alignment vertical="center"/>
    </xf>
    <xf numFmtId="0" fontId="3" fillId="0" borderId="32" xfId="0" applyFont="1" applyBorder="1"/>
    <xf numFmtId="0" fontId="3" fillId="0" borderId="32" xfId="0" applyFont="1" applyBorder="1"/>
    <xf numFmtId="0" fontId="68" fillId="21" borderId="32" xfId="0" applyFont="1" applyFill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68" fillId="20" borderId="32" xfId="0" applyFont="1" applyFill="1" applyBorder="1" applyAlignment="1">
      <alignment horizontal="left" vertical="center"/>
    </xf>
    <xf numFmtId="0" fontId="68" fillId="17" borderId="32" xfId="0" applyFont="1" applyFill="1" applyBorder="1" applyAlignment="1">
      <alignment horizontal="left" vertical="center"/>
    </xf>
    <xf numFmtId="0" fontId="68" fillId="18" borderId="32" xfId="0" applyFont="1" applyFill="1" applyBorder="1" applyAlignment="1">
      <alignment horizontal="left" vertical="center"/>
    </xf>
    <xf numFmtId="0" fontId="68" fillId="19" borderId="32" xfId="0" applyFont="1" applyFill="1" applyBorder="1" applyAlignment="1">
      <alignment horizontal="left" vertical="center"/>
    </xf>
    <xf numFmtId="0" fontId="36" fillId="31" borderId="41" xfId="0" applyFont="1" applyFill="1" applyBorder="1" applyAlignment="1">
      <alignment horizontal="left" vertical="center"/>
    </xf>
    <xf numFmtId="0" fontId="2" fillId="0" borderId="60" xfId="0" applyFont="1" applyBorder="1" applyAlignment="1">
      <alignment horizontal="left" vertical="center"/>
    </xf>
    <xf numFmtId="0" fontId="59" fillId="25" borderId="34" xfId="0" applyFont="1" applyFill="1" applyBorder="1" applyAlignment="1">
      <alignment vertical="center"/>
    </xf>
    <xf numFmtId="0" fontId="18" fillId="31" borderId="35" xfId="0" applyFont="1" applyFill="1" applyBorder="1" applyAlignment="1">
      <alignment horizontal="center" vertical="center"/>
    </xf>
    <xf numFmtId="0" fontId="68" fillId="21" borderId="35" xfId="0" applyFont="1" applyFill="1" applyBorder="1" applyAlignment="1">
      <alignment horizontal="left" vertical="center"/>
    </xf>
    <xf numFmtId="3" fontId="70" fillId="0" borderId="45" xfId="0" quotePrefix="1" applyNumberFormat="1" applyFont="1" applyBorder="1" applyAlignment="1">
      <alignment horizontal="right" vertical="center"/>
    </xf>
    <xf numFmtId="3" fontId="70" fillId="0" borderId="45" xfId="0" applyNumberFormat="1" applyFont="1" applyBorder="1" applyAlignment="1">
      <alignment horizontal="right" vertical="center"/>
    </xf>
    <xf numFmtId="3" fontId="3" fillId="0" borderId="45" xfId="0" applyNumberFormat="1" applyFont="1" applyBorder="1" applyAlignment="1">
      <alignment horizontal="right" vertical="center"/>
    </xf>
    <xf numFmtId="0" fontId="68" fillId="20" borderId="35" xfId="0" applyFont="1" applyFill="1" applyBorder="1" applyAlignment="1">
      <alignment horizontal="left" vertical="center"/>
    </xf>
    <xf numFmtId="164" fontId="60" fillId="0" borderId="45" xfId="0" applyNumberFormat="1" applyFont="1" applyBorder="1" applyAlignment="1">
      <alignment horizontal="right" vertical="center"/>
    </xf>
    <xf numFmtId="164" fontId="2" fillId="0" borderId="45" xfId="0" applyNumberFormat="1" applyFont="1" applyBorder="1" applyAlignment="1">
      <alignment horizontal="right" vertical="center"/>
    </xf>
    <xf numFmtId="0" fontId="68" fillId="17" borderId="35" xfId="0" applyFont="1" applyFill="1" applyBorder="1" applyAlignment="1">
      <alignment horizontal="left" vertical="center"/>
    </xf>
    <xf numFmtId="164" fontId="5" fillId="0" borderId="45" xfId="0" applyNumberFormat="1" applyFont="1" applyBorder="1" applyAlignment="1">
      <alignment horizontal="right" vertical="center"/>
    </xf>
    <xf numFmtId="164" fontId="4" fillId="0" borderId="45" xfId="0" applyNumberFormat="1" applyFont="1" applyBorder="1" applyAlignment="1">
      <alignment horizontal="right" vertical="center"/>
    </xf>
    <xf numFmtId="0" fontId="68" fillId="18" borderId="35" xfId="0" applyFont="1" applyFill="1" applyBorder="1" applyAlignment="1">
      <alignment horizontal="left" vertical="center"/>
    </xf>
    <xf numFmtId="164" fontId="14" fillId="0" borderId="45" xfId="0" applyNumberFormat="1" applyFont="1" applyBorder="1" applyAlignment="1">
      <alignment horizontal="right" vertical="center"/>
    </xf>
    <xf numFmtId="177" fontId="33" fillId="0" borderId="35" xfId="0" applyNumberFormat="1" applyFont="1" applyBorder="1" applyAlignment="1">
      <alignment horizontal="right" vertical="center"/>
    </xf>
    <xf numFmtId="0" fontId="68" fillId="19" borderId="35" xfId="0" applyFont="1" applyFill="1" applyBorder="1" applyAlignment="1">
      <alignment horizontal="left" vertical="center"/>
    </xf>
    <xf numFmtId="177" fontId="2" fillId="0" borderId="45" xfId="0" applyNumberFormat="1" applyFont="1" applyBorder="1" applyAlignment="1">
      <alignment horizontal="right" vertical="center"/>
    </xf>
    <xf numFmtId="165" fontId="36" fillId="31" borderId="45" xfId="0" applyNumberFormat="1" applyFont="1" applyFill="1" applyBorder="1" applyAlignment="1">
      <alignment horizontal="right" vertical="center"/>
    </xf>
    <xf numFmtId="168" fontId="2" fillId="0" borderId="61" xfId="0" applyNumberFormat="1" applyFont="1" applyBorder="1" applyAlignment="1">
      <alignment horizontal="right" vertical="center"/>
    </xf>
    <xf numFmtId="0" fontId="20" fillId="12" borderId="0" xfId="0" applyFont="1" applyFill="1" applyBorder="1" applyAlignment="1">
      <alignment horizontal="center" vertical="center"/>
    </xf>
    <xf numFmtId="0" fontId="71" fillId="0" borderId="0" xfId="0" applyFont="1" applyBorder="1"/>
    <xf numFmtId="3" fontId="0" fillId="0" borderId="0" xfId="0" applyNumberFormat="1" applyBorder="1"/>
    <xf numFmtId="0" fontId="20" fillId="12" borderId="32" xfId="0" applyFont="1" applyFill="1" applyBorder="1" applyAlignment="1">
      <alignment horizontal="center" vertical="center"/>
    </xf>
    <xf numFmtId="0" fontId="68" fillId="11" borderId="62" xfId="0" applyFont="1" applyFill="1" applyBorder="1" applyAlignment="1">
      <alignment horizontal="center" vertical="center"/>
    </xf>
    <xf numFmtId="0" fontId="74" fillId="27" borderId="0" xfId="0" applyFont="1" applyFill="1"/>
    <xf numFmtId="0" fontId="61" fillId="22" borderId="0" xfId="0" applyFont="1" applyFill="1" applyAlignment="1">
      <alignment horizontal="left"/>
    </xf>
    <xf numFmtId="0" fontId="74" fillId="22" borderId="0" xfId="0" applyFont="1" applyFill="1"/>
    <xf numFmtId="0" fontId="75" fillId="27" borderId="0" xfId="0" applyFont="1" applyFill="1"/>
    <xf numFmtId="0" fontId="74" fillId="24" borderId="0" xfId="0" applyFont="1" applyFill="1"/>
    <xf numFmtId="0" fontId="76" fillId="27" borderId="0" xfId="0" applyFont="1" applyFill="1"/>
    <xf numFmtId="181" fontId="77" fillId="27" borderId="0" xfId="0" applyNumberFormat="1" applyFont="1" applyFill="1"/>
    <xf numFmtId="0" fontId="78" fillId="27" borderId="0" xfId="0" applyFont="1" applyFill="1"/>
    <xf numFmtId="9" fontId="77" fillId="27" borderId="0" xfId="0" applyNumberFormat="1" applyFont="1" applyFill="1"/>
    <xf numFmtId="0" fontId="78" fillId="27" borderId="0" xfId="0" quotePrefix="1" applyFont="1" applyFill="1"/>
    <xf numFmtId="0" fontId="77" fillId="23" borderId="0" xfId="0" applyFont="1" applyFill="1"/>
    <xf numFmtId="0" fontId="77" fillId="23" borderId="0" xfId="0" applyFont="1" applyFill="1" applyAlignment="1">
      <alignment horizontal="center"/>
    </xf>
    <xf numFmtId="3" fontId="76" fillId="27" borderId="0" xfId="0" applyNumberFormat="1" applyFont="1" applyFill="1" applyAlignment="1">
      <alignment horizontal="center"/>
    </xf>
    <xf numFmtId="3" fontId="77" fillId="27" borderId="0" xfId="0" applyNumberFormat="1" applyFont="1" applyFill="1" applyAlignment="1">
      <alignment horizontal="center"/>
    </xf>
    <xf numFmtId="181" fontId="76" fillId="27" borderId="0" xfId="0" applyNumberFormat="1" applyFont="1" applyFill="1" applyAlignment="1">
      <alignment horizontal="center"/>
    </xf>
    <xf numFmtId="181" fontId="77" fillId="27" borderId="0" xfId="0" applyNumberFormat="1" applyFont="1" applyFill="1" applyAlignment="1">
      <alignment horizontal="center"/>
    </xf>
    <xf numFmtId="9" fontId="76" fillId="27" borderId="0" xfId="0" applyNumberFormat="1" applyFont="1" applyFill="1" applyAlignment="1">
      <alignment horizontal="center"/>
    </xf>
    <xf numFmtId="9" fontId="77" fillId="27" borderId="0" xfId="0" applyNumberFormat="1" applyFont="1" applyFill="1" applyAlignment="1">
      <alignment horizontal="center"/>
    </xf>
    <xf numFmtId="182" fontId="76" fillId="27" borderId="0" xfId="0" applyNumberFormat="1" applyFont="1" applyFill="1" applyAlignment="1">
      <alignment horizontal="center"/>
    </xf>
    <xf numFmtId="182" fontId="77" fillId="27" borderId="0" xfId="0" applyNumberFormat="1" applyFont="1" applyFill="1" applyAlignment="1">
      <alignment horizontal="center"/>
    </xf>
    <xf numFmtId="183" fontId="76" fillId="27" borderId="0" xfId="0" applyNumberFormat="1" applyFont="1" applyFill="1" applyAlignment="1">
      <alignment horizontal="center"/>
    </xf>
    <xf numFmtId="184" fontId="76" fillId="27" borderId="0" xfId="0" applyNumberFormat="1" applyFont="1" applyFill="1" applyAlignment="1">
      <alignment horizontal="center"/>
    </xf>
    <xf numFmtId="0" fontId="79" fillId="23" borderId="0" xfId="0" applyFont="1" applyFill="1"/>
    <xf numFmtId="183" fontId="79" fillId="23" borderId="0" xfId="0" applyNumberFormat="1" applyFont="1" applyFill="1" applyAlignment="1">
      <alignment horizontal="center"/>
    </xf>
    <xf numFmtId="183" fontId="77" fillId="23" borderId="0" xfId="0" applyNumberFormat="1" applyFont="1" applyFill="1" applyAlignment="1">
      <alignment horizontal="center"/>
    </xf>
    <xf numFmtId="184" fontId="77" fillId="23" borderId="0" xfId="0" applyNumberFormat="1" applyFont="1" applyFill="1" applyAlignment="1">
      <alignment horizontal="center"/>
    </xf>
    <xf numFmtId="9" fontId="80" fillId="27" borderId="0" xfId="0" applyNumberFormat="1" applyFont="1" applyFill="1" applyAlignment="1">
      <alignment horizontal="center"/>
    </xf>
    <xf numFmtId="181" fontId="81" fillId="27" borderId="0" xfId="0" applyNumberFormat="1" applyFont="1" applyFill="1"/>
    <xf numFmtId="0" fontId="79" fillId="27" borderId="0" xfId="0" applyFont="1" applyFill="1"/>
    <xf numFmtId="0" fontId="82" fillId="27" borderId="0" xfId="0" applyFont="1" applyFill="1"/>
    <xf numFmtId="0" fontId="74" fillId="0" borderId="0" xfId="0" applyFont="1"/>
    <xf numFmtId="0" fontId="77" fillId="23" borderId="39" xfId="0" applyFont="1" applyFill="1" applyBorder="1" applyAlignment="1">
      <alignment horizontal="center"/>
    </xf>
    <xf numFmtId="9" fontId="83" fillId="0" borderId="39" xfId="0" applyNumberFormat="1" applyFont="1" applyBorder="1" applyAlignment="1">
      <alignment horizontal="center"/>
    </xf>
    <xf numFmtId="185" fontId="76" fillId="0" borderId="39" xfId="0" applyNumberFormat="1" applyFont="1" applyBorder="1" applyAlignment="1">
      <alignment horizontal="center"/>
    </xf>
    <xf numFmtId="181" fontId="76" fillId="0" borderId="39" xfId="0" applyNumberFormat="1" applyFont="1" applyBorder="1" applyAlignment="1">
      <alignment horizontal="center"/>
    </xf>
    <xf numFmtId="184" fontId="76" fillId="0" borderId="39" xfId="0" applyNumberFormat="1" applyFont="1" applyBorder="1" applyAlignment="1">
      <alignment horizontal="center"/>
    </xf>
    <xf numFmtId="0" fontId="76" fillId="0" borderId="39" xfId="0" applyFont="1" applyBorder="1" applyAlignment="1">
      <alignment horizontal="left"/>
    </xf>
    <xf numFmtId="9" fontId="80" fillId="28" borderId="39" xfId="0" applyNumberFormat="1" applyFont="1" applyFill="1" applyBorder="1" applyAlignment="1">
      <alignment horizontal="center"/>
    </xf>
    <xf numFmtId="185" fontId="76" fillId="29" borderId="39" xfId="0" applyNumberFormat="1" applyFont="1" applyFill="1" applyBorder="1" applyAlignment="1">
      <alignment horizontal="center"/>
    </xf>
    <xf numFmtId="181" fontId="76" fillId="29" borderId="39" xfId="0" applyNumberFormat="1" applyFont="1" applyFill="1" applyBorder="1" applyAlignment="1">
      <alignment horizontal="center"/>
    </xf>
    <xf numFmtId="184" fontId="76" fillId="29" borderId="39" xfId="0" applyNumberFormat="1" applyFont="1" applyFill="1" applyBorder="1" applyAlignment="1">
      <alignment horizontal="center"/>
    </xf>
    <xf numFmtId="0" fontId="76" fillId="29" borderId="39" xfId="0" applyFont="1" applyFill="1" applyBorder="1" applyAlignment="1">
      <alignment horizontal="left"/>
    </xf>
    <xf numFmtId="0" fontId="78" fillId="27" borderId="0" xfId="0" applyFont="1" applyFill="1" applyAlignment="1">
      <alignment horizontal="left" vertical="center" wrapText="1"/>
    </xf>
    <xf numFmtId="0" fontId="84" fillId="0" borderId="37" xfId="0" applyFont="1" applyBorder="1" applyAlignment="1">
      <alignment horizontal="left" wrapText="1"/>
    </xf>
    <xf numFmtId="0" fontId="84" fillId="0" borderId="0" xfId="0" applyFont="1" applyAlignment="1">
      <alignment horizontal="left" wrapText="1"/>
    </xf>
    <xf numFmtId="0" fontId="72" fillId="32" borderId="42" xfId="0" applyFont="1" applyFill="1" applyBorder="1" applyAlignment="1">
      <alignment horizontal="center" vertical="center" wrapText="1"/>
    </xf>
    <xf numFmtId="0" fontId="72" fillId="32" borderId="3" xfId="0" applyFont="1" applyFill="1" applyBorder="1" applyAlignment="1">
      <alignment horizontal="center" vertical="center" wrapText="1"/>
    </xf>
    <xf numFmtId="0" fontId="72" fillId="32" borderId="26" xfId="0" applyFont="1" applyFill="1" applyBorder="1" applyAlignment="1">
      <alignment horizontal="center" vertical="center" wrapText="1"/>
    </xf>
    <xf numFmtId="0" fontId="73" fillId="32" borderId="43" xfId="0" applyFont="1" applyFill="1" applyBorder="1" applyAlignment="1">
      <alignment horizontal="center" vertical="center" wrapText="1"/>
    </xf>
    <xf numFmtId="0" fontId="72" fillId="32" borderId="15" xfId="0" applyFont="1" applyFill="1" applyBorder="1" applyAlignment="1">
      <alignment horizontal="center" vertical="center" wrapText="1"/>
    </xf>
    <xf numFmtId="0" fontId="72" fillId="3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818"/>
      <rgbColor rgb="FF800080"/>
      <rgbColor rgb="FF008080"/>
      <rgbColor rgb="FFB3B3B3"/>
      <rgbColor rgb="FF888888"/>
      <rgbColor rgb="FF9999FF"/>
      <rgbColor rgb="FF993366"/>
      <rgbColor rgb="FFF5F0E0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AE5"/>
      <rgbColor rgb="FFEDE8DE"/>
      <rgbColor rgb="FFFFFF99"/>
      <rgbColor rgb="FF7DCBA8"/>
      <rgbColor rgb="FFFF99CC"/>
      <rgbColor rgb="FFCC99FF"/>
      <rgbColor rgb="FFDDDDDD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A5C3C"/>
      <rgbColor rgb="FF339966"/>
      <rgbColor rgb="FF0D0C09"/>
      <rgbColor rgb="FF333300"/>
      <rgbColor rgb="FFB8401A"/>
      <rgbColor rgb="FF993366"/>
      <rgbColor rgb="FF555555"/>
      <rgbColor rgb="FF2A3A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EAE6"/>
      <color rgb="FFF5F0E0"/>
      <color rgb="FF7ECBA8"/>
      <color rgb="FF315C53"/>
      <color rgb="FFE8F5EE"/>
      <color rgb="FFFFF8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7D4E5E"/>
                </a:solidFill>
                <a:latin typeface="Tahoma"/>
                <a:ea typeface="Tahoma"/>
                <a:cs typeface="Tahoma"/>
              </a:defRPr>
            </a:pPr>
            <a:r>
              <a:rPr lang="en-US"/>
              <a:t>Acumulado · 24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7D4E5E"/>
              </a:solidFill>
              <a:latin typeface="Tahoma"/>
              <a:ea typeface="Tahoma"/>
              <a:cs typeface="Tahoma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9B6A7D"/>
            </a:solidFill>
            <a:ln>
              <a:solidFill>
                <a:srgbClr val="9B6A7D"/>
              </a:solidFill>
              <a:prstDash val="solid"/>
            </a:ln>
            <a:effectLst/>
            <a:scene3d>
              <a:camera prst="orthographicFront"/>
              <a:lightRig rig="threePt" dir="t"/>
            </a:scene3d>
            <a:sp3d prstMaterial="metal">
              <a:bevelT w="88900" h="88900"/>
            </a:sp3d>
          </c:spPr>
          <c:cat>
            <c:strRef>
              <c:f>'🚀 Dashboard Investidor'!$L$77:$L$100</c:f>
              <c:strCache>
                <c:ptCount val="24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  <c:pt idx="5">
                  <c:v>M06</c:v>
                </c:pt>
                <c:pt idx="6">
                  <c:v>M07</c:v>
                </c:pt>
                <c:pt idx="7">
                  <c:v>M08</c:v>
                </c:pt>
                <c:pt idx="8">
                  <c:v>M09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'🚀 Dashboard Investidor'!$Q$77:$Q$100</c:f>
              <c:numCache>
                <c:formatCode>General</c:formatCode>
                <c:ptCount val="24"/>
                <c:pt idx="0">
                  <c:v>-44124.370450000002</c:v>
                </c:pt>
                <c:pt idx="1">
                  <c:v>-77373.111350000006</c:v>
                </c:pt>
                <c:pt idx="2">
                  <c:v>-99746.222699999998</c:v>
                </c:pt>
                <c:pt idx="3">
                  <c:v>-111243.70450000001</c:v>
                </c:pt>
                <c:pt idx="4">
                  <c:v>-111865.55675</c:v>
                </c:pt>
                <c:pt idx="5">
                  <c:v>-101611.77945</c:v>
                </c:pt>
                <c:pt idx="6">
                  <c:v>-80482.372600000002</c:v>
                </c:pt>
                <c:pt idx="7">
                  <c:v>-48477.33620000002</c:v>
                </c:pt>
                <c:pt idx="8">
                  <c:v>-5596.6702500000247</c:v>
                </c:pt>
                <c:pt idx="9">
                  <c:v>48159.625249999983</c:v>
                </c:pt>
                <c:pt idx="10">
                  <c:v>112791.55029999997</c:v>
                </c:pt>
                <c:pt idx="11">
                  <c:v>188299.10489999998</c:v>
                </c:pt>
                <c:pt idx="12">
                  <c:v>261494.89397499996</c:v>
                </c:pt>
                <c:pt idx="13">
                  <c:v>347378.91752499994</c:v>
                </c:pt>
                <c:pt idx="14">
                  <c:v>445951.17554999993</c:v>
                </c:pt>
                <c:pt idx="15">
                  <c:v>630249.51616999996</c:v>
                </c:pt>
                <c:pt idx="16">
                  <c:v>897941.85308499995</c:v>
                </c:pt>
                <c:pt idx="17">
                  <c:v>1247074.2942549998</c:v>
                </c:pt>
                <c:pt idx="18">
                  <c:v>1675766.86032</c:v>
                </c:pt>
                <c:pt idx="19">
                  <c:v>2182412.6530400002</c:v>
                </c:pt>
                <c:pt idx="20">
                  <c:v>2765532.964255</c:v>
                </c:pt>
                <c:pt idx="21">
                  <c:v>3423874.0956449998</c:v>
                </c:pt>
                <c:pt idx="22">
                  <c:v>4156250.7326499997</c:v>
                </c:pt>
                <c:pt idx="23">
                  <c:v>4961644.0044299997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BFF-964E-815A-C0D9FC31D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159040"/>
        <c:axId val="442416128"/>
      </c:areaChart>
      <c:catAx>
        <c:axId val="55615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/>
                <a:ea typeface="Tahoma"/>
                <a:cs typeface="Tahoma"/>
              </a:defRPr>
            </a:pPr>
            <a:endParaRPr lang="pt-BR"/>
          </a:p>
        </c:txPr>
        <c:crossAx val="442416128"/>
        <c:crosses val="autoZero"/>
        <c:auto val="1"/>
        <c:lblAlgn val="ctr"/>
        <c:lblOffset val="100"/>
        <c:noMultiLvlLbl val="0"/>
      </c:catAx>
      <c:valAx>
        <c:axId val="44241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/>
                <a:ea typeface="Tahoma"/>
                <a:cs typeface="Tahoma"/>
              </a:defRPr>
            </a:pPr>
            <a:endParaRPr lang="pt-BR"/>
          </a:p>
        </c:txPr>
        <c:crossAx val="556159040"/>
        <c:crosses val="autoZero"/>
        <c:crossBetween val="midCat"/>
      </c:valAx>
      <c:spPr>
        <a:solidFill>
          <a:srgbClr val="FAF4F6"/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9B3BE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kumimoji="0" sz="1200" b="1" i="0" u="none" strike="noStrike" kern="1200" cap="none" spc="0" normalizeH="0" baseline="0" noProof="0">
                <a:ln>
                  <a:noFill/>
                </a:ln>
                <a:solidFill>
                  <a:srgbClr val="7D4E5E"/>
                </a:solidFill>
                <a:effectLst/>
                <a:latin typeface="Tahoma"/>
                <a:ea typeface="Tahoma"/>
                <a:cs typeface="Tahoma"/>
              </a:defRPr>
            </a:pPr>
            <a:r>
              <a:rPr lang="en-US"/>
              <a:t>Resultado Mensal · Ponto de Equilíbrio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kumimoji="0" sz="1200" b="1" i="0" u="none" strike="noStrike" kern="1200" cap="none" spc="0" normalizeH="0" baseline="0" noProof="0">
              <a:ln>
                <a:noFill/>
              </a:ln>
              <a:solidFill>
                <a:srgbClr val="7D4E5E"/>
              </a:solidFill>
              <a:effectLst/>
              <a:latin typeface="Tahoma"/>
              <a:ea typeface="Tahoma"/>
              <a:cs typeface="Tahoma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9B6A7D"/>
            </a:solidFill>
            <a:ln>
              <a:solidFill>
                <a:srgbClr val="9B6A7D"/>
              </a:solidFill>
              <a:prstDash val="solid"/>
            </a:ln>
            <a:effectLst/>
          </c:spPr>
          <c:invertIfNegative val="0"/>
          <c:cat>
            <c:strRef>
              <c:f>'🚀 Dashboard Investidor'!$L$77:$L$100</c:f>
              <c:strCache>
                <c:ptCount val="24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  <c:pt idx="5">
                  <c:v>M06</c:v>
                </c:pt>
                <c:pt idx="6">
                  <c:v>M07</c:v>
                </c:pt>
                <c:pt idx="7">
                  <c:v>M08</c:v>
                </c:pt>
                <c:pt idx="8">
                  <c:v>M09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'🚀 Dashboard Investidor'!$P$77:$P$100</c:f>
              <c:numCache>
                <c:formatCode>General</c:formatCode>
                <c:ptCount val="24"/>
                <c:pt idx="0">
                  <c:v>-44124.370450000002</c:v>
                </c:pt>
                <c:pt idx="1">
                  <c:v>-33248.740900000004</c:v>
                </c:pt>
                <c:pt idx="2">
                  <c:v>-22373.111349999992</c:v>
                </c:pt>
                <c:pt idx="3">
                  <c:v>-11497.481800000009</c:v>
                </c:pt>
                <c:pt idx="4">
                  <c:v>-621.85224999999627</c:v>
                </c:pt>
                <c:pt idx="5">
                  <c:v>10253.777300000002</c:v>
                </c:pt>
                <c:pt idx="6">
                  <c:v>21129.406849999999</c:v>
                </c:pt>
                <c:pt idx="7">
                  <c:v>32005.036399999983</c:v>
                </c:pt>
                <c:pt idx="8">
                  <c:v>42880.665949999995</c:v>
                </c:pt>
                <c:pt idx="9">
                  <c:v>53756.295500000007</c:v>
                </c:pt>
                <c:pt idx="10">
                  <c:v>64631.925049999991</c:v>
                </c:pt>
                <c:pt idx="11">
                  <c:v>75507.554600000003</c:v>
                </c:pt>
                <c:pt idx="12">
                  <c:v>73195.789074999979</c:v>
                </c:pt>
                <c:pt idx="13">
                  <c:v>85884.023550000013</c:v>
                </c:pt>
                <c:pt idx="14">
                  <c:v>98572.258024999988</c:v>
                </c:pt>
                <c:pt idx="15">
                  <c:v>184298.34061999997</c:v>
                </c:pt>
                <c:pt idx="16">
                  <c:v>267692.33691499999</c:v>
                </c:pt>
                <c:pt idx="17">
                  <c:v>349132.44116999995</c:v>
                </c:pt>
                <c:pt idx="18">
                  <c:v>428692.56606500002</c:v>
                </c:pt>
                <c:pt idx="19">
                  <c:v>506645.79272000003</c:v>
                </c:pt>
                <c:pt idx="20">
                  <c:v>583120.31121499988</c:v>
                </c:pt>
                <c:pt idx="21">
                  <c:v>658341.13138999988</c:v>
                </c:pt>
                <c:pt idx="22">
                  <c:v>732376.63700499991</c:v>
                </c:pt>
                <c:pt idx="23">
                  <c:v>805393.27177999995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315-B546-8769-0F551C5A0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74162080"/>
        <c:axId val="2076443759"/>
      </c:barChart>
      <c:catAx>
        <c:axId val="57416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6443759"/>
        <c:crosses val="autoZero"/>
        <c:auto val="1"/>
        <c:lblAlgn val="ctr"/>
        <c:lblOffset val="100"/>
        <c:noMultiLvlLbl val="0"/>
      </c:catAx>
      <c:valAx>
        <c:axId val="207644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162080"/>
        <c:crosses val="autoZero"/>
        <c:crossBetween val="between"/>
      </c:valAx>
      <c:spPr>
        <a:solidFill>
          <a:srgbClr val="FAF4F6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9B3BE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kumimoji="0" sz="1200" b="1" i="0" u="none" strike="noStrike" kern="1200" cap="none" spc="0" normalizeH="0" baseline="0" noProof="0">
                <a:ln>
                  <a:noFill/>
                </a:ln>
                <a:solidFill>
                  <a:srgbClr val="7D4E5E"/>
                </a:solidFill>
                <a:effectLst/>
                <a:latin typeface="Tahoma"/>
                <a:ea typeface="Tahoma"/>
                <a:cs typeface="Tahoma"/>
              </a:defRPr>
            </a:pPr>
            <a:r>
              <a:rPr lang="en-US"/>
              <a:t>MRR (r$) e Pagantes · 24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kumimoji="0" sz="1200" b="1" i="0" u="none" strike="noStrike" kern="1200" cap="none" spc="0" normalizeH="0" baseline="0" noProof="0">
              <a:ln>
                <a:noFill/>
              </a:ln>
              <a:solidFill>
                <a:srgbClr val="7D4E5E"/>
              </a:solidFill>
              <a:effectLst/>
              <a:latin typeface="Tahoma"/>
              <a:ea typeface="Tahoma"/>
              <a:cs typeface="Tahoma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9B6A7D"/>
            </a:solidFill>
            <a:ln>
              <a:solidFill>
                <a:srgbClr val="9B6A7D"/>
              </a:solidFill>
              <a:prstDash val="solid"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cat>
            <c:strRef>
              <c:f>'🚀 Dashboard Investidor'!$L$77:$L$100</c:f>
              <c:strCache>
                <c:ptCount val="24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  <c:pt idx="5">
                  <c:v>M06</c:v>
                </c:pt>
                <c:pt idx="6">
                  <c:v>M07</c:v>
                </c:pt>
                <c:pt idx="7">
                  <c:v>M08</c:v>
                </c:pt>
                <c:pt idx="8">
                  <c:v>M09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'🚀 Dashboard Investidor'!$M$77:$M$100</c:f>
              <c:numCache>
                <c:formatCode>General</c:formatCode>
                <c:ptCount val="24"/>
                <c:pt idx="0">
                  <c:v>16167</c:v>
                </c:pt>
                <c:pt idx="1">
                  <c:v>32334</c:v>
                </c:pt>
                <c:pt idx="2">
                  <c:v>48501</c:v>
                </c:pt>
                <c:pt idx="3">
                  <c:v>64668</c:v>
                </c:pt>
                <c:pt idx="4">
                  <c:v>80835</c:v>
                </c:pt>
                <c:pt idx="5">
                  <c:v>97002</c:v>
                </c:pt>
                <c:pt idx="6">
                  <c:v>113169</c:v>
                </c:pt>
                <c:pt idx="7">
                  <c:v>129336</c:v>
                </c:pt>
                <c:pt idx="8">
                  <c:v>145503</c:v>
                </c:pt>
                <c:pt idx="9">
                  <c:v>161670</c:v>
                </c:pt>
                <c:pt idx="10">
                  <c:v>177837</c:v>
                </c:pt>
                <c:pt idx="11">
                  <c:v>194004</c:v>
                </c:pt>
                <c:pt idx="12">
                  <c:v>212865.5</c:v>
                </c:pt>
                <c:pt idx="13">
                  <c:v>231727</c:v>
                </c:pt>
                <c:pt idx="14">
                  <c:v>250588.5</c:v>
                </c:pt>
                <c:pt idx="15">
                  <c:v>368794.8</c:v>
                </c:pt>
                <c:pt idx="16">
                  <c:v>483972.6</c:v>
                </c:pt>
                <c:pt idx="17">
                  <c:v>596620.29999999993</c:v>
                </c:pt>
                <c:pt idx="18">
                  <c:v>706817.1</c:v>
                </c:pt>
                <c:pt idx="19">
                  <c:v>814921.8</c:v>
                </c:pt>
                <c:pt idx="20">
                  <c:v>921093.59999999986</c:v>
                </c:pt>
                <c:pt idx="21">
                  <c:v>1025631.5999999999</c:v>
                </c:pt>
                <c:pt idx="22">
                  <c:v>1128615.2</c:v>
                </c:pt>
                <c:pt idx="23">
                  <c:v>1230263.7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FD4-664D-A2D6-04144D5DA745}"/>
            </c:ext>
          </c:extLst>
        </c:ser>
        <c:ser>
          <c:idx val="1"/>
          <c:order val="1"/>
          <c:spPr>
            <a:solidFill>
              <a:srgbClr val="C08497"/>
            </a:solidFill>
            <a:ln>
              <a:solidFill>
                <a:srgbClr val="C08497"/>
              </a:solidFill>
              <a:prstDash val="solid"/>
            </a:ln>
            <a:effectLst/>
          </c:spPr>
          <c:cat>
            <c:strRef>
              <c:f>'🚀 Dashboard Investidor'!$L$77:$L$100</c:f>
              <c:strCache>
                <c:ptCount val="24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M05</c:v>
                </c:pt>
                <c:pt idx="5">
                  <c:v>M06</c:v>
                </c:pt>
                <c:pt idx="6">
                  <c:v>M07</c:v>
                </c:pt>
                <c:pt idx="7">
                  <c:v>M08</c:v>
                </c:pt>
                <c:pt idx="8">
                  <c:v>M09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'🚀 Dashboard Investidor'!$N$77:$N$100</c:f>
              <c:numCache>
                <c:formatCode>#,##0</c:formatCode>
                <c:ptCount val="24"/>
                <c:pt idx="0">
                  <c:v>330</c:v>
                </c:pt>
                <c:pt idx="1">
                  <c:v>660</c:v>
                </c:pt>
                <c:pt idx="2">
                  <c:v>990</c:v>
                </c:pt>
                <c:pt idx="3">
                  <c:v>1320</c:v>
                </c:pt>
                <c:pt idx="4">
                  <c:v>1650</c:v>
                </c:pt>
                <c:pt idx="5">
                  <c:v>1980</c:v>
                </c:pt>
                <c:pt idx="6">
                  <c:v>2310</c:v>
                </c:pt>
                <c:pt idx="7">
                  <c:v>2640</c:v>
                </c:pt>
                <c:pt idx="8">
                  <c:v>2970</c:v>
                </c:pt>
                <c:pt idx="9">
                  <c:v>3300</c:v>
                </c:pt>
                <c:pt idx="10">
                  <c:v>3630</c:v>
                </c:pt>
                <c:pt idx="11">
                  <c:v>3960</c:v>
                </c:pt>
                <c:pt idx="12">
                  <c:v>4345</c:v>
                </c:pt>
                <c:pt idx="13">
                  <c:v>4730</c:v>
                </c:pt>
                <c:pt idx="14">
                  <c:v>5115</c:v>
                </c:pt>
                <c:pt idx="15">
                  <c:v>8052</c:v>
                </c:pt>
                <c:pt idx="16">
                  <c:v>10874</c:v>
                </c:pt>
                <c:pt idx="17">
                  <c:v>13597</c:v>
                </c:pt>
                <c:pt idx="18">
                  <c:v>16229</c:v>
                </c:pt>
                <c:pt idx="19">
                  <c:v>18782</c:v>
                </c:pt>
                <c:pt idx="20">
                  <c:v>21264</c:v>
                </c:pt>
                <c:pt idx="21">
                  <c:v>23684</c:v>
                </c:pt>
                <c:pt idx="22">
                  <c:v>26048</c:v>
                </c:pt>
                <c:pt idx="23">
                  <c:v>28363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FD4-664D-A2D6-04144D5DA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20160"/>
        <c:axId val="195366592"/>
      </c:areaChart>
      <c:catAx>
        <c:axId val="19592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66592"/>
        <c:crosses val="autoZero"/>
        <c:auto val="1"/>
        <c:lblAlgn val="ctr"/>
        <c:lblOffset val="100"/>
        <c:noMultiLvlLbl val="0"/>
      </c:catAx>
      <c:valAx>
        <c:axId val="1953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920160"/>
        <c:crosses val="autoZero"/>
        <c:crossBetween val="midCat"/>
      </c:valAx>
      <c:spPr>
        <a:solidFill>
          <a:srgbClr val="FAF4F6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9B3BE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7D4E5E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/>
              <a:t>Aporte vs. Valuation vs. Retorno Anjo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7D4E5E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'🚀 Dashboard Investidor'!$M$102</c:f>
              <c:strCache>
                <c:ptCount val="1"/>
                <c:pt idx="0">
                  <c:v>Aporte R$1M</c:v>
                </c:pt>
              </c:strCache>
            </c:strRef>
          </c:tx>
          <c:spPr>
            <a:solidFill>
              <a:srgbClr val="9B6A7D"/>
            </a:solidFill>
            <a:ln>
              <a:solidFill>
                <a:srgbClr val="9B6A7D"/>
              </a:solidFill>
              <a:prstDash val="solid"/>
            </a:ln>
            <a:effectLst/>
          </c:spPr>
          <c:invertIfNegative val="0"/>
          <c:dLbls>
            <c:dLbl>
              <c:idx val="0"/>
              <c:layout>
                <c:manualLayout>
                  <c:x val="-1.9927536231884056E-2"/>
                  <c:y val="-9.37499999999999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3A-1746-9E35-283DC86E4CCC}"/>
                </c:ext>
              </c:extLst>
            </c:dLbl>
            <c:dLbl>
              <c:idx val="1"/>
              <c:layout>
                <c:manualLayout>
                  <c:x val="-9.0579710144928199E-3"/>
                  <c:y val="-1.25000000000000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93A-1746-9E35-283DC86E4CCC}"/>
                </c:ext>
              </c:extLst>
            </c:dLbl>
            <c:dLbl>
              <c:idx val="2"/>
              <c:layout>
                <c:manualLayout>
                  <c:x val="-1.0869565217391438E-2"/>
                  <c:y val="-2.18750000000001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3A-1746-9E35-283DC86E4CCC}"/>
                </c:ext>
              </c:extLst>
            </c:dLbl>
            <c:numFmt formatCode="&quot;R$&quot;#,##0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'🚀 Dashboard Investidor'!$L$103:$L$105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Otimista</c:v>
                </c:pt>
              </c:strCache>
            </c:strRef>
          </c:cat>
          <c:val>
            <c:numRef>
              <c:f>'🚀 Dashboard Investidor'!$M$103:$M$105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A-1746-9E35-283DC86E4CCC}"/>
            </c:ext>
          </c:extLst>
        </c:ser>
        <c:ser>
          <c:idx val="1"/>
          <c:order val="1"/>
          <c:tx>
            <c:strRef>
              <c:f>'🚀 Dashboard Investidor'!$N$102</c:f>
              <c:strCache>
                <c:ptCount val="1"/>
                <c:pt idx="0">
                  <c:v>Valuation 100% M24</c:v>
                </c:pt>
              </c:strCache>
            </c:strRef>
          </c:tx>
          <c:spPr>
            <a:solidFill>
              <a:srgbClr val="C08497"/>
            </a:solidFill>
            <a:ln>
              <a:solidFill>
                <a:srgbClr val="C08497"/>
              </a:solidFill>
              <a:prstDash val="solid"/>
            </a:ln>
            <a:effectLst/>
          </c:spPr>
          <c:invertIfNegative val="0"/>
          <c:dLbls>
            <c:numFmt formatCode="&quot;R$&quot;#,##0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F6B3A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'🚀 Dashboard Investidor'!$L$103:$L$105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Otimista</c:v>
                </c:pt>
              </c:strCache>
            </c:strRef>
          </c:cat>
          <c:val>
            <c:numRef>
              <c:f>'🚀 Dashboard Investidor'!$N$103:$N$105</c:f>
              <c:numCache>
                <c:formatCode>General</c:formatCode>
                <c:ptCount val="3"/>
                <c:pt idx="0">
                  <c:v>27.698813099999999</c:v>
                </c:pt>
                <c:pt idx="1">
                  <c:v>75.044719000000001</c:v>
                </c:pt>
                <c:pt idx="2">
                  <c:v>148.72557559999998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A-1746-9E35-283DC86E4CCC}"/>
            </c:ext>
          </c:extLst>
        </c:ser>
        <c:ser>
          <c:idx val="2"/>
          <c:order val="2"/>
          <c:tx>
            <c:strRef>
              <c:f>'🚀 Dashboard Investidor'!$O$102</c:f>
              <c:strCache>
                <c:ptCount val="1"/>
                <c:pt idx="0">
                  <c:v>Retorno Anjo (15%)</c:v>
                </c:pt>
              </c:strCache>
            </c:strRef>
          </c:tx>
          <c:spPr>
            <a:solidFill>
              <a:srgbClr val="D9B3BE"/>
            </a:solidFill>
            <a:ln>
              <a:solidFill>
                <a:srgbClr val="D9B3BE"/>
              </a:solidFill>
              <a:prstDash val="solid"/>
            </a:ln>
            <a:effectLst/>
          </c:spPr>
          <c:invertIfNegative val="0"/>
          <c:dLbls>
            <c:dLbl>
              <c:idx val="0"/>
              <c:layout>
                <c:manualLayout>
                  <c:x val="2.8985507246376812E-2"/>
                  <c:y val="-9.37499999999999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3A-1746-9E35-283DC86E4CCC}"/>
                </c:ext>
              </c:extLst>
            </c:dLbl>
            <c:dLbl>
              <c:idx val="1"/>
              <c:layout>
                <c:manualLayout>
                  <c:x val="2.3550724637681094E-2"/>
                  <c:y val="-6.25000000000000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3A-1746-9E35-283DC86E4CCC}"/>
                </c:ext>
              </c:extLst>
            </c:dLbl>
            <c:dLbl>
              <c:idx val="2"/>
              <c:layout>
                <c:manualLayout>
                  <c:x val="2.717391304347826E-2"/>
                  <c:y val="-1.87500000000001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3A-1746-9E35-283DC86E4CCC}"/>
                </c:ext>
              </c:extLst>
            </c:dLbl>
            <c:numFmt formatCode="&quot;R$&quot;#,##0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E7D3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'🚀 Dashboard Investidor'!$L$103:$L$105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Otimista</c:v>
                </c:pt>
              </c:strCache>
            </c:strRef>
          </c:cat>
          <c:val>
            <c:numRef>
              <c:f>'🚀 Dashboard Investidor'!$O$103:$O$105</c:f>
              <c:numCache>
                <c:formatCode>General</c:formatCode>
                <c:ptCount val="3"/>
                <c:pt idx="0">
                  <c:v>4.1548219649999991</c:v>
                </c:pt>
                <c:pt idx="1">
                  <c:v>11.25670785</c:v>
                </c:pt>
                <c:pt idx="2">
                  <c:v>22.308836339999999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3A-1746-9E35-283DC86E4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37302111"/>
        <c:axId val="1637303823"/>
      </c:barChart>
      <c:catAx>
        <c:axId val="163730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7303823"/>
        <c:crosses val="autoZero"/>
        <c:auto val="1"/>
        <c:lblAlgn val="ctr"/>
        <c:lblOffset val="100"/>
        <c:noMultiLvlLbl val="0"/>
      </c:catAx>
      <c:valAx>
        <c:axId val="163730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7302111"/>
        <c:crosses val="autoZero"/>
        <c:crossBetween val="between"/>
      </c:valAx>
      <c:spPr>
        <a:solidFill>
          <a:srgbClr val="FAF4F6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9B3BE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7D4E5E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Retorno do Anjo por Cenário (× sobre aporte)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7D4E5E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Múltiplo s/ aporte</c:v>
          </c:tx>
          <c:spPr>
            <a:solidFill>
              <a:srgbClr val="9B6A7D"/>
            </a:solidFill>
            <a:ln>
              <a:noFill/>
            </a:ln>
            <a:effectLst/>
          </c:spPr>
          <c:invertIfNegative val="0"/>
          <c:dLbls>
            <c:numFmt formatCode="0.0&quot;x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7D4E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'💎 Resumo Anjo'!$B$21:$B$23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Otimista</c:v>
                </c:pt>
              </c:strCache>
            </c:strRef>
          </c:cat>
          <c:val>
            <c:numRef>
              <c:f>'💎 Resumo Anjo'!$E$21:$E$23</c:f>
              <c:numCache>
                <c:formatCode>0.0"x"</c:formatCode>
                <c:ptCount val="3"/>
                <c:pt idx="0">
                  <c:v>4.1548219649999991</c:v>
                </c:pt>
                <c:pt idx="1">
                  <c:v>11.25670785</c:v>
                </c:pt>
                <c:pt idx="2">
                  <c:v>22.308836339999999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13-B34C-B7BF-F6FE4F415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44095"/>
        <c:axId val="142645807"/>
      </c:barChart>
      <c:catAx>
        <c:axId val="14264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D4E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645807"/>
        <c:crosses val="autoZero"/>
        <c:auto val="1"/>
        <c:lblAlgn val="ctr"/>
        <c:lblOffset val="100"/>
        <c:noMultiLvlLbl val="0"/>
      </c:catAx>
      <c:valAx>
        <c:axId val="14264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D4E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64409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CF7F9"/>
    </a:solidFill>
    <a:ln w="9525" cap="flat" cmpd="sng" algn="ctr">
      <a:solidFill>
        <a:srgbClr val="D9B3BE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243840</xdr:rowOff>
    </xdr:from>
    <xdr:to>
      <xdr:col>5</xdr:col>
      <xdr:colOff>0</xdr:colOff>
      <xdr:row>26</xdr:row>
      <xdr:rowOff>243840</xdr:rowOff>
    </xdr:to>
    <xdr:graphicFrame macro="">
      <xdr:nvGraphicFramePr>
        <xdr:cNvPr id="10" name="Fluxo_Acumulado">
          <a:extLst>
            <a:ext uri="{FF2B5EF4-FFF2-40B4-BE49-F238E27FC236}">
              <a16:creationId xmlns:a16="http://schemas.microsoft.com/office/drawing/2014/main" id="{2E31CFCC-882F-6EFC-C56D-BD964674F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233680</xdr:rowOff>
    </xdr:from>
    <xdr:to>
      <xdr:col>9</xdr:col>
      <xdr:colOff>1412240</xdr:colOff>
      <xdr:row>27</xdr:row>
      <xdr:rowOff>0</xdr:rowOff>
    </xdr:to>
    <xdr:graphicFrame macro="">
      <xdr:nvGraphicFramePr>
        <xdr:cNvPr id="11" name="Resultado_Mensal">
          <a:extLst>
            <a:ext uri="{FF2B5EF4-FFF2-40B4-BE49-F238E27FC236}">
              <a16:creationId xmlns:a16="http://schemas.microsoft.com/office/drawing/2014/main" id="{C079EEAE-6073-AE89-6EF2-1C19DB10F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243840</xdr:rowOff>
    </xdr:from>
    <xdr:to>
      <xdr:col>5</xdr:col>
      <xdr:colOff>50800</xdr:colOff>
      <xdr:row>45</xdr:row>
      <xdr:rowOff>10160</xdr:rowOff>
    </xdr:to>
    <xdr:graphicFrame macro="">
      <xdr:nvGraphicFramePr>
        <xdr:cNvPr id="12" name="MRR_Pagantes">
          <a:extLst>
            <a:ext uri="{FF2B5EF4-FFF2-40B4-BE49-F238E27FC236}">
              <a16:creationId xmlns:a16="http://schemas.microsoft.com/office/drawing/2014/main" id="{6CF99E90-3521-D222-9953-0DC754B7B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28</xdr:row>
      <xdr:rowOff>243840</xdr:rowOff>
    </xdr:from>
    <xdr:to>
      <xdr:col>9</xdr:col>
      <xdr:colOff>1391920</xdr:colOff>
      <xdr:row>45</xdr:row>
      <xdr:rowOff>20320</xdr:rowOff>
    </xdr:to>
    <xdr:graphicFrame macro="">
      <xdr:nvGraphicFramePr>
        <xdr:cNvPr id="3" name="Comparativo_3Cenarios">
          <a:extLst>
            <a:ext uri="{FF2B5EF4-FFF2-40B4-BE49-F238E27FC236}">
              <a16:creationId xmlns:a16="http://schemas.microsoft.com/office/drawing/2014/main" id="{4D6B0A64-F29C-5C80-89E0-D8E9CD5FB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52</xdr:row>
      <xdr:rowOff>114300</xdr:rowOff>
    </xdr:from>
    <xdr:to>
      <xdr:col>6</xdr:col>
      <xdr:colOff>0</xdr:colOff>
      <xdr:row>73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4F5AD2-D5DA-E832-2624-2ED62A140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91003D9-DB17-1546-92D9-739A3603C4C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0acab38-e546-49da-b3e4-e42911457fd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3"/>
  <sheetViews>
    <sheetView showGridLines="0" tabSelected="1" zoomScale="125" zoomScaleNormal="125" workbookViewId="0">
      <selection activeCell="B5" sqref="B5"/>
    </sheetView>
  </sheetViews>
  <sheetFormatPr baseColWidth="10" defaultColWidth="8.6640625" defaultRowHeight="15" outlineLevelRow="1" x14ac:dyDescent="0.2"/>
  <cols>
    <col min="1" max="9" width="18.33203125" customWidth="1"/>
    <col min="10" max="10" width="18.83203125" customWidth="1"/>
  </cols>
  <sheetData>
    <row r="1" spans="1:26" ht="20" customHeight="1" x14ac:dyDescent="0.2">
      <c r="A1" s="69"/>
      <c r="B1" s="53"/>
      <c r="C1" s="53"/>
      <c r="D1" s="53"/>
      <c r="E1" s="53"/>
      <c r="F1" s="53"/>
      <c r="G1" s="53"/>
      <c r="H1" s="53"/>
      <c r="I1" s="53"/>
      <c r="J1" s="77"/>
    </row>
    <row r="2" spans="1:26" ht="32" customHeight="1" x14ac:dyDescent="0.2">
      <c r="A2" s="70" t="s">
        <v>375</v>
      </c>
      <c r="B2" s="54"/>
      <c r="C2" s="54"/>
      <c r="D2" s="54"/>
      <c r="E2" s="54"/>
      <c r="F2" s="54"/>
      <c r="G2" s="54"/>
      <c r="H2" s="54"/>
      <c r="I2" s="54"/>
      <c r="J2" s="78"/>
    </row>
    <row r="3" spans="1:26" ht="18" customHeight="1" x14ac:dyDescent="0.2">
      <c r="A3" s="71" t="s">
        <v>384</v>
      </c>
      <c r="B3" s="55"/>
      <c r="C3" s="55"/>
      <c r="D3" s="55"/>
      <c r="E3" s="55"/>
      <c r="F3" s="55"/>
      <c r="G3" s="55"/>
      <c r="H3" s="55"/>
      <c r="I3" s="55"/>
      <c r="J3" s="79"/>
    </row>
    <row r="4" spans="1:26" ht="4" customHeight="1" x14ac:dyDescent="0.2">
      <c r="A4" s="72"/>
      <c r="B4" s="56"/>
      <c r="C4" s="56"/>
      <c r="D4" s="56"/>
      <c r="E4" s="56"/>
      <c r="F4" s="56"/>
      <c r="G4" s="56"/>
      <c r="H4" s="56"/>
      <c r="I4" s="56"/>
      <c r="J4" s="80"/>
    </row>
    <row r="5" spans="1:26" ht="26" customHeight="1" x14ac:dyDescent="0.2">
      <c r="A5" s="73" t="s">
        <v>280</v>
      </c>
      <c r="B5" s="57" t="str">
        <f>'🔧 Cenário Ativo'!B2</f>
        <v>Conservador</v>
      </c>
      <c r="C5" s="58" t="s">
        <v>281</v>
      </c>
      <c r="D5" s="58"/>
      <c r="E5" s="58"/>
      <c r="F5" s="58"/>
      <c r="G5" s="58"/>
      <c r="H5" s="58"/>
      <c r="I5" s="58"/>
      <c r="J5" s="81"/>
    </row>
    <row r="6" spans="1:26" ht="10" customHeight="1" x14ac:dyDescent="0.2">
      <c r="A6" s="74"/>
      <c r="B6" s="59"/>
      <c r="C6" s="59"/>
      <c r="D6" s="59"/>
      <c r="E6" s="59"/>
      <c r="F6" s="59"/>
      <c r="G6" s="59"/>
      <c r="H6" s="59"/>
      <c r="I6" s="59"/>
      <c r="J6" s="82"/>
    </row>
    <row r="7" spans="1:26" ht="16" customHeight="1" x14ac:dyDescent="0.2">
      <c r="A7" s="75" t="s">
        <v>282</v>
      </c>
      <c r="B7" s="60"/>
      <c r="C7" s="60" t="s">
        <v>283</v>
      </c>
      <c r="D7" s="60"/>
      <c r="E7" s="60" t="s">
        <v>336</v>
      </c>
      <c r="F7" s="60"/>
      <c r="G7" s="60" t="s">
        <v>271</v>
      </c>
      <c r="H7" s="60"/>
      <c r="I7" s="60" t="s">
        <v>284</v>
      </c>
      <c r="J7" s="83"/>
    </row>
    <row r="8" spans="1:26" ht="36" customHeight="1" x14ac:dyDescent="0.2">
      <c r="A8" s="151">
        <f>'🔧 Cenário Ativo'!B54*30</f>
        <v>70.44101357574435</v>
      </c>
      <c r="B8" s="61"/>
      <c r="C8" s="62">
        <f>IF('🔧 Cenário Ativo'!B2="Conservador",'📊 Resumo Cenários'!B21,IF('🔧 Cenário Ativo'!B2="Base",'📊 Resumo Cenários'!C21,'📊 Resumo Cenários'!D21))</f>
        <v>27698813.099999998</v>
      </c>
      <c r="D8" s="63"/>
      <c r="E8" s="62">
        <f>IF('🔧 Cenário Ativo'!B2="Conservador",'📊 Resumo Cenários'!B19,IF('🔧 Cenário Ativo'!B2="Base",'📊 Resumo Cenários'!C19,'📊 Resumo Cenários'!D19))</f>
        <v>9232937.6999999993</v>
      </c>
      <c r="F8" s="63"/>
      <c r="G8" s="64" t="str" cm="1">
        <f t="array" ref="G8">IFERROR("M"&amp;MATCH(TRUE,INDEX('📊 Base Mensal'!C25:Z25&gt;0,0),0),"&gt;24m")</f>
        <v>M10</v>
      </c>
      <c r="H8" s="64"/>
      <c r="I8" s="62">
        <f>C8*'🎛️ Premissas'!$B$56</f>
        <v>4154821.9649999994</v>
      </c>
      <c r="J8" s="84"/>
    </row>
    <row r="9" spans="1:26" ht="14" customHeight="1" thickBot="1" x14ac:dyDescent="0.25">
      <c r="A9" s="76" t="s">
        <v>385</v>
      </c>
      <c r="B9" s="68"/>
      <c r="C9" s="68" t="s">
        <v>335</v>
      </c>
      <c r="D9" s="68"/>
      <c r="E9" s="68" t="s">
        <v>337</v>
      </c>
      <c r="F9" s="68"/>
      <c r="G9" s="68" t="s">
        <v>272</v>
      </c>
      <c r="H9" s="68"/>
      <c r="I9" s="68" t="s">
        <v>326</v>
      </c>
      <c r="J9" s="85"/>
    </row>
    <row r="10" spans="1:26" s="7" customFormat="1" ht="10" customHeight="1" thickBot="1" x14ac:dyDescent="0.25">
      <c r="A10" s="65"/>
      <c r="B10" s="66"/>
      <c r="C10" s="66"/>
      <c r="D10" s="66"/>
      <c r="E10" s="66"/>
      <c r="F10" s="66"/>
      <c r="G10" s="66"/>
      <c r="H10" s="66"/>
      <c r="I10" s="66"/>
      <c r="J10" s="67"/>
    </row>
    <row r="11" spans="1:26" ht="20" customHeight="1" thickBot="1" x14ac:dyDescent="0.25">
      <c r="A11" s="86" t="s">
        <v>344</v>
      </c>
      <c r="B11" s="87"/>
      <c r="C11" s="87"/>
      <c r="D11" s="87"/>
      <c r="E11" s="88"/>
      <c r="F11" s="89" t="s">
        <v>343</v>
      </c>
      <c r="G11" s="90"/>
      <c r="H11" s="90"/>
      <c r="I11" s="90"/>
      <c r="J11" s="91"/>
    </row>
    <row r="12" spans="1:26" s="6" customFormat="1" ht="20" customHeight="1" x14ac:dyDescent="0.2">
      <c r="A12" s="27"/>
      <c r="B12" s="28"/>
      <c r="C12" s="28"/>
      <c r="D12" s="28"/>
      <c r="E12" s="29"/>
      <c r="F12" s="30"/>
      <c r="G12" s="28"/>
      <c r="H12" s="28"/>
      <c r="I12" s="28"/>
      <c r="J12" s="31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ht="20" customHeight="1" x14ac:dyDescent="0.2">
      <c r="A13" s="27"/>
      <c r="B13" s="28"/>
      <c r="C13" s="28"/>
      <c r="D13" s="28"/>
      <c r="E13" s="29"/>
      <c r="F13" s="30"/>
      <c r="G13" s="28"/>
      <c r="H13" s="28"/>
      <c r="I13" s="28"/>
      <c r="J13" s="31"/>
    </row>
    <row r="14" spans="1:26" ht="20" customHeight="1" x14ac:dyDescent="0.2">
      <c r="A14" s="27"/>
      <c r="B14" s="28"/>
      <c r="C14" s="28"/>
      <c r="D14" s="28"/>
      <c r="E14" s="29"/>
      <c r="F14" s="30"/>
      <c r="G14" s="28"/>
      <c r="H14" s="28"/>
      <c r="I14" s="28"/>
      <c r="J14" s="31"/>
    </row>
    <row r="15" spans="1:26" ht="20" customHeight="1" x14ac:dyDescent="0.2">
      <c r="A15" s="27"/>
      <c r="B15" s="28"/>
      <c r="C15" s="28"/>
      <c r="D15" s="28"/>
      <c r="E15" s="29"/>
      <c r="F15" s="30"/>
      <c r="G15" s="28"/>
      <c r="H15" s="28"/>
      <c r="I15" s="28"/>
      <c r="J15" s="31"/>
    </row>
    <row r="16" spans="1:26" ht="20" customHeight="1" x14ac:dyDescent="0.2">
      <c r="A16" s="27"/>
      <c r="B16" s="28"/>
      <c r="C16" s="28"/>
      <c r="D16" s="28"/>
      <c r="E16" s="29"/>
      <c r="F16" s="30"/>
      <c r="G16" s="28"/>
      <c r="H16" s="28"/>
      <c r="I16" s="28"/>
      <c r="J16" s="31"/>
    </row>
    <row r="17" spans="1:10" ht="20" customHeight="1" x14ac:dyDescent="0.2">
      <c r="A17" s="27"/>
      <c r="B17" s="28"/>
      <c r="C17" s="28"/>
      <c r="D17" s="28"/>
      <c r="E17" s="29"/>
      <c r="F17" s="30"/>
      <c r="G17" s="28"/>
      <c r="H17" s="28"/>
      <c r="I17" s="28"/>
      <c r="J17" s="31"/>
    </row>
    <row r="18" spans="1:10" ht="20" customHeight="1" x14ac:dyDescent="0.2">
      <c r="A18" s="27"/>
      <c r="B18" s="28"/>
      <c r="C18" s="28"/>
      <c r="D18" s="28"/>
      <c r="E18" s="29"/>
      <c r="F18" s="30"/>
      <c r="G18" s="28"/>
      <c r="H18" s="28"/>
      <c r="I18" s="28"/>
      <c r="J18" s="31"/>
    </row>
    <row r="19" spans="1:10" ht="20" customHeight="1" x14ac:dyDescent="0.2">
      <c r="A19" s="27"/>
      <c r="B19" s="28"/>
      <c r="C19" s="28"/>
      <c r="D19" s="28"/>
      <c r="E19" s="29"/>
      <c r="F19" s="30"/>
      <c r="G19" s="28"/>
      <c r="H19" s="28"/>
      <c r="I19" s="28"/>
      <c r="J19" s="31"/>
    </row>
    <row r="20" spans="1:10" ht="20" customHeight="1" x14ac:dyDescent="0.2">
      <c r="A20" s="27"/>
      <c r="B20" s="28"/>
      <c r="C20" s="28"/>
      <c r="D20" s="28"/>
      <c r="E20" s="29"/>
      <c r="F20" s="30"/>
      <c r="G20" s="28"/>
      <c r="H20" s="28"/>
      <c r="I20" s="28"/>
      <c r="J20" s="31"/>
    </row>
    <row r="21" spans="1:10" ht="20" customHeight="1" x14ac:dyDescent="0.2">
      <c r="A21" s="27"/>
      <c r="B21" s="28"/>
      <c r="C21" s="28"/>
      <c r="D21" s="28"/>
      <c r="E21" s="29"/>
      <c r="F21" s="30"/>
      <c r="G21" s="28"/>
      <c r="H21" s="28"/>
      <c r="I21" s="28"/>
      <c r="J21" s="31"/>
    </row>
    <row r="22" spans="1:10" ht="20" customHeight="1" x14ac:dyDescent="0.2">
      <c r="A22" s="27"/>
      <c r="B22" s="28"/>
      <c r="C22" s="28"/>
      <c r="D22" s="28"/>
      <c r="E22" s="29"/>
      <c r="F22" s="30"/>
      <c r="G22" s="28"/>
      <c r="H22" s="28"/>
      <c r="I22" s="28"/>
      <c r="J22" s="31"/>
    </row>
    <row r="23" spans="1:10" ht="20" customHeight="1" x14ac:dyDescent="0.2">
      <c r="A23" s="27"/>
      <c r="B23" s="28"/>
      <c r="C23" s="28"/>
      <c r="D23" s="28"/>
      <c r="E23" s="29"/>
      <c r="F23" s="30"/>
      <c r="G23" s="28"/>
      <c r="H23" s="28"/>
      <c r="I23" s="28"/>
      <c r="J23" s="31"/>
    </row>
    <row r="24" spans="1:10" ht="20" customHeight="1" x14ac:dyDescent="0.2">
      <c r="A24" s="27"/>
      <c r="B24" s="28"/>
      <c r="C24" s="28"/>
      <c r="D24" s="28"/>
      <c r="E24" s="29"/>
      <c r="F24" s="30"/>
      <c r="G24" s="28"/>
      <c r="H24" s="28"/>
      <c r="I24" s="28"/>
      <c r="J24" s="31"/>
    </row>
    <row r="25" spans="1:10" ht="20" customHeight="1" x14ac:dyDescent="0.2">
      <c r="A25" s="27"/>
      <c r="B25" s="28"/>
      <c r="C25" s="28"/>
      <c r="D25" s="28"/>
      <c r="E25" s="29"/>
      <c r="F25" s="30"/>
      <c r="G25" s="28"/>
      <c r="H25" s="28"/>
      <c r="I25" s="28"/>
      <c r="J25" s="31"/>
    </row>
    <row r="26" spans="1:10" ht="20" customHeight="1" x14ac:dyDescent="0.2">
      <c r="A26" s="27"/>
      <c r="B26" s="28"/>
      <c r="C26" s="28"/>
      <c r="D26" s="28"/>
      <c r="E26" s="29"/>
      <c r="F26" s="30"/>
      <c r="G26" s="28"/>
      <c r="H26" s="28"/>
      <c r="I26" s="28"/>
      <c r="J26" s="31"/>
    </row>
    <row r="27" spans="1:10" ht="20" customHeight="1" x14ac:dyDescent="0.2">
      <c r="A27" s="27"/>
      <c r="B27" s="28"/>
      <c r="C27" s="28"/>
      <c r="D27" s="28"/>
      <c r="E27" s="29"/>
      <c r="F27" s="30"/>
      <c r="G27" s="28"/>
      <c r="H27" s="28"/>
      <c r="I27" s="28"/>
      <c r="J27" s="31"/>
    </row>
    <row r="28" spans="1:10" ht="4" customHeight="1" thickBot="1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6"/>
    </row>
    <row r="29" spans="1:10" ht="20" customHeight="1" thickBot="1" x14ac:dyDescent="0.25">
      <c r="A29" s="86" t="s">
        <v>345</v>
      </c>
      <c r="B29" s="87"/>
      <c r="C29" s="87"/>
      <c r="D29" s="87"/>
      <c r="E29" s="88"/>
      <c r="F29" s="92" t="s">
        <v>342</v>
      </c>
      <c r="G29" s="87"/>
      <c r="H29" s="87"/>
      <c r="I29" s="87"/>
      <c r="J29" s="93"/>
    </row>
    <row r="30" spans="1:10" ht="20" customHeight="1" x14ac:dyDescent="0.2">
      <c r="A30" s="27"/>
      <c r="B30" s="28"/>
      <c r="C30" s="28"/>
      <c r="D30" s="28"/>
      <c r="E30" s="29"/>
      <c r="F30" s="30"/>
      <c r="G30" s="28"/>
      <c r="H30" s="28"/>
      <c r="I30" s="28"/>
      <c r="J30" s="31"/>
    </row>
    <row r="31" spans="1:10" ht="20" customHeight="1" x14ac:dyDescent="0.2">
      <c r="A31" s="27"/>
      <c r="B31" s="28"/>
      <c r="C31" s="28"/>
      <c r="D31" s="28"/>
      <c r="E31" s="29"/>
      <c r="F31" s="30"/>
      <c r="G31" s="28"/>
      <c r="H31" s="28"/>
      <c r="I31" s="28"/>
      <c r="J31" s="31"/>
    </row>
    <row r="32" spans="1:10" ht="20" customHeight="1" x14ac:dyDescent="0.2">
      <c r="A32" s="27"/>
      <c r="B32" s="28"/>
      <c r="C32" s="28"/>
      <c r="D32" s="28"/>
      <c r="E32" s="29"/>
      <c r="F32" s="30"/>
      <c r="G32" s="28"/>
      <c r="H32" s="28"/>
      <c r="I32" s="28"/>
      <c r="J32" s="31"/>
    </row>
    <row r="33" spans="1:10" ht="20" customHeight="1" x14ac:dyDescent="0.2">
      <c r="A33" s="27"/>
      <c r="B33" s="28"/>
      <c r="C33" s="28"/>
      <c r="D33" s="28"/>
      <c r="E33" s="29"/>
      <c r="F33" s="30"/>
      <c r="G33" s="28"/>
      <c r="H33" s="28"/>
      <c r="I33" s="28"/>
      <c r="J33" s="31"/>
    </row>
    <row r="34" spans="1:10" ht="20" customHeight="1" x14ac:dyDescent="0.2">
      <c r="A34" s="27"/>
      <c r="B34" s="28"/>
      <c r="C34" s="28"/>
      <c r="D34" s="28"/>
      <c r="E34" s="29"/>
      <c r="F34" s="30"/>
      <c r="G34" s="28"/>
      <c r="H34" s="28"/>
      <c r="I34" s="28"/>
      <c r="J34" s="31"/>
    </row>
    <row r="35" spans="1:10" ht="20" customHeight="1" x14ac:dyDescent="0.2">
      <c r="A35" s="27"/>
      <c r="B35" s="28"/>
      <c r="C35" s="28"/>
      <c r="D35" s="28"/>
      <c r="E35" s="29"/>
      <c r="F35" s="30"/>
      <c r="G35" s="28"/>
      <c r="H35" s="28"/>
      <c r="I35" s="28"/>
      <c r="J35" s="31"/>
    </row>
    <row r="36" spans="1:10" ht="20" customHeight="1" x14ac:dyDescent="0.2">
      <c r="A36" s="27"/>
      <c r="B36" s="28"/>
      <c r="C36" s="28"/>
      <c r="D36" s="28"/>
      <c r="E36" s="29"/>
      <c r="F36" s="30"/>
      <c r="G36" s="28"/>
      <c r="H36" s="28"/>
      <c r="I36" s="28"/>
      <c r="J36" s="31"/>
    </row>
    <row r="37" spans="1:10" ht="20" customHeight="1" x14ac:dyDescent="0.2">
      <c r="A37" s="27"/>
      <c r="B37" s="28"/>
      <c r="C37" s="28"/>
      <c r="D37" s="28"/>
      <c r="E37" s="29"/>
      <c r="F37" s="30"/>
      <c r="G37" s="28"/>
      <c r="H37" s="28"/>
      <c r="I37" s="28"/>
      <c r="J37" s="31"/>
    </row>
    <row r="38" spans="1:10" ht="20" customHeight="1" x14ac:dyDescent="0.2">
      <c r="A38" s="27"/>
      <c r="B38" s="28"/>
      <c r="C38" s="28"/>
      <c r="D38" s="28"/>
      <c r="E38" s="29"/>
      <c r="F38" s="30"/>
      <c r="G38" s="28"/>
      <c r="H38" s="28"/>
      <c r="I38" s="28"/>
      <c r="J38" s="31"/>
    </row>
    <row r="39" spans="1:10" ht="20" customHeight="1" x14ac:dyDescent="0.2">
      <c r="A39" s="27"/>
      <c r="B39" s="28"/>
      <c r="C39" s="28"/>
      <c r="D39" s="28"/>
      <c r="E39" s="29"/>
      <c r="F39" s="30"/>
      <c r="G39" s="28"/>
      <c r="H39" s="28"/>
      <c r="I39" s="28"/>
      <c r="J39" s="31"/>
    </row>
    <row r="40" spans="1:10" ht="20" customHeight="1" x14ac:dyDescent="0.2">
      <c r="A40" s="27"/>
      <c r="B40" s="28"/>
      <c r="C40" s="28"/>
      <c r="D40" s="28"/>
      <c r="E40" s="29"/>
      <c r="F40" s="30"/>
      <c r="G40" s="28"/>
      <c r="H40" s="28"/>
      <c r="I40" s="28"/>
      <c r="J40" s="31"/>
    </row>
    <row r="41" spans="1:10" ht="20" customHeight="1" x14ac:dyDescent="0.2">
      <c r="A41" s="27"/>
      <c r="B41" s="28"/>
      <c r="C41" s="28"/>
      <c r="D41" s="28"/>
      <c r="E41" s="29"/>
      <c r="F41" s="30"/>
      <c r="G41" s="28"/>
      <c r="H41" s="28"/>
      <c r="I41" s="28"/>
      <c r="J41" s="31"/>
    </row>
    <row r="42" spans="1:10" ht="20" customHeight="1" x14ac:dyDescent="0.2">
      <c r="A42" s="27"/>
      <c r="B42" s="28"/>
      <c r="C42" s="28"/>
      <c r="D42" s="28"/>
      <c r="E42" s="29"/>
      <c r="F42" s="30"/>
      <c r="G42" s="28"/>
      <c r="H42" s="28"/>
      <c r="I42" s="28"/>
      <c r="J42" s="31"/>
    </row>
    <row r="43" spans="1:10" ht="20" customHeight="1" x14ac:dyDescent="0.2">
      <c r="A43" s="27"/>
      <c r="B43" s="28"/>
      <c r="C43" s="28"/>
      <c r="D43" s="28"/>
      <c r="E43" s="29"/>
      <c r="F43" s="30"/>
      <c r="G43" s="28"/>
      <c r="H43" s="28"/>
      <c r="I43" s="28"/>
      <c r="J43" s="31"/>
    </row>
    <row r="44" spans="1:10" ht="20" customHeight="1" x14ac:dyDescent="0.2">
      <c r="A44" s="27"/>
      <c r="B44" s="28"/>
      <c r="C44" s="28"/>
      <c r="D44" s="28"/>
      <c r="E44" s="29"/>
      <c r="H44" s="28"/>
      <c r="I44" s="28"/>
      <c r="J44" s="31"/>
    </row>
    <row r="45" spans="1:10" ht="20" customHeight="1" thickBot="1" x14ac:dyDescent="0.25">
      <c r="A45" s="32"/>
      <c r="B45" s="33"/>
      <c r="C45" s="33"/>
      <c r="D45" s="33"/>
      <c r="E45" s="34"/>
      <c r="H45" s="33"/>
      <c r="I45" s="33"/>
      <c r="J45" s="35"/>
    </row>
    <row r="46" spans="1:10" ht="11" customHeight="1" thickBot="1" x14ac:dyDescent="0.25">
      <c r="A46" s="27"/>
      <c r="B46" s="28"/>
      <c r="C46" s="28"/>
      <c r="D46" s="28"/>
      <c r="E46" s="28"/>
      <c r="F46" s="28"/>
      <c r="G46" s="28"/>
      <c r="H46" s="28"/>
      <c r="I46" s="28"/>
      <c r="J46" s="31"/>
    </row>
    <row r="47" spans="1:10" ht="20" customHeight="1" x14ac:dyDescent="0.2">
      <c r="A47" s="104" t="s">
        <v>341</v>
      </c>
      <c r="B47" s="101"/>
      <c r="C47" s="101"/>
      <c r="D47" s="101"/>
      <c r="E47" s="101"/>
      <c r="F47" s="101"/>
      <c r="G47" s="101"/>
      <c r="H47" s="101"/>
      <c r="I47" s="101"/>
      <c r="J47" s="109"/>
    </row>
    <row r="48" spans="1:10" ht="8" customHeight="1" x14ac:dyDescent="0.2">
      <c r="A48" s="105"/>
      <c r="B48" s="94"/>
      <c r="C48" s="94"/>
      <c r="D48" s="94"/>
      <c r="E48" s="94"/>
      <c r="F48" s="94"/>
      <c r="G48" s="94"/>
      <c r="H48" s="94"/>
      <c r="I48" s="94"/>
      <c r="J48" s="110"/>
    </row>
    <row r="49" spans="1:10" ht="20" customHeight="1" x14ac:dyDescent="0.2">
      <c r="A49" s="106" t="s">
        <v>285</v>
      </c>
      <c r="B49" s="95"/>
      <c r="C49" s="96" t="s">
        <v>9</v>
      </c>
      <c r="D49" s="95"/>
      <c r="E49" s="96" t="s">
        <v>11</v>
      </c>
      <c r="F49" s="95"/>
      <c r="G49" s="96" t="s">
        <v>286</v>
      </c>
      <c r="H49" s="95"/>
      <c r="I49" s="96" t="s">
        <v>287</v>
      </c>
      <c r="J49" s="111"/>
    </row>
    <row r="50" spans="1:10" s="8" customFormat="1" ht="20" customHeight="1" x14ac:dyDescent="0.2">
      <c r="A50" s="107">
        <f>'🔧 Cenário Ativo'!B44</f>
        <v>80</v>
      </c>
      <c r="B50" s="97"/>
      <c r="C50" s="98">
        <f>'🔧 Cenário Ativo'!B52</f>
        <v>425.88824999999997</v>
      </c>
      <c r="D50" s="97"/>
      <c r="E50" s="99">
        <f>'🔧 Cenário Ativo'!B53</f>
        <v>5.323603125</v>
      </c>
      <c r="F50" s="97"/>
      <c r="G50" s="100">
        <f>'🔧 Cenário Ativo'!B32</f>
        <v>0.08</v>
      </c>
      <c r="H50" s="97"/>
      <c r="I50" s="100">
        <f>'📊 Base Mensal'!Z26</f>
        <v>0.83154929774811692</v>
      </c>
      <c r="J50" s="112"/>
    </row>
    <row r="51" spans="1:10" ht="20" customHeight="1" thickBot="1" x14ac:dyDescent="0.25">
      <c r="A51" s="108" t="s">
        <v>275</v>
      </c>
      <c r="B51" s="102"/>
      <c r="C51" s="103" t="s">
        <v>276</v>
      </c>
      <c r="D51" s="102"/>
      <c r="E51" s="103" t="str">
        <f>IF(E50&gt;=8,"✅ top quartile",IF(E50&gt;=3,"✅ saudável","⚠️ rever CAC"))</f>
        <v>✅ saudável</v>
      </c>
      <c r="F51" s="102"/>
      <c r="G51" s="103" t="s">
        <v>288</v>
      </c>
      <c r="H51" s="102"/>
      <c r="I51" s="103" t="s">
        <v>289</v>
      </c>
      <c r="J51" s="113"/>
    </row>
    <row r="52" spans="1:10" ht="20" customHeight="1" x14ac:dyDescent="0.2">
      <c r="A52" s="47" t="s">
        <v>279</v>
      </c>
      <c r="B52" s="48"/>
      <c r="C52" s="48"/>
      <c r="D52" s="48"/>
      <c r="E52" s="48"/>
      <c r="F52" s="48"/>
      <c r="G52" s="48"/>
      <c r="H52" s="48"/>
      <c r="I52" s="48"/>
      <c r="J52" s="49"/>
    </row>
    <row r="53" spans="1:10" ht="20" customHeight="1" thickBot="1" x14ac:dyDescent="0.25">
      <c r="A53" s="41" t="s">
        <v>327</v>
      </c>
      <c r="B53" s="42"/>
      <c r="C53" s="42"/>
      <c r="D53" s="42"/>
      <c r="E53" s="42"/>
      <c r="F53" s="42"/>
      <c r="G53" s="42"/>
      <c r="H53" s="42"/>
      <c r="I53" s="42"/>
      <c r="J53" s="43"/>
    </row>
    <row r="54" spans="1:10" ht="20" customHeight="1" x14ac:dyDescent="0.2">
      <c r="A54" s="36"/>
    </row>
    <row r="55" spans="1:10" ht="20" customHeight="1" x14ac:dyDescent="0.2">
      <c r="A55" s="36"/>
    </row>
    <row r="56" spans="1:10" ht="20" customHeight="1" x14ac:dyDescent="0.2">
      <c r="A56" s="36"/>
    </row>
    <row r="57" spans="1:10" ht="20" customHeight="1" x14ac:dyDescent="0.2">
      <c r="A57" s="36"/>
    </row>
    <row r="58" spans="1:10" ht="20" customHeight="1" x14ac:dyDescent="0.2">
      <c r="A58" s="36"/>
    </row>
    <row r="59" spans="1:10" ht="20" customHeight="1" x14ac:dyDescent="0.2">
      <c r="A59" s="36"/>
    </row>
    <row r="60" spans="1:10" ht="20" customHeight="1" x14ac:dyDescent="0.2">
      <c r="A60" s="36"/>
    </row>
    <row r="61" spans="1:10" ht="20" customHeight="1" x14ac:dyDescent="0.2">
      <c r="A61" s="36"/>
    </row>
    <row r="62" spans="1:10" ht="20" customHeight="1" x14ac:dyDescent="0.2">
      <c r="A62" s="36"/>
    </row>
    <row r="63" spans="1:10" ht="20" customHeight="1" x14ac:dyDescent="0.2">
      <c r="A63" s="36"/>
    </row>
    <row r="64" spans="1:10" ht="20" customHeight="1" x14ac:dyDescent="0.2">
      <c r="A64" s="36"/>
    </row>
    <row r="65" spans="1:23" ht="20" customHeight="1" x14ac:dyDescent="0.2">
      <c r="A65" s="36"/>
    </row>
    <row r="66" spans="1:23" ht="20" customHeight="1" x14ac:dyDescent="0.2">
      <c r="A66" s="36"/>
    </row>
    <row r="67" spans="1:23" ht="20" customHeight="1" x14ac:dyDescent="0.2">
      <c r="A67" s="36"/>
    </row>
    <row r="68" spans="1:23" ht="20" customHeight="1" x14ac:dyDescent="0.2">
      <c r="A68" s="36"/>
    </row>
    <row r="69" spans="1:23" ht="20" customHeight="1" x14ac:dyDescent="0.2">
      <c r="A69" s="36"/>
    </row>
    <row r="70" spans="1:23" ht="20" customHeight="1" x14ac:dyDescent="0.2"/>
    <row r="71" spans="1:23" ht="20" customHeight="1" x14ac:dyDescent="0.2"/>
    <row r="72" spans="1:23" ht="20" customHeight="1" x14ac:dyDescent="0.2"/>
    <row r="73" spans="1:23" ht="20" customHeight="1" x14ac:dyDescent="0.2"/>
    <row r="74" spans="1:23" ht="20" customHeight="1" x14ac:dyDescent="0.2"/>
    <row r="75" spans="1:23" ht="20" customHeight="1" x14ac:dyDescent="0.2"/>
    <row r="76" spans="1:23" ht="20" customHeight="1" outlineLevel="1" x14ac:dyDescent="0.2">
      <c r="L76" t="s">
        <v>245</v>
      </c>
      <c r="M76" t="s">
        <v>241</v>
      </c>
      <c r="N76" t="s">
        <v>242</v>
      </c>
      <c r="O76" t="s">
        <v>243</v>
      </c>
      <c r="P76" t="s">
        <v>246</v>
      </c>
      <c r="Q76" t="s">
        <v>244</v>
      </c>
      <c r="R76" t="s">
        <v>247</v>
      </c>
      <c r="S76" t="s">
        <v>248</v>
      </c>
      <c r="T76" t="s">
        <v>249</v>
      </c>
      <c r="U76" t="s">
        <v>250</v>
      </c>
      <c r="V76" t="s">
        <v>251</v>
      </c>
      <c r="W76" t="s">
        <v>252</v>
      </c>
    </row>
    <row r="77" spans="1:23" ht="20" customHeight="1" outlineLevel="1" x14ac:dyDescent="0.2">
      <c r="L77" t="s">
        <v>169</v>
      </c>
      <c r="M77">
        <f>'📊 Base Mensal'!C11</f>
        <v>16167</v>
      </c>
      <c r="N77" s="11">
        <f>'📊 Base Mensal'!C9</f>
        <v>330</v>
      </c>
      <c r="O77" s="11">
        <f>'📊 Base Mensal'!C5</f>
        <v>3000</v>
      </c>
      <c r="P77">
        <f>'📊 Base Mensal'!C24</f>
        <v>-44124.370450000002</v>
      </c>
      <c r="Q77">
        <f>'📊 Base Mensal'!C25</f>
        <v>-44124.370450000002</v>
      </c>
      <c r="R77" s="11">
        <f>'📊 Base Mensal'!C6</f>
        <v>210</v>
      </c>
      <c r="S77" s="11">
        <f>'📊 Base Mensal'!C7</f>
        <v>90</v>
      </c>
      <c r="T77" s="11">
        <f>'📊 Base Mensal'!C8</f>
        <v>30</v>
      </c>
      <c r="U77">
        <f>'📊 Base Mensal'!C18</f>
        <v>3351.3304500000004</v>
      </c>
      <c r="V77">
        <f>'📊 Base Mensal'!C20</f>
        <v>55000</v>
      </c>
      <c r="W77">
        <f>'📊 Base Mensal'!C26</f>
        <v>0.79270548339209501</v>
      </c>
    </row>
    <row r="78" spans="1:23" ht="20" customHeight="1" outlineLevel="1" x14ac:dyDescent="0.2">
      <c r="L78" t="s">
        <v>170</v>
      </c>
      <c r="M78">
        <f>'📊 Base Mensal'!D11</f>
        <v>32334</v>
      </c>
      <c r="N78" s="11">
        <f>'📊 Base Mensal'!D9</f>
        <v>660</v>
      </c>
      <c r="O78" s="11">
        <f>'📊 Base Mensal'!D5</f>
        <v>6000</v>
      </c>
      <c r="P78">
        <f>'📊 Base Mensal'!D24</f>
        <v>-33248.740900000004</v>
      </c>
      <c r="Q78">
        <f>'📊 Base Mensal'!D25</f>
        <v>-77373.111350000006</v>
      </c>
      <c r="R78" s="11">
        <f>'📊 Base Mensal'!D6</f>
        <v>420</v>
      </c>
      <c r="S78" s="11">
        <f>'📊 Base Mensal'!D7</f>
        <v>180</v>
      </c>
      <c r="T78" s="11">
        <f>'📊 Base Mensal'!D8</f>
        <v>60</v>
      </c>
      <c r="U78">
        <f>'📊 Base Mensal'!D18</f>
        <v>6702.6609000000008</v>
      </c>
      <c r="V78">
        <f>'📊 Base Mensal'!D20</f>
        <v>55000</v>
      </c>
      <c r="W78">
        <f>'📊 Base Mensal'!D26</f>
        <v>0.79270548339209501</v>
      </c>
    </row>
    <row r="79" spans="1:23" ht="20" customHeight="1" outlineLevel="1" x14ac:dyDescent="0.2">
      <c r="L79" t="s">
        <v>171</v>
      </c>
      <c r="M79">
        <f>'📊 Base Mensal'!E11</f>
        <v>48501</v>
      </c>
      <c r="N79" s="11">
        <f>'📊 Base Mensal'!E9</f>
        <v>990</v>
      </c>
      <c r="O79" s="11">
        <f>'📊 Base Mensal'!E5</f>
        <v>9000</v>
      </c>
      <c r="P79">
        <f>'📊 Base Mensal'!E24</f>
        <v>-22373.111349999992</v>
      </c>
      <c r="Q79">
        <f>'📊 Base Mensal'!E25</f>
        <v>-99746.222699999998</v>
      </c>
      <c r="R79" s="11">
        <f>'📊 Base Mensal'!E6</f>
        <v>630</v>
      </c>
      <c r="S79" s="11">
        <f>'📊 Base Mensal'!E7</f>
        <v>270</v>
      </c>
      <c r="T79" s="11">
        <f>'📊 Base Mensal'!E8</f>
        <v>90</v>
      </c>
      <c r="U79">
        <f>'📊 Base Mensal'!E18</f>
        <v>10053.99135</v>
      </c>
      <c r="V79">
        <f>'📊 Base Mensal'!E20</f>
        <v>55000</v>
      </c>
      <c r="W79">
        <f>'📊 Base Mensal'!E26</f>
        <v>0.79270548339209501</v>
      </c>
    </row>
    <row r="80" spans="1:23" ht="20" customHeight="1" outlineLevel="1" x14ac:dyDescent="0.2">
      <c r="L80" t="s">
        <v>172</v>
      </c>
      <c r="M80">
        <f>'📊 Base Mensal'!F11</f>
        <v>64668</v>
      </c>
      <c r="N80" s="11">
        <f>'📊 Base Mensal'!F9</f>
        <v>1320</v>
      </c>
      <c r="O80" s="11">
        <f>'📊 Base Mensal'!F5</f>
        <v>12000</v>
      </c>
      <c r="P80">
        <f>'📊 Base Mensal'!F24</f>
        <v>-11497.481800000009</v>
      </c>
      <c r="Q80">
        <f>'📊 Base Mensal'!F25</f>
        <v>-111243.70450000001</v>
      </c>
      <c r="R80" s="11">
        <f>'📊 Base Mensal'!F6</f>
        <v>840</v>
      </c>
      <c r="S80" s="11">
        <f>'📊 Base Mensal'!F7</f>
        <v>360</v>
      </c>
      <c r="T80" s="11">
        <f>'📊 Base Mensal'!F8</f>
        <v>120</v>
      </c>
      <c r="U80">
        <f>'📊 Base Mensal'!F18</f>
        <v>13405.321800000002</v>
      </c>
      <c r="V80">
        <f>'📊 Base Mensal'!F20</f>
        <v>55000</v>
      </c>
      <c r="W80">
        <f>'📊 Base Mensal'!F26</f>
        <v>0.79270548339209501</v>
      </c>
    </row>
    <row r="81" spans="12:23" ht="20" customHeight="1" outlineLevel="1" x14ac:dyDescent="0.2">
      <c r="L81" t="s">
        <v>173</v>
      </c>
      <c r="M81">
        <f>'📊 Base Mensal'!G11</f>
        <v>80835</v>
      </c>
      <c r="N81" s="11">
        <f>'📊 Base Mensal'!G9</f>
        <v>1650</v>
      </c>
      <c r="O81" s="11">
        <f>'📊 Base Mensal'!G5</f>
        <v>15000</v>
      </c>
      <c r="P81">
        <f>'📊 Base Mensal'!G24</f>
        <v>-621.85224999999627</v>
      </c>
      <c r="Q81">
        <f>'📊 Base Mensal'!G25</f>
        <v>-111865.55675</v>
      </c>
      <c r="R81" s="11">
        <f>'📊 Base Mensal'!G6</f>
        <v>1050</v>
      </c>
      <c r="S81" s="11">
        <f>'📊 Base Mensal'!G7</f>
        <v>450</v>
      </c>
      <c r="T81" s="11">
        <f>'📊 Base Mensal'!G8</f>
        <v>150</v>
      </c>
      <c r="U81">
        <f>'📊 Base Mensal'!G18</f>
        <v>16756.652250000003</v>
      </c>
      <c r="V81">
        <f>'📊 Base Mensal'!G20</f>
        <v>55000</v>
      </c>
      <c r="W81">
        <f>'📊 Base Mensal'!G26</f>
        <v>0.79270548339209501</v>
      </c>
    </row>
    <row r="82" spans="12:23" ht="20" customHeight="1" outlineLevel="1" x14ac:dyDescent="0.2">
      <c r="L82" t="s">
        <v>253</v>
      </c>
      <c r="M82">
        <f>'📊 Base Mensal'!H11</f>
        <v>97002</v>
      </c>
      <c r="N82" s="11">
        <f>'📊 Base Mensal'!H9</f>
        <v>1980</v>
      </c>
      <c r="O82" s="11">
        <f>'📊 Base Mensal'!H5</f>
        <v>18000</v>
      </c>
      <c r="P82">
        <f>'📊 Base Mensal'!H24</f>
        <v>10253.777300000002</v>
      </c>
      <c r="Q82">
        <f>'📊 Base Mensal'!H25</f>
        <v>-101611.77945</v>
      </c>
      <c r="R82" s="11">
        <f>'📊 Base Mensal'!H6</f>
        <v>1260</v>
      </c>
      <c r="S82" s="11">
        <f>'📊 Base Mensal'!H7</f>
        <v>540</v>
      </c>
      <c r="T82" s="11">
        <f>'📊 Base Mensal'!H8</f>
        <v>180</v>
      </c>
      <c r="U82">
        <f>'📊 Base Mensal'!H18</f>
        <v>20107.9827</v>
      </c>
      <c r="V82">
        <f>'📊 Base Mensal'!H20</f>
        <v>55000</v>
      </c>
      <c r="W82">
        <f>'📊 Base Mensal'!H26</f>
        <v>0.79270548339209501</v>
      </c>
    </row>
    <row r="83" spans="12:23" ht="20" customHeight="1" outlineLevel="1" x14ac:dyDescent="0.2">
      <c r="L83" t="s">
        <v>174</v>
      </c>
      <c r="M83">
        <f>'📊 Base Mensal'!I11</f>
        <v>113169</v>
      </c>
      <c r="N83" s="11">
        <f>'📊 Base Mensal'!I9</f>
        <v>2310</v>
      </c>
      <c r="O83" s="11">
        <f>'📊 Base Mensal'!I5</f>
        <v>21000</v>
      </c>
      <c r="P83">
        <f>'📊 Base Mensal'!I24</f>
        <v>21129.406849999999</v>
      </c>
      <c r="Q83">
        <f>'📊 Base Mensal'!I25</f>
        <v>-80482.372600000002</v>
      </c>
      <c r="R83" s="11">
        <f>'📊 Base Mensal'!I6</f>
        <v>1470</v>
      </c>
      <c r="S83" s="11">
        <f>'📊 Base Mensal'!I7</f>
        <v>630</v>
      </c>
      <c r="T83" s="11">
        <f>'📊 Base Mensal'!I8</f>
        <v>210</v>
      </c>
      <c r="U83">
        <f>'📊 Base Mensal'!I18</f>
        <v>23459.313150000002</v>
      </c>
      <c r="V83">
        <f>'📊 Base Mensal'!I20</f>
        <v>55000</v>
      </c>
      <c r="W83">
        <f>'📊 Base Mensal'!I26</f>
        <v>0.79270548339209501</v>
      </c>
    </row>
    <row r="84" spans="12:23" ht="20" customHeight="1" outlineLevel="1" x14ac:dyDescent="0.2">
      <c r="L84" t="s">
        <v>175</v>
      </c>
      <c r="M84">
        <f>'📊 Base Mensal'!J11</f>
        <v>129336</v>
      </c>
      <c r="N84" s="11">
        <f>'📊 Base Mensal'!J9</f>
        <v>2640</v>
      </c>
      <c r="O84" s="11">
        <f>'📊 Base Mensal'!J5</f>
        <v>24000</v>
      </c>
      <c r="P84">
        <f>'📊 Base Mensal'!J24</f>
        <v>32005.036399999983</v>
      </c>
      <c r="Q84">
        <f>'📊 Base Mensal'!J25</f>
        <v>-48477.33620000002</v>
      </c>
      <c r="R84" s="11">
        <f>'📊 Base Mensal'!J6</f>
        <v>1680</v>
      </c>
      <c r="S84" s="11">
        <f>'📊 Base Mensal'!J7</f>
        <v>720</v>
      </c>
      <c r="T84" s="11">
        <f>'📊 Base Mensal'!J8</f>
        <v>240</v>
      </c>
      <c r="U84">
        <f>'📊 Base Mensal'!J18</f>
        <v>26810.643600000003</v>
      </c>
      <c r="V84">
        <f>'📊 Base Mensal'!J20</f>
        <v>55000</v>
      </c>
      <c r="W84">
        <f>'📊 Base Mensal'!J26</f>
        <v>0.79270548339209501</v>
      </c>
    </row>
    <row r="85" spans="12:23" ht="20" customHeight="1" outlineLevel="1" x14ac:dyDescent="0.2">
      <c r="L85" t="s">
        <v>176</v>
      </c>
      <c r="M85">
        <f>'📊 Base Mensal'!K11</f>
        <v>145503</v>
      </c>
      <c r="N85" s="11">
        <f>'📊 Base Mensal'!K9</f>
        <v>2970</v>
      </c>
      <c r="O85" s="11">
        <f>'📊 Base Mensal'!K5</f>
        <v>27000</v>
      </c>
      <c r="P85">
        <f>'📊 Base Mensal'!K24</f>
        <v>42880.665949999995</v>
      </c>
      <c r="Q85">
        <f>'📊 Base Mensal'!K25</f>
        <v>-5596.6702500000247</v>
      </c>
      <c r="R85" s="11">
        <f>'📊 Base Mensal'!K6</f>
        <v>1890</v>
      </c>
      <c r="S85" s="11">
        <f>'📊 Base Mensal'!K7</f>
        <v>810</v>
      </c>
      <c r="T85" s="11">
        <f>'📊 Base Mensal'!K8</f>
        <v>270</v>
      </c>
      <c r="U85">
        <f>'📊 Base Mensal'!K18</f>
        <v>30161.974050000001</v>
      </c>
      <c r="V85">
        <f>'📊 Base Mensal'!K20</f>
        <v>55000</v>
      </c>
      <c r="W85">
        <f>'📊 Base Mensal'!K26</f>
        <v>0.79270548339209501</v>
      </c>
    </row>
    <row r="86" spans="12:23" ht="20" customHeight="1" outlineLevel="1" x14ac:dyDescent="0.2">
      <c r="L86" t="s">
        <v>177</v>
      </c>
      <c r="M86">
        <f>'📊 Base Mensal'!L11</f>
        <v>161670</v>
      </c>
      <c r="N86" s="11">
        <f>'📊 Base Mensal'!L9</f>
        <v>3300</v>
      </c>
      <c r="O86" s="11">
        <f>'📊 Base Mensal'!L5</f>
        <v>30000</v>
      </c>
      <c r="P86">
        <f>'📊 Base Mensal'!L24</f>
        <v>53756.295500000007</v>
      </c>
      <c r="Q86">
        <f>'📊 Base Mensal'!L25</f>
        <v>48159.625249999983</v>
      </c>
      <c r="R86" s="11">
        <f>'📊 Base Mensal'!L6</f>
        <v>2100</v>
      </c>
      <c r="S86" s="11">
        <f>'📊 Base Mensal'!L7</f>
        <v>900</v>
      </c>
      <c r="T86" s="11">
        <f>'📊 Base Mensal'!L8</f>
        <v>300</v>
      </c>
      <c r="U86">
        <f>'📊 Base Mensal'!L18</f>
        <v>33513.304500000006</v>
      </c>
      <c r="V86">
        <f>'📊 Base Mensal'!L20</f>
        <v>55000</v>
      </c>
      <c r="W86">
        <f>'📊 Base Mensal'!L26</f>
        <v>0.79270548339209501</v>
      </c>
    </row>
    <row r="87" spans="12:23" ht="20" customHeight="1" outlineLevel="1" x14ac:dyDescent="0.2">
      <c r="L87" t="s">
        <v>254</v>
      </c>
      <c r="M87">
        <f>'📊 Base Mensal'!M11</f>
        <v>177837</v>
      </c>
      <c r="N87" s="11">
        <f>'📊 Base Mensal'!M9</f>
        <v>3630</v>
      </c>
      <c r="O87" s="11">
        <f>'📊 Base Mensal'!M5</f>
        <v>33000</v>
      </c>
      <c r="P87">
        <f>'📊 Base Mensal'!M24</f>
        <v>64631.925049999991</v>
      </c>
      <c r="Q87">
        <f>'📊 Base Mensal'!M25</f>
        <v>112791.55029999997</v>
      </c>
      <c r="R87" s="11">
        <f>'📊 Base Mensal'!M6</f>
        <v>2310</v>
      </c>
      <c r="S87" s="11">
        <f>'📊 Base Mensal'!M7</f>
        <v>990</v>
      </c>
      <c r="T87" s="11">
        <f>'📊 Base Mensal'!M8</f>
        <v>330</v>
      </c>
      <c r="U87">
        <f>'📊 Base Mensal'!M18</f>
        <v>36864.634950000007</v>
      </c>
      <c r="V87">
        <f>'📊 Base Mensal'!M20</f>
        <v>55000</v>
      </c>
      <c r="W87">
        <f>'📊 Base Mensal'!M26</f>
        <v>0.79270548339209501</v>
      </c>
    </row>
    <row r="88" spans="12:23" ht="20" customHeight="1" outlineLevel="1" x14ac:dyDescent="0.2">
      <c r="L88" t="s">
        <v>255</v>
      </c>
      <c r="M88">
        <f>'📊 Base Mensal'!N11</f>
        <v>194004</v>
      </c>
      <c r="N88" s="11">
        <f>'📊 Base Mensal'!N9</f>
        <v>3960</v>
      </c>
      <c r="O88" s="11">
        <f>'📊 Base Mensal'!N5</f>
        <v>36000</v>
      </c>
      <c r="P88">
        <f>'📊 Base Mensal'!N24</f>
        <v>75507.554600000003</v>
      </c>
      <c r="Q88">
        <f>'📊 Base Mensal'!N25</f>
        <v>188299.10489999998</v>
      </c>
      <c r="R88" s="11">
        <f>'📊 Base Mensal'!N6</f>
        <v>2520</v>
      </c>
      <c r="S88" s="11">
        <f>'📊 Base Mensal'!N7</f>
        <v>1080</v>
      </c>
      <c r="T88" s="11">
        <f>'📊 Base Mensal'!N8</f>
        <v>360</v>
      </c>
      <c r="U88">
        <f>'📊 Base Mensal'!N18</f>
        <v>40215.965400000001</v>
      </c>
      <c r="V88">
        <f>'📊 Base Mensal'!N20</f>
        <v>55000</v>
      </c>
      <c r="W88">
        <f>'📊 Base Mensal'!N26</f>
        <v>0.79270548339209501</v>
      </c>
    </row>
    <row r="89" spans="12:23" ht="20" customHeight="1" outlineLevel="1" x14ac:dyDescent="0.2">
      <c r="L89" t="s">
        <v>179</v>
      </c>
      <c r="M89">
        <f>'📊 Base Mensal'!O11</f>
        <v>212865.5</v>
      </c>
      <c r="N89" s="11">
        <f>'📊 Base Mensal'!O9</f>
        <v>4345</v>
      </c>
      <c r="O89" s="11">
        <f>'📊 Base Mensal'!O5</f>
        <v>39500</v>
      </c>
      <c r="P89">
        <f>'📊 Base Mensal'!O24</f>
        <v>73195.789074999979</v>
      </c>
      <c r="Q89">
        <f>'📊 Base Mensal'!O25</f>
        <v>261494.89397499996</v>
      </c>
      <c r="R89" s="11">
        <f>'📊 Base Mensal'!O6</f>
        <v>2765</v>
      </c>
      <c r="S89" s="11">
        <f>'📊 Base Mensal'!O7</f>
        <v>1185</v>
      </c>
      <c r="T89" s="11">
        <f>'📊 Base Mensal'!O8</f>
        <v>395</v>
      </c>
      <c r="U89">
        <f>'📊 Base Mensal'!O18</f>
        <v>44125.850925000006</v>
      </c>
      <c r="V89">
        <f>'📊 Base Mensal'!O20</f>
        <v>70000</v>
      </c>
      <c r="W89">
        <f>'📊 Base Mensal'!O26</f>
        <v>0.79270548339209501</v>
      </c>
    </row>
    <row r="90" spans="12:23" ht="20" customHeight="1" outlineLevel="1" x14ac:dyDescent="0.2">
      <c r="L90" t="s">
        <v>180</v>
      </c>
      <c r="M90">
        <f>'📊 Base Mensal'!P11</f>
        <v>231727</v>
      </c>
      <c r="N90" s="11">
        <f>'📊 Base Mensal'!P9</f>
        <v>4730</v>
      </c>
      <c r="O90" s="11">
        <f>'📊 Base Mensal'!P5</f>
        <v>43000</v>
      </c>
      <c r="P90">
        <f>'📊 Base Mensal'!P24</f>
        <v>85884.023550000013</v>
      </c>
      <c r="Q90">
        <f>'📊 Base Mensal'!P25</f>
        <v>347378.91752499994</v>
      </c>
      <c r="R90" s="11">
        <f>'📊 Base Mensal'!P6</f>
        <v>3010</v>
      </c>
      <c r="S90" s="11">
        <f>'📊 Base Mensal'!P7</f>
        <v>1290</v>
      </c>
      <c r="T90" s="11">
        <f>'📊 Base Mensal'!P8</f>
        <v>430</v>
      </c>
      <c r="U90">
        <f>'📊 Base Mensal'!P18</f>
        <v>48035.736449999997</v>
      </c>
      <c r="V90">
        <f>'📊 Base Mensal'!P20</f>
        <v>70000</v>
      </c>
      <c r="W90">
        <f>'📊 Base Mensal'!P26</f>
        <v>0.79270548339209501</v>
      </c>
    </row>
    <row r="91" spans="12:23" ht="20" customHeight="1" outlineLevel="1" x14ac:dyDescent="0.2">
      <c r="L91" t="s">
        <v>181</v>
      </c>
      <c r="M91">
        <f>'📊 Base Mensal'!Q11</f>
        <v>250588.5</v>
      </c>
      <c r="N91" s="11">
        <f>'📊 Base Mensal'!Q9</f>
        <v>5115</v>
      </c>
      <c r="O91" s="11">
        <f>'📊 Base Mensal'!Q5</f>
        <v>46500</v>
      </c>
      <c r="P91">
        <f>'📊 Base Mensal'!Q24</f>
        <v>98572.258024999988</v>
      </c>
      <c r="Q91">
        <f>'📊 Base Mensal'!Q25</f>
        <v>445951.17554999993</v>
      </c>
      <c r="R91" s="11">
        <f>'📊 Base Mensal'!Q6</f>
        <v>3255</v>
      </c>
      <c r="S91" s="11">
        <f>'📊 Base Mensal'!Q7</f>
        <v>1395</v>
      </c>
      <c r="T91" s="11">
        <f>'📊 Base Mensal'!Q8</f>
        <v>465</v>
      </c>
      <c r="U91">
        <f>'📊 Base Mensal'!Q18</f>
        <v>51945.621975000009</v>
      </c>
      <c r="V91">
        <f>'📊 Base Mensal'!Q20</f>
        <v>70000</v>
      </c>
      <c r="W91">
        <f>'📊 Base Mensal'!Q26</f>
        <v>0.79270548339209501</v>
      </c>
    </row>
    <row r="92" spans="12:23" ht="20" customHeight="1" outlineLevel="1" x14ac:dyDescent="0.2">
      <c r="L92" t="s">
        <v>182</v>
      </c>
      <c r="M92">
        <f>'📊 Base Mensal'!R11</f>
        <v>368794.8</v>
      </c>
      <c r="N92" s="11">
        <f>'📊 Base Mensal'!R9</f>
        <v>8052</v>
      </c>
      <c r="O92" s="11">
        <f>'📊 Base Mensal'!R5</f>
        <v>50000</v>
      </c>
      <c r="P92">
        <f>'📊 Base Mensal'!R24</f>
        <v>184298.34061999997</v>
      </c>
      <c r="Q92">
        <f>'📊 Base Mensal'!R25</f>
        <v>630249.51616999996</v>
      </c>
      <c r="R92" s="11">
        <f>'📊 Base Mensal'!R6</f>
        <v>6137</v>
      </c>
      <c r="S92" s="11">
        <f>'📊 Base Mensal'!R7</f>
        <v>1454</v>
      </c>
      <c r="T92" s="11">
        <f>'📊 Base Mensal'!R8</f>
        <v>461</v>
      </c>
      <c r="U92">
        <f>'📊 Base Mensal'!R18</f>
        <v>70241.083380000011</v>
      </c>
      <c r="V92">
        <f>'📊 Base Mensal'!R20</f>
        <v>70000</v>
      </c>
      <c r="W92">
        <f>'📊 Base Mensal'!R26</f>
        <v>0.8095388455043292</v>
      </c>
    </row>
    <row r="93" spans="12:23" ht="20" customHeight="1" outlineLevel="1" x14ac:dyDescent="0.2">
      <c r="L93" t="s">
        <v>183</v>
      </c>
      <c r="M93">
        <f>'📊 Base Mensal'!S11</f>
        <v>483972.6</v>
      </c>
      <c r="N93" s="11">
        <f>'📊 Base Mensal'!S9</f>
        <v>10874</v>
      </c>
      <c r="O93" s="11">
        <f>'📊 Base Mensal'!S5</f>
        <v>53500</v>
      </c>
      <c r="P93">
        <f>'📊 Base Mensal'!S24</f>
        <v>267692.33691499999</v>
      </c>
      <c r="Q93">
        <f>'📊 Base Mensal'!S25</f>
        <v>897941.85308499995</v>
      </c>
      <c r="R93" s="11">
        <f>'📊 Base Mensal'!S6</f>
        <v>8827</v>
      </c>
      <c r="S93" s="11">
        <f>'📊 Base Mensal'!S7</f>
        <v>1589</v>
      </c>
      <c r="T93" s="11">
        <f>'📊 Base Mensal'!S8</f>
        <v>458</v>
      </c>
      <c r="U93">
        <f>'📊 Base Mensal'!S18</f>
        <v>88203.551084999999</v>
      </c>
      <c r="V93">
        <f>'📊 Base Mensal'!S20</f>
        <v>70000</v>
      </c>
      <c r="W93">
        <f>'📊 Base Mensal'!S26</f>
        <v>0.81775094068341891</v>
      </c>
    </row>
    <row r="94" spans="12:23" ht="20" customHeight="1" outlineLevel="1" x14ac:dyDescent="0.2">
      <c r="L94" t="s">
        <v>256</v>
      </c>
      <c r="M94">
        <f>'📊 Base Mensal'!T11</f>
        <v>596620.29999999993</v>
      </c>
      <c r="N94" s="11">
        <f>'📊 Base Mensal'!T9</f>
        <v>13597</v>
      </c>
      <c r="O94" s="11">
        <f>'📊 Base Mensal'!T5</f>
        <v>57000</v>
      </c>
      <c r="P94">
        <f>'📊 Base Mensal'!T24</f>
        <v>349132.44116999995</v>
      </c>
      <c r="Q94">
        <f>'📊 Base Mensal'!T25</f>
        <v>1247074.2942549998</v>
      </c>
      <c r="R94" s="11">
        <f>'📊 Base Mensal'!T6</f>
        <v>11350</v>
      </c>
      <c r="S94" s="11">
        <f>'📊 Base Mensal'!T7</f>
        <v>1789</v>
      </c>
      <c r="T94" s="11">
        <f>'📊 Base Mensal'!T8</f>
        <v>458</v>
      </c>
      <c r="U94">
        <f>'📊 Base Mensal'!T18</f>
        <v>105893.42283000001</v>
      </c>
      <c r="V94">
        <f>'📊 Base Mensal'!T20</f>
        <v>70000</v>
      </c>
      <c r="W94">
        <f>'📊 Base Mensal'!T26</f>
        <v>0.82251119710475817</v>
      </c>
    </row>
    <row r="95" spans="12:23" ht="20" customHeight="1" outlineLevel="1" x14ac:dyDescent="0.2">
      <c r="L95" t="s">
        <v>184</v>
      </c>
      <c r="M95">
        <f>'📊 Base Mensal'!U11</f>
        <v>706817.1</v>
      </c>
      <c r="N95" s="11">
        <f>'📊 Base Mensal'!U9</f>
        <v>16229</v>
      </c>
      <c r="O95" s="11">
        <f>'📊 Base Mensal'!U5</f>
        <v>60500</v>
      </c>
      <c r="P95">
        <f>'📊 Base Mensal'!U24</f>
        <v>428692.56606500002</v>
      </c>
      <c r="Q95">
        <f>'📊 Base Mensal'!U25</f>
        <v>1675766.86032</v>
      </c>
      <c r="R95" s="11">
        <f>'📊 Base Mensal'!U6</f>
        <v>13725</v>
      </c>
      <c r="S95" s="11">
        <f>'📊 Base Mensal'!U7</f>
        <v>2044</v>
      </c>
      <c r="T95" s="11">
        <f>'📊 Base Mensal'!U8</f>
        <v>460</v>
      </c>
      <c r="U95">
        <f>'📊 Base Mensal'!U18</f>
        <v>123306.481935</v>
      </c>
      <c r="V95">
        <f>'📊 Base Mensal'!U20</f>
        <v>70000</v>
      </c>
      <c r="W95">
        <f>'📊 Base Mensal'!U26</f>
        <v>0.8255468325044768</v>
      </c>
    </row>
    <row r="96" spans="12:23" ht="20" customHeight="1" outlineLevel="1" x14ac:dyDescent="0.2">
      <c r="L96" t="s">
        <v>185</v>
      </c>
      <c r="M96">
        <f>'📊 Base Mensal'!V11</f>
        <v>814921.8</v>
      </c>
      <c r="N96" s="11">
        <f>'📊 Base Mensal'!V9</f>
        <v>18782</v>
      </c>
      <c r="O96" s="11">
        <f>'📊 Base Mensal'!V5</f>
        <v>64000</v>
      </c>
      <c r="P96">
        <f>'📊 Base Mensal'!V24</f>
        <v>506645.79272000003</v>
      </c>
      <c r="Q96">
        <f>'📊 Base Mensal'!V25</f>
        <v>2182412.6530400002</v>
      </c>
      <c r="R96" s="11">
        <f>'📊 Base Mensal'!V6</f>
        <v>15971</v>
      </c>
      <c r="S96" s="11">
        <f>'📊 Base Mensal'!V7</f>
        <v>2346</v>
      </c>
      <c r="T96" s="11">
        <f>'📊 Base Mensal'!V8</f>
        <v>465</v>
      </c>
      <c r="U96">
        <f>'📊 Base Mensal'!V18</f>
        <v>140485.39128000001</v>
      </c>
      <c r="V96">
        <f>'📊 Base Mensal'!V20</f>
        <v>70000</v>
      </c>
      <c r="W96">
        <f>'📊 Base Mensal'!V26</f>
        <v>0.82760874567351128</v>
      </c>
    </row>
    <row r="97" spans="12:23" ht="20" customHeight="1" outlineLevel="1" x14ac:dyDescent="0.2">
      <c r="L97" t="s">
        <v>186</v>
      </c>
      <c r="M97">
        <f>'📊 Base Mensal'!W11</f>
        <v>921093.59999999986</v>
      </c>
      <c r="N97" s="11">
        <f>'📊 Base Mensal'!W9</f>
        <v>21264</v>
      </c>
      <c r="O97" s="11">
        <f>'📊 Base Mensal'!W5</f>
        <v>67500</v>
      </c>
      <c r="P97">
        <f>'📊 Base Mensal'!W24</f>
        <v>583120.31121499988</v>
      </c>
      <c r="Q97">
        <f>'📊 Base Mensal'!W25</f>
        <v>2765532.964255</v>
      </c>
      <c r="R97" s="11">
        <f>'📊 Base Mensal'!W6</f>
        <v>18104</v>
      </c>
      <c r="S97" s="11">
        <f>'📊 Base Mensal'!W7</f>
        <v>2687</v>
      </c>
      <c r="T97" s="11">
        <f>'📊 Base Mensal'!W8</f>
        <v>473</v>
      </c>
      <c r="U97">
        <f>'📊 Base Mensal'!W18</f>
        <v>157442.05678500002</v>
      </c>
      <c r="V97">
        <f>'📊 Base Mensal'!W20</f>
        <v>70000</v>
      </c>
      <c r="W97">
        <f>'📊 Base Mensal'!W26</f>
        <v>0.82907051271987986</v>
      </c>
    </row>
    <row r="98" spans="12:23" ht="20" customHeight="1" outlineLevel="1" x14ac:dyDescent="0.2">
      <c r="L98" t="s">
        <v>187</v>
      </c>
      <c r="M98">
        <f>'📊 Base Mensal'!X11</f>
        <v>1025631.5999999999</v>
      </c>
      <c r="N98" s="11">
        <f>'📊 Base Mensal'!X9</f>
        <v>23684</v>
      </c>
      <c r="O98" s="11">
        <f>'📊 Base Mensal'!X5</f>
        <v>71000</v>
      </c>
      <c r="P98">
        <f>'📊 Base Mensal'!X24</f>
        <v>658341.13138999988</v>
      </c>
      <c r="Q98">
        <f>'📊 Base Mensal'!X25</f>
        <v>3423874.0956449998</v>
      </c>
      <c r="R98" s="11">
        <f>'📊 Base Mensal'!X6</f>
        <v>20137</v>
      </c>
      <c r="S98" s="11">
        <f>'📊 Base Mensal'!X7</f>
        <v>3062</v>
      </c>
      <c r="T98" s="11">
        <f>'📊 Base Mensal'!X8</f>
        <v>485</v>
      </c>
      <c r="U98">
        <f>'📊 Base Mensal'!X18</f>
        <v>174214.67661000002</v>
      </c>
      <c r="V98">
        <f>'📊 Base Mensal'!X20</f>
        <v>70000</v>
      </c>
      <c r="W98">
        <f>'📊 Base Mensal'!X26</f>
        <v>0.83013912928384803</v>
      </c>
    </row>
    <row r="99" spans="12:23" ht="20" customHeight="1" outlineLevel="1" x14ac:dyDescent="0.2">
      <c r="L99" t="s">
        <v>188</v>
      </c>
      <c r="M99">
        <f>'📊 Base Mensal'!Y11</f>
        <v>1128615.2</v>
      </c>
      <c r="N99" s="11">
        <f>'📊 Base Mensal'!Y9</f>
        <v>26048</v>
      </c>
      <c r="O99" s="11">
        <f>'📊 Base Mensal'!Y5</f>
        <v>74500</v>
      </c>
      <c r="P99">
        <f>'📊 Base Mensal'!Y24</f>
        <v>732376.63700499991</v>
      </c>
      <c r="Q99">
        <f>'📊 Base Mensal'!Y25</f>
        <v>4156250.7326499997</v>
      </c>
      <c r="R99" s="11">
        <f>'📊 Base Mensal'!Y6</f>
        <v>22083</v>
      </c>
      <c r="S99" s="11">
        <f>'📊 Base Mensal'!Y7</f>
        <v>3465</v>
      </c>
      <c r="T99" s="11">
        <f>'📊 Base Mensal'!Y8</f>
        <v>500</v>
      </c>
      <c r="U99">
        <f>'📊 Base Mensal'!Y18</f>
        <v>190804.73899500002</v>
      </c>
      <c r="V99">
        <f>'📊 Base Mensal'!Y20</f>
        <v>70000</v>
      </c>
      <c r="W99">
        <f>'📊 Base Mensal'!Y26</f>
        <v>0.83093906674746187</v>
      </c>
    </row>
    <row r="100" spans="12:23" ht="20" customHeight="1" outlineLevel="1" x14ac:dyDescent="0.2">
      <c r="L100" t="s">
        <v>257</v>
      </c>
      <c r="M100">
        <f>'📊 Base Mensal'!Z11</f>
        <v>1230263.7</v>
      </c>
      <c r="N100" s="11">
        <f>'📊 Base Mensal'!Z9</f>
        <v>28363</v>
      </c>
      <c r="O100" s="11">
        <f>'📊 Base Mensal'!Z5</f>
        <v>78000</v>
      </c>
      <c r="P100">
        <f>'📊 Base Mensal'!Z24</f>
        <v>805393.27177999995</v>
      </c>
      <c r="Q100">
        <f>'📊 Base Mensal'!Z25</f>
        <v>4961644.0044299997</v>
      </c>
      <c r="R100" s="11">
        <f>'📊 Base Mensal'!Z6</f>
        <v>23953</v>
      </c>
      <c r="S100" s="11">
        <f>'📊 Base Mensal'!Z7</f>
        <v>3891</v>
      </c>
      <c r="T100" s="11">
        <f>'📊 Base Mensal'!Z8</f>
        <v>519</v>
      </c>
      <c r="U100">
        <f>'📊 Base Mensal'!Z18</f>
        <v>207238.78422000003</v>
      </c>
      <c r="V100">
        <f>'📊 Base Mensal'!Z20</f>
        <v>70000</v>
      </c>
      <c r="W100">
        <f>'📊 Base Mensal'!Z26</f>
        <v>0.83154929774811692</v>
      </c>
    </row>
    <row r="101" spans="12:23" ht="20" customHeight="1" outlineLevel="1" x14ac:dyDescent="0.2"/>
    <row r="102" spans="12:23" ht="20" customHeight="1" outlineLevel="1" x14ac:dyDescent="0.2">
      <c r="L102" t="s">
        <v>274</v>
      </c>
      <c r="M102" t="s">
        <v>383</v>
      </c>
      <c r="N102" t="s">
        <v>314</v>
      </c>
      <c r="O102" t="str">
        <f>"Retorno Anjo ("&amp;TEXT('🎛️ Premissas'!$B$56,"0%")&amp;")"</f>
        <v>Retorno Anjo (15%)</v>
      </c>
    </row>
    <row r="103" spans="12:23" ht="20" customHeight="1" outlineLevel="1" x14ac:dyDescent="0.2">
      <c r="L103" t="s">
        <v>3</v>
      </c>
      <c r="M103">
        <f>'🎛️ Premissas'!$B$55/1000000</f>
        <v>1</v>
      </c>
      <c r="N103">
        <f>'📊 Resumo Cenários'!B21/1000000</f>
        <v>27.698813099999999</v>
      </c>
      <c r="O103">
        <f>'📊 Resumo Cenários'!B22/1000000</f>
        <v>4.1548219649999991</v>
      </c>
    </row>
    <row r="104" spans="12:23" ht="20" customHeight="1" outlineLevel="1" x14ac:dyDescent="0.2">
      <c r="L104" t="s">
        <v>264</v>
      </c>
      <c r="M104">
        <f>'🎛️ Premissas'!$B$55/1000000</f>
        <v>1</v>
      </c>
      <c r="N104">
        <f>'📊 Resumo Cenários'!C21/1000000</f>
        <v>75.044719000000001</v>
      </c>
      <c r="O104">
        <f>'📊 Resumo Cenários'!C22/1000000</f>
        <v>11.25670785</v>
      </c>
    </row>
    <row r="105" spans="12:23" ht="20" customHeight="1" outlineLevel="1" x14ac:dyDescent="0.2">
      <c r="L105" t="s">
        <v>5</v>
      </c>
      <c r="M105">
        <f>'🎛️ Premissas'!$B$55/1000000</f>
        <v>1</v>
      </c>
      <c r="N105">
        <f>'📊 Resumo Cenários'!D21/1000000</f>
        <v>148.72557559999998</v>
      </c>
      <c r="O105">
        <f>'📊 Resumo Cenários'!D22/1000000</f>
        <v>22.308836339999999</v>
      </c>
    </row>
    <row r="106" spans="12:23" ht="20" customHeight="1" outlineLevel="1" x14ac:dyDescent="0.2"/>
    <row r="107" spans="12:23" ht="20" customHeight="1" x14ac:dyDescent="0.2"/>
    <row r="108" spans="12:23" ht="20" customHeight="1" x14ac:dyDescent="0.2"/>
    <row r="109" spans="12:23" ht="20" customHeight="1" x14ac:dyDescent="0.2"/>
    <row r="110" spans="12:23" ht="20" customHeight="1" x14ac:dyDescent="0.2"/>
    <row r="111" spans="12:23" ht="20" customHeight="1" x14ac:dyDescent="0.2"/>
    <row r="112" spans="12:23" ht="20" customHeight="1" x14ac:dyDescent="0.2"/>
    <row r="113" ht="20" customHeight="1" x14ac:dyDescent="0.2"/>
  </sheetData>
  <mergeCells count="26">
    <mergeCell ref="F29:J29"/>
    <mergeCell ref="A2:J2"/>
    <mergeCell ref="A3:J3"/>
    <mergeCell ref="C5:J5"/>
    <mergeCell ref="A7:B7"/>
    <mergeCell ref="A8:B8"/>
    <mergeCell ref="G7:H7"/>
    <mergeCell ref="G8:H8"/>
    <mergeCell ref="I7:J7"/>
    <mergeCell ref="I8:J8"/>
    <mergeCell ref="A53:J53"/>
    <mergeCell ref="A9:B9"/>
    <mergeCell ref="C7:D7"/>
    <mergeCell ref="C8:D8"/>
    <mergeCell ref="C9:D9"/>
    <mergeCell ref="E7:F7"/>
    <mergeCell ref="E8:F8"/>
    <mergeCell ref="E9:F9"/>
    <mergeCell ref="G9:H9"/>
    <mergeCell ref="I9:J9"/>
    <mergeCell ref="A11:E11"/>
    <mergeCell ref="F11:J11"/>
    <mergeCell ref="A10:J10"/>
    <mergeCell ref="A28:J28"/>
    <mergeCell ref="A52:J52"/>
    <mergeCell ref="A29:E2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988B-D354-7C49-AE62-BB99C8E78F71}">
  <dimension ref="A1:F52"/>
  <sheetViews>
    <sheetView showGridLines="0" workbookViewId="0">
      <selection activeCell="H15" sqref="H15"/>
    </sheetView>
  </sheetViews>
  <sheetFormatPr baseColWidth="10" defaultRowHeight="15" x14ac:dyDescent="0.2"/>
  <cols>
    <col min="1" max="1" width="3" customWidth="1"/>
    <col min="2" max="2" width="42" customWidth="1"/>
    <col min="3" max="3" width="20.5" customWidth="1"/>
    <col min="4" max="4" width="21.6640625" customWidth="1"/>
    <col min="5" max="6" width="18.33203125" customWidth="1"/>
  </cols>
  <sheetData>
    <row r="1" spans="1:6" ht="16" x14ac:dyDescent="0.2">
      <c r="A1" s="302"/>
      <c r="B1" s="302"/>
      <c r="C1" s="302"/>
      <c r="D1" s="302"/>
      <c r="E1" s="302"/>
      <c r="F1" s="302"/>
    </row>
    <row r="2" spans="1:6" ht="28" customHeight="1" x14ac:dyDescent="0.2">
      <c r="A2" s="302"/>
      <c r="B2" s="303" t="s">
        <v>386</v>
      </c>
      <c r="C2" s="304"/>
      <c r="D2" s="304"/>
      <c r="E2" s="304"/>
      <c r="F2" s="302"/>
    </row>
    <row r="3" spans="1:6" ht="16" x14ac:dyDescent="0.2">
      <c r="A3" s="302"/>
      <c r="B3" s="305" t="s">
        <v>387</v>
      </c>
      <c r="C3" s="302"/>
      <c r="D3" s="302"/>
      <c r="E3" s="302"/>
      <c r="F3" s="302"/>
    </row>
    <row r="4" spans="1:6" ht="16" x14ac:dyDescent="0.2">
      <c r="A4" s="302"/>
      <c r="B4" s="302"/>
      <c r="C4" s="302"/>
      <c r="D4" s="302"/>
      <c r="E4" s="302"/>
      <c r="F4" s="302"/>
    </row>
    <row r="5" spans="1:6" ht="16" x14ac:dyDescent="0.2">
      <c r="A5" s="302"/>
      <c r="B5" s="152" t="s">
        <v>388</v>
      </c>
      <c r="C5" s="306"/>
      <c r="D5" s="306"/>
      <c r="E5" s="306"/>
      <c r="F5" s="302"/>
    </row>
    <row r="6" spans="1:6" ht="16" x14ac:dyDescent="0.2">
      <c r="A6" s="302"/>
      <c r="B6" s="307" t="s">
        <v>389</v>
      </c>
      <c r="C6" s="308">
        <f>'🎛️ Premissas'!B55</f>
        <v>1000000</v>
      </c>
      <c r="D6" s="309" t="s">
        <v>393</v>
      </c>
      <c r="E6" s="302"/>
      <c r="F6" s="302"/>
    </row>
    <row r="7" spans="1:6" ht="16" x14ac:dyDescent="0.2">
      <c r="A7" s="302"/>
      <c r="B7" s="307" t="s">
        <v>390</v>
      </c>
      <c r="C7" s="310">
        <f>'🎛️ Premissas'!B56</f>
        <v>0.15</v>
      </c>
      <c r="D7" s="309" t="s">
        <v>394</v>
      </c>
      <c r="E7" s="302"/>
      <c r="F7" s="302"/>
    </row>
    <row r="8" spans="1:6" ht="16" x14ac:dyDescent="0.2">
      <c r="A8" s="302"/>
      <c r="B8" s="307" t="s">
        <v>391</v>
      </c>
      <c r="C8" s="308">
        <f>'🎛️ Premissas'!B58</f>
        <v>6666666.666666667</v>
      </c>
      <c r="D8" s="311" t="s">
        <v>395</v>
      </c>
      <c r="E8" s="302"/>
      <c r="F8" s="302"/>
    </row>
    <row r="9" spans="1:6" ht="16" x14ac:dyDescent="0.2">
      <c r="A9" s="302"/>
      <c r="B9" s="307" t="s">
        <v>392</v>
      </c>
      <c r="C9" s="308">
        <f>'🎛️ Premissas'!B57</f>
        <v>5666666.666666667</v>
      </c>
      <c r="D9" s="302"/>
      <c r="E9" s="302"/>
      <c r="F9" s="302"/>
    </row>
    <row r="10" spans="1:6" ht="16" x14ac:dyDescent="0.2">
      <c r="A10" s="302"/>
      <c r="B10" s="302"/>
      <c r="C10" s="302"/>
      <c r="D10" s="302"/>
      <c r="E10" s="302"/>
      <c r="F10" s="302"/>
    </row>
    <row r="11" spans="1:6" ht="16" x14ac:dyDescent="0.2">
      <c r="A11" s="302"/>
      <c r="B11" s="152" t="s">
        <v>396</v>
      </c>
      <c r="C11" s="306"/>
      <c r="D11" s="306"/>
      <c r="E11" s="306"/>
      <c r="F11" s="302"/>
    </row>
    <row r="12" spans="1:6" ht="16" x14ac:dyDescent="0.2">
      <c r="A12" s="302"/>
      <c r="B12" s="312" t="s">
        <v>2</v>
      </c>
      <c r="C12" s="313" t="s">
        <v>255</v>
      </c>
      <c r="D12" s="313" t="s">
        <v>257</v>
      </c>
      <c r="E12" s="302"/>
      <c r="F12" s="302"/>
    </row>
    <row r="13" spans="1:6" ht="16" x14ac:dyDescent="0.2">
      <c r="A13" s="302"/>
      <c r="B13" s="307" t="s">
        <v>397</v>
      </c>
      <c r="C13" s="314">
        <f>'📊 Base Mensal'!N9</f>
        <v>3960</v>
      </c>
      <c r="D13" s="315">
        <f>'📊 Base Mensal'!Z9</f>
        <v>28363</v>
      </c>
      <c r="E13" s="302"/>
      <c r="F13" s="302"/>
    </row>
    <row r="14" spans="1:6" ht="16" x14ac:dyDescent="0.2">
      <c r="A14" s="302"/>
      <c r="B14" s="307" t="s">
        <v>398</v>
      </c>
      <c r="C14" s="316">
        <f>'📊 Base Mensal'!N11</f>
        <v>194004</v>
      </c>
      <c r="D14" s="317">
        <f>'📊 Base Mensal'!Z11</f>
        <v>1230263.7</v>
      </c>
      <c r="E14" s="302"/>
      <c r="F14" s="302"/>
    </row>
    <row r="15" spans="1:6" ht="16" x14ac:dyDescent="0.2">
      <c r="A15" s="302"/>
      <c r="B15" s="307" t="s">
        <v>399</v>
      </c>
      <c r="C15" s="316">
        <f>'📊 Base Mensal'!N12</f>
        <v>1261026</v>
      </c>
      <c r="D15" s="317">
        <f>'📊 Base Mensal'!Z12</f>
        <v>9232937.6999999993</v>
      </c>
      <c r="E15" s="302"/>
      <c r="F15" s="302"/>
    </row>
    <row r="16" spans="1:6" ht="16" x14ac:dyDescent="0.2">
      <c r="A16" s="302"/>
      <c r="B16" s="307" t="s">
        <v>400</v>
      </c>
      <c r="C16" s="318">
        <f>'📊 Base Mensal'!N26</f>
        <v>0.79270548339209501</v>
      </c>
      <c r="D16" s="319">
        <f>'📊 Base Mensal'!Z26</f>
        <v>0.83154929774811692</v>
      </c>
      <c r="E16" s="302"/>
      <c r="F16" s="302"/>
    </row>
    <row r="17" spans="1:6" ht="16" x14ac:dyDescent="0.2">
      <c r="A17" s="302"/>
      <c r="B17" s="307" t="s">
        <v>401</v>
      </c>
      <c r="C17" s="320">
        <f>'📊 Base Mensal'!N24</f>
        <v>75507.554600000003</v>
      </c>
      <c r="D17" s="321">
        <f>'📊 Base Mensal'!Z24</f>
        <v>805393.27177999995</v>
      </c>
      <c r="E17" s="302"/>
      <c r="F17" s="302"/>
    </row>
    <row r="18" spans="1:6" ht="16" x14ac:dyDescent="0.2">
      <c r="A18" s="302"/>
      <c r="B18" s="302"/>
      <c r="C18" s="302"/>
      <c r="D18" s="302"/>
      <c r="E18" s="302"/>
      <c r="F18" s="302"/>
    </row>
    <row r="19" spans="1:6" ht="16" x14ac:dyDescent="0.2">
      <c r="A19" s="302"/>
      <c r="B19" s="152" t="s">
        <v>402</v>
      </c>
      <c r="C19" s="306"/>
      <c r="D19" s="306"/>
      <c r="E19" s="306"/>
      <c r="F19" s="302"/>
    </row>
    <row r="20" spans="1:6" ht="16" x14ac:dyDescent="0.2">
      <c r="A20" s="302"/>
      <c r="B20" s="312" t="s">
        <v>274</v>
      </c>
      <c r="C20" s="313" t="s">
        <v>403</v>
      </c>
      <c r="D20" s="313" t="s">
        <v>404</v>
      </c>
      <c r="E20" s="313" t="s">
        <v>405</v>
      </c>
      <c r="F20" s="302"/>
    </row>
    <row r="21" spans="1:6" ht="16" x14ac:dyDescent="0.2">
      <c r="A21" s="302"/>
      <c r="B21" s="307" t="s">
        <v>3</v>
      </c>
      <c r="C21" s="322">
        <f>'📊 Resumo Cenários'!B21</f>
        <v>27698813.099999998</v>
      </c>
      <c r="D21" s="322">
        <f>C21*'🎛️ Premissas'!$B$56</f>
        <v>4154821.9649999994</v>
      </c>
      <c r="E21" s="323">
        <f>D21/'🎛️ Premissas'!$B$55</f>
        <v>4.1548219649999991</v>
      </c>
      <c r="F21" s="302"/>
    </row>
    <row r="22" spans="1:6" ht="16" x14ac:dyDescent="0.2">
      <c r="A22" s="302"/>
      <c r="B22" s="324" t="s">
        <v>264</v>
      </c>
      <c r="C22" s="325">
        <f>'📊 Resumo Cenários'!C21</f>
        <v>75044719</v>
      </c>
      <c r="D22" s="326">
        <f>C22*'🎛️ Premissas'!$B$56</f>
        <v>11256707.85</v>
      </c>
      <c r="E22" s="327">
        <f>D22/'🎛️ Premissas'!$B$55</f>
        <v>11.25670785</v>
      </c>
      <c r="F22" s="302"/>
    </row>
    <row r="23" spans="1:6" ht="16" x14ac:dyDescent="0.2">
      <c r="A23" s="302"/>
      <c r="B23" s="307" t="s">
        <v>5</v>
      </c>
      <c r="C23" s="322">
        <f>'📊 Resumo Cenários'!D21</f>
        <v>148725575.59999999</v>
      </c>
      <c r="D23" s="322">
        <f>C23*'🎛️ Premissas'!$B$56</f>
        <v>22308836.34</v>
      </c>
      <c r="E23" s="323">
        <f>D23/'🎛️ Premissas'!$B$55</f>
        <v>22.308836339999999</v>
      </c>
      <c r="F23" s="302"/>
    </row>
    <row r="24" spans="1:6" ht="16" x14ac:dyDescent="0.2">
      <c r="A24" s="302"/>
      <c r="B24" s="302"/>
      <c r="C24" s="302"/>
      <c r="D24" s="302"/>
      <c r="E24" s="302"/>
      <c r="F24" s="302"/>
    </row>
    <row r="25" spans="1:6" ht="16" x14ac:dyDescent="0.2">
      <c r="A25" s="302"/>
      <c r="B25" s="152" t="s">
        <v>406</v>
      </c>
      <c r="C25" s="306"/>
      <c r="D25" s="306"/>
      <c r="E25" s="306"/>
      <c r="F25" s="302"/>
    </row>
    <row r="26" spans="1:6" ht="16" x14ac:dyDescent="0.2">
      <c r="A26" s="302"/>
      <c r="B26" s="307" t="s">
        <v>407</v>
      </c>
      <c r="C26" s="328">
        <v>0.4</v>
      </c>
      <c r="D26" s="329">
        <f>C26*'🎛️ Premissas'!$B$55</f>
        <v>400000</v>
      </c>
      <c r="E26" s="302"/>
      <c r="F26" s="302"/>
    </row>
    <row r="27" spans="1:6" ht="16" x14ac:dyDescent="0.2">
      <c r="A27" s="302"/>
      <c r="B27" s="307" t="s">
        <v>408</v>
      </c>
      <c r="C27" s="328">
        <v>0.3</v>
      </c>
      <c r="D27" s="329">
        <f>C27*'🎛️ Premissas'!$B$55</f>
        <v>300000</v>
      </c>
      <c r="E27" s="302"/>
      <c r="F27" s="302"/>
    </row>
    <row r="28" spans="1:6" ht="16" x14ac:dyDescent="0.2">
      <c r="A28" s="302"/>
      <c r="B28" s="307" t="s">
        <v>409</v>
      </c>
      <c r="C28" s="328">
        <v>0.2</v>
      </c>
      <c r="D28" s="329">
        <f>C28*'🎛️ Premissas'!$B$55</f>
        <v>200000</v>
      </c>
      <c r="E28" s="302"/>
      <c r="F28" s="302"/>
    </row>
    <row r="29" spans="1:6" ht="16" x14ac:dyDescent="0.2">
      <c r="A29" s="302"/>
      <c r="B29" s="307" t="s">
        <v>410</v>
      </c>
      <c r="C29" s="328">
        <v>0.1</v>
      </c>
      <c r="D29" s="329">
        <f>C29*'🎛️ Premissas'!$B$55</f>
        <v>100000</v>
      </c>
      <c r="E29" s="302"/>
      <c r="F29" s="302"/>
    </row>
    <row r="30" spans="1:6" ht="16" x14ac:dyDescent="0.2">
      <c r="A30" s="302"/>
      <c r="B30" s="330" t="s">
        <v>411</v>
      </c>
      <c r="C30" s="319">
        <f>SUM(C26:C29)</f>
        <v>0.99999999999999989</v>
      </c>
      <c r="D30" s="308">
        <f>SUM(D26:D29)</f>
        <v>1000000</v>
      </c>
      <c r="E30" s="302"/>
      <c r="F30" s="302"/>
    </row>
    <row r="31" spans="1:6" ht="16" x14ac:dyDescent="0.2">
      <c r="A31" s="302"/>
      <c r="B31" s="302"/>
      <c r="C31" s="302"/>
      <c r="D31" s="302"/>
      <c r="E31" s="302"/>
      <c r="F31" s="302"/>
    </row>
    <row r="32" spans="1:6" ht="16" x14ac:dyDescent="0.2">
      <c r="A32" s="302"/>
      <c r="B32" s="153" t="s">
        <v>412</v>
      </c>
      <c r="C32" s="304"/>
      <c r="D32" s="304"/>
      <c r="E32" s="304"/>
      <c r="F32" s="302"/>
    </row>
    <row r="33" spans="1:6" ht="16" x14ac:dyDescent="0.2">
      <c r="A33" s="302"/>
      <c r="B33" s="331" t="s">
        <v>413</v>
      </c>
      <c r="C33" s="302"/>
      <c r="D33" s="302"/>
      <c r="E33" s="302"/>
      <c r="F33" s="302"/>
    </row>
    <row r="34" spans="1:6" ht="16" x14ac:dyDescent="0.2">
      <c r="A34" s="302"/>
      <c r="B34" s="331" t="s">
        <v>414</v>
      </c>
      <c r="C34" s="302"/>
      <c r="D34" s="302"/>
      <c r="E34" s="302"/>
      <c r="F34" s="302"/>
    </row>
    <row r="35" spans="1:6" ht="16" x14ac:dyDescent="0.2">
      <c r="A35" s="302"/>
      <c r="B35" s="331" t="s">
        <v>415</v>
      </c>
      <c r="C35" s="302"/>
      <c r="D35" s="302"/>
      <c r="E35" s="302"/>
      <c r="F35" s="302"/>
    </row>
    <row r="36" spans="1:6" ht="16" x14ac:dyDescent="0.2">
      <c r="A36" s="302"/>
      <c r="B36" s="331" t="s">
        <v>416</v>
      </c>
      <c r="C36" s="302"/>
      <c r="D36" s="302"/>
      <c r="E36" s="302"/>
      <c r="F36" s="302"/>
    </row>
    <row r="37" spans="1:6" ht="16" x14ac:dyDescent="0.2">
      <c r="A37" s="302"/>
      <c r="B37" s="331" t="s">
        <v>417</v>
      </c>
      <c r="C37" s="302"/>
      <c r="D37" s="302"/>
      <c r="E37" s="302"/>
      <c r="F37" s="302"/>
    </row>
    <row r="38" spans="1:6" ht="16" x14ac:dyDescent="0.2">
      <c r="A38" s="302"/>
      <c r="B38" s="302"/>
      <c r="C38" s="302"/>
      <c r="D38" s="302"/>
      <c r="E38" s="302"/>
      <c r="F38" s="302"/>
    </row>
    <row r="39" spans="1:6" ht="16" x14ac:dyDescent="0.2">
      <c r="A39" s="302"/>
      <c r="B39" s="344" t="s">
        <v>418</v>
      </c>
      <c r="C39" s="344"/>
      <c r="D39" s="344"/>
      <c r="E39" s="344"/>
      <c r="F39" s="344"/>
    </row>
    <row r="40" spans="1:6" ht="16" x14ac:dyDescent="0.2">
      <c r="A40" s="302"/>
      <c r="B40" s="344"/>
      <c r="C40" s="344"/>
      <c r="D40" s="344"/>
      <c r="E40" s="344"/>
      <c r="F40" s="344"/>
    </row>
    <row r="41" spans="1:6" ht="16" x14ac:dyDescent="0.2">
      <c r="A41" s="332"/>
      <c r="B41" s="332"/>
      <c r="C41" s="332"/>
      <c r="D41" s="332"/>
      <c r="E41" s="332"/>
      <c r="F41" s="332"/>
    </row>
    <row r="42" spans="1:6" ht="16" x14ac:dyDescent="0.2">
      <c r="A42" s="332"/>
      <c r="B42" s="154" t="s">
        <v>419</v>
      </c>
      <c r="C42" s="154"/>
      <c r="D42" s="154"/>
      <c r="E42" s="154"/>
      <c r="F42" s="154"/>
    </row>
    <row r="43" spans="1:6" ht="16" x14ac:dyDescent="0.2">
      <c r="A43" s="332"/>
      <c r="B43" s="333" t="s">
        <v>420</v>
      </c>
      <c r="C43" s="333" t="s">
        <v>421</v>
      </c>
      <c r="D43" s="333" t="s">
        <v>422</v>
      </c>
      <c r="E43" s="333" t="s">
        <v>11</v>
      </c>
      <c r="F43" s="333" t="s">
        <v>423</v>
      </c>
    </row>
    <row r="44" spans="1:6" ht="16" x14ac:dyDescent="0.2">
      <c r="A44" s="332"/>
      <c r="B44" s="334">
        <v>0.05</v>
      </c>
      <c r="C44" s="335">
        <f>1/B44</f>
        <v>20</v>
      </c>
      <c r="D44" s="336">
        <f>'📊 Resumo Cenários'!$C$13*C44</f>
        <v>867.11119999999994</v>
      </c>
      <c r="E44" s="337">
        <f>D44/'🎛️ Premissas'!$C$45</f>
        <v>14.451853333333332</v>
      </c>
      <c r="F44" s="338" t="str">
        <f>IF(E44&gt;=8,"✅ top quartile",IF(E44&gt;=3,"✅ saudável","⚠️ rever CAC"))</f>
        <v>✅ top quartile</v>
      </c>
    </row>
    <row r="45" spans="1:6" ht="16" x14ac:dyDescent="0.2">
      <c r="A45" s="332"/>
      <c r="B45" s="334">
        <v>0.06</v>
      </c>
      <c r="C45" s="335">
        <f t="shared" ref="C45:C50" si="0">1/B45</f>
        <v>16.666666666666668</v>
      </c>
      <c r="D45" s="336">
        <f>'📊 Resumo Cenários'!$C$13*C45</f>
        <v>722.59266666666667</v>
      </c>
      <c r="E45" s="337">
        <f>D45/'🎛️ Premissas'!$C$45</f>
        <v>12.043211111111111</v>
      </c>
      <c r="F45" s="338" t="str">
        <f t="shared" ref="F45:F50" si="1">IF(E45&gt;=8,"✅ top quartile",IF(E45&gt;=3,"✅ saudável","⚠️ rever CAC"))</f>
        <v>✅ top quartile</v>
      </c>
    </row>
    <row r="46" spans="1:6" ht="16" x14ac:dyDescent="0.2">
      <c r="A46" s="332"/>
      <c r="B46" s="334">
        <v>7.0000000000000007E-2</v>
      </c>
      <c r="C46" s="335">
        <f t="shared" si="0"/>
        <v>14.285714285714285</v>
      </c>
      <c r="D46" s="336">
        <f>'📊 Resumo Cenários'!$C$13*C46</f>
        <v>619.36514285714281</v>
      </c>
      <c r="E46" s="337">
        <f>D46/'🎛️ Premissas'!$C$45</f>
        <v>10.32275238095238</v>
      </c>
      <c r="F46" s="338" t="str">
        <f t="shared" si="1"/>
        <v>✅ top quartile</v>
      </c>
    </row>
    <row r="47" spans="1:6" ht="16" x14ac:dyDescent="0.2">
      <c r="A47" s="332"/>
      <c r="B47" s="339">
        <v>0.08</v>
      </c>
      <c r="C47" s="340">
        <f t="shared" si="0"/>
        <v>12.5</v>
      </c>
      <c r="D47" s="341">
        <f>'📊 Resumo Cenários'!$C$13*C47</f>
        <v>541.94449999999995</v>
      </c>
      <c r="E47" s="342">
        <f>D47/'🎛️ Premissas'!$C$45</f>
        <v>9.0324083333333327</v>
      </c>
      <c r="F47" s="343" t="str">
        <f t="shared" si="1"/>
        <v>✅ top quartile</v>
      </c>
    </row>
    <row r="48" spans="1:6" ht="16" x14ac:dyDescent="0.2">
      <c r="A48" s="332"/>
      <c r="B48" s="334">
        <v>0.1</v>
      </c>
      <c r="C48" s="335">
        <f t="shared" si="0"/>
        <v>10</v>
      </c>
      <c r="D48" s="336">
        <f>'📊 Resumo Cenários'!$C$13*C48</f>
        <v>433.55559999999997</v>
      </c>
      <c r="E48" s="337">
        <f>D48/'🎛️ Premissas'!$C$45</f>
        <v>7.2259266666666662</v>
      </c>
      <c r="F48" s="338" t="str">
        <f t="shared" si="1"/>
        <v>✅ saudável</v>
      </c>
    </row>
    <row r="49" spans="1:6" ht="16" x14ac:dyDescent="0.2">
      <c r="A49" s="332"/>
      <c r="B49" s="334">
        <v>0.12</v>
      </c>
      <c r="C49" s="335">
        <f t="shared" si="0"/>
        <v>8.3333333333333339</v>
      </c>
      <c r="D49" s="336">
        <f>'📊 Resumo Cenários'!$C$13*C49</f>
        <v>361.29633333333334</v>
      </c>
      <c r="E49" s="337">
        <f>D49/'🎛️ Premissas'!$C$45</f>
        <v>6.0216055555555554</v>
      </c>
      <c r="F49" s="338" t="str">
        <f t="shared" si="1"/>
        <v>✅ saudável</v>
      </c>
    </row>
    <row r="50" spans="1:6" ht="16" x14ac:dyDescent="0.2">
      <c r="A50" s="332"/>
      <c r="B50" s="334">
        <v>0.15</v>
      </c>
      <c r="C50" s="335">
        <f t="shared" si="0"/>
        <v>6.666666666666667</v>
      </c>
      <c r="D50" s="336">
        <f>'📊 Resumo Cenários'!$C$13*C50</f>
        <v>289.03706666666665</v>
      </c>
      <c r="E50" s="337">
        <f>D50/'🎛️ Premissas'!$C$45</f>
        <v>4.8172844444444438</v>
      </c>
      <c r="F50" s="338" t="str">
        <f t="shared" si="1"/>
        <v>✅ saudável</v>
      </c>
    </row>
    <row r="51" spans="1:6" ht="16" x14ac:dyDescent="0.2">
      <c r="A51" s="332"/>
      <c r="B51" s="345" t="s">
        <v>424</v>
      </c>
      <c r="C51" s="345"/>
      <c r="D51" s="345"/>
      <c r="E51" s="345"/>
      <c r="F51" s="345"/>
    </row>
    <row r="52" spans="1:6" x14ac:dyDescent="0.2">
      <c r="B52" s="346"/>
      <c r="C52" s="346"/>
      <c r="D52" s="346"/>
      <c r="E52" s="346"/>
      <c r="F52" s="346"/>
    </row>
  </sheetData>
  <mergeCells count="2">
    <mergeCell ref="B39:F40"/>
    <mergeCell ref="B51:F5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showGridLines="0" zoomScale="150" zoomScaleNormal="150" workbookViewId="0">
      <selection activeCell="B2" sqref="B2"/>
    </sheetView>
  </sheetViews>
  <sheetFormatPr baseColWidth="10" defaultColWidth="8.6640625" defaultRowHeight="15" x14ac:dyDescent="0.2"/>
  <cols>
    <col min="1" max="1" width="42" customWidth="1"/>
    <col min="2" max="2" width="20" customWidth="1"/>
    <col min="3" max="3" width="39.33203125" customWidth="1"/>
  </cols>
  <sheetData>
    <row r="1" spans="1:3" ht="39.75" customHeight="1" thickBot="1" x14ac:dyDescent="0.25">
      <c r="A1" s="231" t="s">
        <v>376</v>
      </c>
      <c r="B1" s="225"/>
      <c r="C1" s="241"/>
    </row>
    <row r="2" spans="1:3" ht="36" customHeight="1" thickBot="1" x14ac:dyDescent="0.25">
      <c r="A2" s="232" t="s">
        <v>263</v>
      </c>
      <c r="B2" s="114" t="s">
        <v>3</v>
      </c>
      <c r="C2" s="242" t="s">
        <v>15</v>
      </c>
    </row>
    <row r="3" spans="1:3" ht="19.5" customHeight="1" x14ac:dyDescent="0.2">
      <c r="A3" s="233" t="s">
        <v>16</v>
      </c>
      <c r="B3" s="227">
        <f>MATCH(B2,{"Conservador","Base","Otimista"},0)+1</f>
        <v>2</v>
      </c>
      <c r="C3" s="80"/>
    </row>
    <row r="4" spans="1:3" ht="25.5" customHeight="1" x14ac:dyDescent="0.2">
      <c r="A4" s="234" t="s">
        <v>17</v>
      </c>
      <c r="B4" s="228"/>
      <c r="C4" s="243"/>
    </row>
    <row r="5" spans="1:3" ht="21.75" customHeight="1" x14ac:dyDescent="0.2">
      <c r="A5" s="235" t="s">
        <v>18</v>
      </c>
      <c r="B5" s="229"/>
      <c r="C5" s="244"/>
    </row>
    <row r="6" spans="1:3" ht="21.75" customHeight="1" x14ac:dyDescent="0.2">
      <c r="A6" s="206" t="s">
        <v>19</v>
      </c>
      <c r="B6" s="155">
        <f>INDEX('🎛️ Premissas'!B5:D5,1,MATCH($B$2,{"Conservador","Base","Otimista"},0))</f>
        <v>39.9</v>
      </c>
      <c r="C6" s="245" t="s">
        <v>20</v>
      </c>
    </row>
    <row r="7" spans="1:3" ht="21.75" customHeight="1" x14ac:dyDescent="0.2">
      <c r="A7" s="206" t="s">
        <v>21</v>
      </c>
      <c r="B7" s="155">
        <f>INDEX('🎛️ Premissas'!B6:D6,1,MATCH($B$2,{"Conservador","Base","Otimista"},0))</f>
        <v>59.9</v>
      </c>
      <c r="C7" s="245" t="s">
        <v>22</v>
      </c>
    </row>
    <row r="8" spans="1:3" ht="21.75" customHeight="1" x14ac:dyDescent="0.2">
      <c r="A8" s="206" t="s">
        <v>23</v>
      </c>
      <c r="B8" s="155">
        <f>INDEX('🎛️ Premissas'!B7:D7,1,MATCH($B$2,{"Conservador","Base","Otimista"},0))</f>
        <v>79.900000000000006</v>
      </c>
      <c r="C8" s="245" t="s">
        <v>24</v>
      </c>
    </row>
    <row r="9" spans="1:3" ht="21.75" customHeight="1" x14ac:dyDescent="0.2">
      <c r="A9" s="235" t="s">
        <v>25</v>
      </c>
      <c r="B9" s="229"/>
      <c r="C9" s="244"/>
    </row>
    <row r="10" spans="1:3" ht="21.75" customHeight="1" x14ac:dyDescent="0.2">
      <c r="A10" s="206" t="s">
        <v>26</v>
      </c>
      <c r="B10" s="156">
        <f>INDEX('🎛️ Premissas'!B9:D9,1,MATCH($B$2,{"Conservador","Base","Otimista"},0))</f>
        <v>5.3</v>
      </c>
      <c r="C10" s="245" t="s">
        <v>27</v>
      </c>
    </row>
    <row r="11" spans="1:3" ht="21.75" customHeight="1" x14ac:dyDescent="0.2">
      <c r="A11" s="206" t="s">
        <v>28</v>
      </c>
      <c r="B11" s="157">
        <f>INDEX('🎛️ Premissas'!B10:D10,1,MATCH($B$2,{"Conservador","Base","Otimista"},0))</f>
        <v>3</v>
      </c>
      <c r="C11" s="245" t="s">
        <v>29</v>
      </c>
    </row>
    <row r="12" spans="1:3" ht="21.75" customHeight="1" x14ac:dyDescent="0.2">
      <c r="A12" s="206" t="s">
        <v>30</v>
      </c>
      <c r="B12" s="157">
        <f>INDEX('🎛️ Premissas'!B11:D11,1,MATCH($B$2,{"Conservador","Base","Otimista"},0))</f>
        <v>15</v>
      </c>
      <c r="C12" s="245" t="s">
        <v>31</v>
      </c>
    </row>
    <row r="13" spans="1:3" ht="21.75" customHeight="1" x14ac:dyDescent="0.2">
      <c r="A13" s="206" t="s">
        <v>32</v>
      </c>
      <c r="B13" s="158">
        <f>INDEX('🎛️ Premissas'!B12:D12,1,MATCH($B$2,{"Conservador","Base","Otimista"},0))</f>
        <v>0.35</v>
      </c>
      <c r="C13" s="245" t="s">
        <v>33</v>
      </c>
    </row>
    <row r="14" spans="1:3" ht="21.75" customHeight="1" x14ac:dyDescent="0.2">
      <c r="A14" s="235" t="s">
        <v>34</v>
      </c>
      <c r="B14" s="229"/>
      <c r="C14" s="244"/>
    </row>
    <row r="15" spans="1:3" ht="21.75" customHeight="1" x14ac:dyDescent="0.2">
      <c r="A15" s="206" t="s">
        <v>35</v>
      </c>
      <c r="B15" s="159">
        <f>INDEX('🎛️ Premissas'!B14:D14,1,MATCH($B$2,{"Conservador","Base","Otimista"},0))</f>
        <v>50</v>
      </c>
      <c r="C15" s="245" t="s">
        <v>36</v>
      </c>
    </row>
    <row r="16" spans="1:3" ht="21.75" customHeight="1" x14ac:dyDescent="0.2">
      <c r="A16" s="206" t="s">
        <v>37</v>
      </c>
      <c r="B16" s="159">
        <f>INDEX('🎛️ Premissas'!B15:D15,1,MATCH($B$2,{"Conservador","Base","Otimista"},0))</f>
        <v>900</v>
      </c>
      <c r="C16" s="245" t="s">
        <v>38</v>
      </c>
    </row>
    <row r="17" spans="1:3" ht="21.75" customHeight="1" x14ac:dyDescent="0.2">
      <c r="A17" s="206" t="s">
        <v>39</v>
      </c>
      <c r="B17" s="159">
        <f>INDEX('🎛️ Premissas'!B16:D16,1,MATCH($B$2,{"Conservador","Base","Otimista"},0))</f>
        <v>450</v>
      </c>
      <c r="C17" s="245" t="s">
        <v>40</v>
      </c>
    </row>
    <row r="18" spans="1:3" ht="21.75" customHeight="1" x14ac:dyDescent="0.2">
      <c r="A18" s="206" t="s">
        <v>41</v>
      </c>
      <c r="B18" s="158">
        <f>INDEX('🎛️ Premissas'!B17:D17,1,MATCH($B$2,{"Conservador","Base","Otimista"},0))</f>
        <v>0.5</v>
      </c>
      <c r="C18" s="245" t="s">
        <v>42</v>
      </c>
    </row>
    <row r="19" spans="1:3" ht="21.75" customHeight="1" x14ac:dyDescent="0.2">
      <c r="A19" s="206" t="s">
        <v>43</v>
      </c>
      <c r="B19" s="159">
        <f>INDEX('🎛️ Premissas'!B18:D18,1,MATCH($B$2,{"Conservador","Base","Otimista"},0))</f>
        <v>120</v>
      </c>
      <c r="C19" s="245" t="s">
        <v>44</v>
      </c>
    </row>
    <row r="20" spans="1:3" ht="21.75" customHeight="1" x14ac:dyDescent="0.2">
      <c r="A20" s="206" t="s">
        <v>45</v>
      </c>
      <c r="B20" s="159">
        <f>INDEX('🎛️ Premissas'!B19:D19,1,MATCH($B$2,{"Conservador","Base","Otimista"},0))</f>
        <v>1200</v>
      </c>
      <c r="C20" s="245" t="s">
        <v>46</v>
      </c>
    </row>
    <row r="21" spans="1:3" ht="21.75" customHeight="1" x14ac:dyDescent="0.2">
      <c r="A21" s="206" t="s">
        <v>47</v>
      </c>
      <c r="B21" s="159">
        <f>INDEX('🎛️ Premissas'!B20:D20,1,MATCH($B$2,{"Conservador","Base","Otimista"},0))</f>
        <v>700</v>
      </c>
      <c r="C21" s="245" t="s">
        <v>48</v>
      </c>
    </row>
    <row r="22" spans="1:3" ht="21.75" customHeight="1" x14ac:dyDescent="0.2">
      <c r="A22" s="206" t="s">
        <v>49</v>
      </c>
      <c r="B22" s="159">
        <f>INDEX('🎛️ Premissas'!B22:D22,1,MATCH($B$2,{"Conservador","Base","Otimista"},0))</f>
        <v>35</v>
      </c>
      <c r="C22" s="245" t="s">
        <v>50</v>
      </c>
    </row>
    <row r="23" spans="1:3" ht="21.75" customHeight="1" x14ac:dyDescent="0.2">
      <c r="A23" s="206" t="s">
        <v>51</v>
      </c>
      <c r="B23" s="159">
        <f>INDEX('🎛️ Premissas'!B23:D23,1,MATCH($B$2,{"Conservador","Base","Otimista"},0))</f>
        <v>3000</v>
      </c>
      <c r="C23" s="245" t="s">
        <v>52</v>
      </c>
    </row>
    <row r="24" spans="1:3" ht="21.75" customHeight="1" x14ac:dyDescent="0.2">
      <c r="A24" s="206" t="s">
        <v>53</v>
      </c>
      <c r="B24" s="159">
        <f>INDEX('🎛️ Premissas'!B24:D24,1,MATCH($B$2,{"Conservador","Base","Otimista"},0))</f>
        <v>1800</v>
      </c>
      <c r="C24" s="245" t="s">
        <v>54</v>
      </c>
    </row>
    <row r="25" spans="1:3" ht="21.75" customHeight="1" x14ac:dyDescent="0.2">
      <c r="A25" s="206" t="s">
        <v>55</v>
      </c>
      <c r="B25" s="159">
        <f>INDEX('🎛️ Premissas'!B26:D26,1,MATCH($B$2,{"Conservador","Base","Otimista"},0))</f>
        <v>60</v>
      </c>
      <c r="C25" s="245" t="s">
        <v>56</v>
      </c>
    </row>
    <row r="26" spans="1:3" ht="21.75" customHeight="1" x14ac:dyDescent="0.2">
      <c r="A26" s="235" t="s">
        <v>57</v>
      </c>
      <c r="B26" s="229"/>
      <c r="C26" s="244"/>
    </row>
    <row r="27" spans="1:3" ht="21.75" customHeight="1" x14ac:dyDescent="0.2">
      <c r="A27" s="206" t="s">
        <v>58</v>
      </c>
      <c r="B27" s="159">
        <f>INDEX('🎛️ Premissas'!B28:D28,1,MATCH($B$2,{"Conservador","Base","Otimista"},0))</f>
        <v>3000</v>
      </c>
      <c r="C27" s="245" t="s">
        <v>59</v>
      </c>
    </row>
    <row r="28" spans="1:3" ht="21.75" customHeight="1" x14ac:dyDescent="0.2">
      <c r="A28" s="206" t="s">
        <v>60</v>
      </c>
      <c r="B28" s="159">
        <f>INDEX('🎛️ Premissas'!B29:D29,1,MATCH($B$2,{"Conservador","Base","Otimista"},0))</f>
        <v>3500</v>
      </c>
      <c r="C28" s="245" t="s">
        <v>61</v>
      </c>
    </row>
    <row r="29" spans="1:3" ht="21.75" customHeight="1" x14ac:dyDescent="0.2">
      <c r="A29" s="206" t="s">
        <v>62</v>
      </c>
      <c r="B29" s="158">
        <f>INDEX('🎛️ Premissas'!B30:D30,1,MATCH($B$2,{"Conservador","Base","Otimista"},0))</f>
        <v>7.0000000000000007E-2</v>
      </c>
      <c r="C29" s="245" t="s">
        <v>63</v>
      </c>
    </row>
    <row r="30" spans="1:3" ht="21.75" customHeight="1" x14ac:dyDescent="0.2">
      <c r="A30" s="206" t="s">
        <v>301</v>
      </c>
      <c r="B30" s="158">
        <f>INDEX('🎛️ Premissas'!B31:D31,1,MATCH($B$2,{"Conservador","Base","Otimista"},0))</f>
        <v>0.03</v>
      </c>
      <c r="C30" s="245" t="s">
        <v>303</v>
      </c>
    </row>
    <row r="31" spans="1:3" ht="21.75" customHeight="1" x14ac:dyDescent="0.2">
      <c r="A31" s="206" t="s">
        <v>302</v>
      </c>
      <c r="B31" s="158">
        <f>INDEX('🎛️ Premissas'!B32:D32,1,MATCH($B$2,{"Conservador","Base","Otimista"},0))</f>
        <v>0.01</v>
      </c>
      <c r="C31" s="245" t="s">
        <v>304</v>
      </c>
    </row>
    <row r="32" spans="1:3" ht="21.75" customHeight="1" x14ac:dyDescent="0.2">
      <c r="A32" s="206" t="s">
        <v>64</v>
      </c>
      <c r="B32" s="158">
        <f>INDEX('🎛️ Premissas'!B33:D33,1,MATCH($B$2,{"Conservador","Base","Otimista"},0))</f>
        <v>0.08</v>
      </c>
      <c r="C32" s="245" t="s">
        <v>65</v>
      </c>
    </row>
    <row r="33" spans="1:3" ht="21.75" customHeight="1" x14ac:dyDescent="0.2">
      <c r="A33" s="206" t="s">
        <v>66</v>
      </c>
      <c r="B33" s="158">
        <f>INDEX('🎛️ Premissas'!B34:D34,1,MATCH($B$2,{"Conservador","Base","Otimista"},0))</f>
        <v>0.05</v>
      </c>
      <c r="C33" s="245" t="s">
        <v>67</v>
      </c>
    </row>
    <row r="34" spans="1:3" ht="21.75" customHeight="1" x14ac:dyDescent="0.2">
      <c r="A34" s="206" t="s">
        <v>68</v>
      </c>
      <c r="B34" s="158">
        <f>INDEX('🎛️ Premissas'!B35:D35,1,MATCH($B$2,{"Conservador","Base","Otimista"},0))</f>
        <v>0.03</v>
      </c>
      <c r="C34" s="245" t="s">
        <v>69</v>
      </c>
    </row>
    <row r="35" spans="1:3" ht="21.75" customHeight="1" x14ac:dyDescent="0.2">
      <c r="A35" s="235" t="s">
        <v>70</v>
      </c>
      <c r="B35" s="229"/>
      <c r="C35" s="244"/>
    </row>
    <row r="36" spans="1:3" ht="21.75" customHeight="1" x14ac:dyDescent="0.2">
      <c r="A36" s="206" t="s">
        <v>71</v>
      </c>
      <c r="B36" s="160">
        <f>INDEX('🎛️ Premissas'!B37:D37,1,MATCH($B$2,{"Conservador","Base","Otimista"},0))</f>
        <v>40000</v>
      </c>
      <c r="C36" s="245" t="s">
        <v>72</v>
      </c>
    </row>
    <row r="37" spans="1:3" ht="21.75" customHeight="1" x14ac:dyDescent="0.2">
      <c r="A37" s="206" t="s">
        <v>73</v>
      </c>
      <c r="B37" s="160">
        <f>INDEX('🎛️ Premissas'!B38:D38,1,MATCH($B$2,{"Conservador","Base","Otimista"},0))</f>
        <v>50000</v>
      </c>
      <c r="C37" s="245" t="s">
        <v>74</v>
      </c>
    </row>
    <row r="38" spans="1:3" ht="21.75" customHeight="1" x14ac:dyDescent="0.2">
      <c r="A38" s="206" t="s">
        <v>75</v>
      </c>
      <c r="B38" s="160">
        <f>INDEX('🎛️ Premissas'!B39:D39,1,MATCH($B$2,{"Conservador","Base","Otimista"},0))</f>
        <v>5000</v>
      </c>
      <c r="C38" s="245" t="s">
        <v>76</v>
      </c>
    </row>
    <row r="39" spans="1:3" ht="21.75" customHeight="1" x14ac:dyDescent="0.2">
      <c r="A39" s="206" t="s">
        <v>77</v>
      </c>
      <c r="B39" s="160">
        <f>INDEX('🎛️ Premissas'!B40:D40,1,MATCH($B$2,{"Conservador","Base","Otimista"},0))</f>
        <v>7000</v>
      </c>
      <c r="C39" s="245" t="s">
        <v>78</v>
      </c>
    </row>
    <row r="40" spans="1:3" ht="21.75" customHeight="1" x14ac:dyDescent="0.2">
      <c r="A40" s="206" t="s">
        <v>79</v>
      </c>
      <c r="B40" s="160">
        <f>INDEX('🎛️ Premissas'!B41:D41,1,MATCH($B$2,{"Conservador","Base","Otimista"},0))</f>
        <v>5000</v>
      </c>
      <c r="C40" s="245" t="s">
        <v>80</v>
      </c>
    </row>
    <row r="41" spans="1:3" ht="21.75" customHeight="1" x14ac:dyDescent="0.2">
      <c r="A41" s="206" t="s">
        <v>81</v>
      </c>
      <c r="B41" s="160">
        <f>INDEX('🎛️ Premissas'!B42:D42,1,MATCH($B$2,{"Conservador","Base","Otimista"},0))</f>
        <v>8000</v>
      </c>
      <c r="C41" s="245" t="s">
        <v>82</v>
      </c>
    </row>
    <row r="42" spans="1:3" ht="21.75" customHeight="1" x14ac:dyDescent="0.2">
      <c r="A42" s="206" t="s">
        <v>83</v>
      </c>
      <c r="B42" s="160">
        <f>INDEX('🎛️ Premissas'!B43:D43,1,MATCH($B$2,{"Conservador","Base","Otimista"},0))</f>
        <v>5000</v>
      </c>
      <c r="C42" s="245" t="s">
        <v>84</v>
      </c>
    </row>
    <row r="43" spans="1:3" ht="21.75" customHeight="1" x14ac:dyDescent="0.2">
      <c r="A43" s="235" t="s">
        <v>85</v>
      </c>
      <c r="B43" s="229"/>
      <c r="C43" s="244"/>
    </row>
    <row r="44" spans="1:3" ht="21.75" customHeight="1" x14ac:dyDescent="0.2">
      <c r="A44" s="206" t="s">
        <v>86</v>
      </c>
      <c r="B44" s="160">
        <f>INDEX('🎛️ Premissas'!B45:D45,1,MATCH($B$2,{"Conservador","Base","Otimista"},0))</f>
        <v>80</v>
      </c>
      <c r="C44" s="245" t="s">
        <v>87</v>
      </c>
    </row>
    <row r="45" spans="1:3" ht="21.75" customHeight="1" x14ac:dyDescent="0.2">
      <c r="A45" s="206" t="s">
        <v>88</v>
      </c>
      <c r="B45" s="156">
        <f>INDEX('🎛️ Premissas'!B47:D47,1,MATCH($B$2,{"Conservador","Base","Otimista"},0))</f>
        <v>0.5</v>
      </c>
      <c r="C45" s="245" t="s">
        <v>89</v>
      </c>
    </row>
    <row r="46" spans="1:3" ht="21.75" customHeight="1" x14ac:dyDescent="0.2">
      <c r="A46" s="235" t="s">
        <v>90</v>
      </c>
      <c r="B46" s="229"/>
      <c r="C46" s="244"/>
    </row>
    <row r="47" spans="1:3" ht="21.75" customHeight="1" thickBot="1" x14ac:dyDescent="0.25">
      <c r="A47" s="236" t="s">
        <v>91</v>
      </c>
      <c r="B47" s="159">
        <f>INDEX('🎛️ Premissas'!B49:D49,1,MATCH($B$2,{"Conservador","Base","Otimista"},0))</f>
        <v>3</v>
      </c>
      <c r="C47" s="246" t="s">
        <v>92</v>
      </c>
    </row>
    <row r="48" spans="1:3" x14ac:dyDescent="0.2">
      <c r="A48" s="237" t="s">
        <v>348</v>
      </c>
      <c r="B48" s="115"/>
      <c r="C48" s="247"/>
    </row>
    <row r="49" spans="1:3" x14ac:dyDescent="0.2">
      <c r="A49" s="238" t="s">
        <v>265</v>
      </c>
      <c r="B49" s="161">
        <f>B19*(B20/1000000*B11+B21/1000000*B12)*(1-B13)*B10</f>
        <v>5.8289400000000002</v>
      </c>
      <c r="C49" s="248" t="s">
        <v>266</v>
      </c>
    </row>
    <row r="50" spans="1:3" x14ac:dyDescent="0.2">
      <c r="A50" s="238" t="s">
        <v>267</v>
      </c>
      <c r="B50" s="161">
        <f>B6-B49</f>
        <v>34.071059999999996</v>
      </c>
      <c r="C50" s="248" t="s">
        <v>268</v>
      </c>
    </row>
    <row r="51" spans="1:3" x14ac:dyDescent="0.2">
      <c r="A51" s="238" t="s">
        <v>269</v>
      </c>
      <c r="B51" s="162">
        <f>1/B32</f>
        <v>12.5</v>
      </c>
      <c r="C51" s="248" t="s">
        <v>8</v>
      </c>
    </row>
    <row r="52" spans="1:3" x14ac:dyDescent="0.2">
      <c r="A52" s="238" t="s">
        <v>9</v>
      </c>
      <c r="B52" s="163">
        <f>B50*B51</f>
        <v>425.88824999999997</v>
      </c>
      <c r="C52" s="248" t="s">
        <v>10</v>
      </c>
    </row>
    <row r="53" spans="1:3" x14ac:dyDescent="0.2">
      <c r="A53" s="238" t="s">
        <v>11</v>
      </c>
      <c r="B53" s="164">
        <f>IFERROR(B52/B44,0)</f>
        <v>5.323603125</v>
      </c>
      <c r="C53" s="248" t="s">
        <v>12</v>
      </c>
    </row>
    <row r="54" spans="1:3" x14ac:dyDescent="0.2">
      <c r="A54" s="239" t="s">
        <v>13</v>
      </c>
      <c r="B54" s="165">
        <f>IFERROR(B44/B50,0)</f>
        <v>2.3480337858581448</v>
      </c>
      <c r="C54" s="249" t="s">
        <v>270</v>
      </c>
    </row>
    <row r="55" spans="1:3" x14ac:dyDescent="0.2">
      <c r="A55" s="235" t="s">
        <v>347</v>
      </c>
      <c r="B55" s="229"/>
      <c r="C55" s="244"/>
    </row>
    <row r="56" spans="1:3" ht="16" thickBot="1" x14ac:dyDescent="0.25">
      <c r="A56" s="240" t="s">
        <v>328</v>
      </c>
      <c r="B56" s="230">
        <f>IF($B$2="Conservador",'🎛️ Premissas'!B67,IF($B$2="Base",'🎛️ Premissas'!C67,'🎛️ Premissas'!D67))</f>
        <v>0.12</v>
      </c>
      <c r="C56" s="250" t="s">
        <v>339</v>
      </c>
    </row>
  </sheetData>
  <mergeCells count="11">
    <mergeCell ref="A1:C1"/>
    <mergeCell ref="A4:C4"/>
    <mergeCell ref="A5:C5"/>
    <mergeCell ref="A9:C9"/>
    <mergeCell ref="A14:C14"/>
    <mergeCell ref="A55:C55"/>
    <mergeCell ref="A48:C48"/>
    <mergeCell ref="A26:C26"/>
    <mergeCell ref="A35:C35"/>
    <mergeCell ref="A43:C43"/>
    <mergeCell ref="A46:C46"/>
  </mergeCells>
  <dataValidations count="1">
    <dataValidation type="list" errorTitle="Cenário inválido" error="Escolha: Conservador, Base ou Otimista" promptTitle="Cenário" prompt="Selecione o cenário: Conservador, Base ou Otimista" sqref="B2" xr:uid="{00000000-0002-0000-0100-000000000000}">
      <formula1>"Conservador,Base,Otimista"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"/>
  <sheetViews>
    <sheetView showGridLines="0" topLeftCell="A12" zoomScale="150" zoomScaleNormal="150" workbookViewId="0">
      <selection activeCell="G60" sqref="G60"/>
    </sheetView>
  </sheetViews>
  <sheetFormatPr baseColWidth="10" defaultColWidth="8.6640625" defaultRowHeight="15" x14ac:dyDescent="0.2"/>
  <cols>
    <col min="1" max="1" width="42" customWidth="1"/>
    <col min="2" max="4" width="16" customWidth="1"/>
    <col min="5" max="5" width="24.5" customWidth="1"/>
  </cols>
  <sheetData>
    <row r="1" spans="1:7" ht="39.75" customHeight="1" x14ac:dyDescent="0.2">
      <c r="A1" s="202" t="s">
        <v>93</v>
      </c>
      <c r="B1" s="184"/>
      <c r="C1" s="184"/>
      <c r="D1" s="184"/>
      <c r="E1" s="215"/>
      <c r="F1" s="116"/>
    </row>
    <row r="2" spans="1:7" ht="21.75" customHeight="1" x14ac:dyDescent="0.2">
      <c r="A2" s="203" t="s">
        <v>94</v>
      </c>
      <c r="B2" s="185" t="s">
        <v>95</v>
      </c>
      <c r="C2" s="186" t="s">
        <v>425</v>
      </c>
      <c r="D2" s="56"/>
      <c r="E2" s="80"/>
    </row>
    <row r="3" spans="1:7" ht="27.75" customHeight="1" x14ac:dyDescent="0.2">
      <c r="A3" s="204" t="s">
        <v>369</v>
      </c>
      <c r="B3" s="117" t="s">
        <v>3</v>
      </c>
      <c r="C3" s="118" t="s">
        <v>4</v>
      </c>
      <c r="D3" s="118" t="s">
        <v>5</v>
      </c>
      <c r="E3" s="216" t="s">
        <v>370</v>
      </c>
    </row>
    <row r="4" spans="1:7" ht="25.5" customHeight="1" x14ac:dyDescent="0.2">
      <c r="A4" s="205" t="s">
        <v>96</v>
      </c>
      <c r="B4" s="187"/>
      <c r="C4" s="187"/>
      <c r="D4" s="187"/>
      <c r="E4" s="217"/>
    </row>
    <row r="5" spans="1:7" ht="21.75" customHeight="1" x14ac:dyDescent="0.2">
      <c r="A5" s="206" t="s">
        <v>19</v>
      </c>
      <c r="B5" s="120">
        <v>39.9</v>
      </c>
      <c r="C5" s="121">
        <v>49.9</v>
      </c>
      <c r="D5" s="121">
        <v>49.9</v>
      </c>
      <c r="E5" s="218" t="s">
        <v>260</v>
      </c>
    </row>
    <row r="6" spans="1:7" ht="21.75" customHeight="1" x14ac:dyDescent="0.2">
      <c r="A6" s="206" t="s">
        <v>21</v>
      </c>
      <c r="B6" s="120">
        <v>59.9</v>
      </c>
      <c r="C6" s="121">
        <v>59.9</v>
      </c>
      <c r="D6" s="121">
        <v>62.9</v>
      </c>
      <c r="E6" s="219" t="s">
        <v>97</v>
      </c>
    </row>
    <row r="7" spans="1:7" ht="21.75" customHeight="1" x14ac:dyDescent="0.2">
      <c r="A7" s="206" t="s">
        <v>23</v>
      </c>
      <c r="B7" s="120">
        <v>79.900000000000006</v>
      </c>
      <c r="C7" s="121">
        <v>79.900000000000006</v>
      </c>
      <c r="D7" s="121">
        <v>79.900000000000006</v>
      </c>
      <c r="E7" s="219" t="s">
        <v>98</v>
      </c>
    </row>
    <row r="8" spans="1:7" ht="25.5" customHeight="1" x14ac:dyDescent="0.2">
      <c r="A8" s="205" t="s">
        <v>371</v>
      </c>
      <c r="B8" s="187"/>
      <c r="C8" s="187"/>
      <c r="D8" s="187"/>
      <c r="E8" s="217"/>
      <c r="F8" s="122" t="s">
        <v>379</v>
      </c>
    </row>
    <row r="9" spans="1:7" ht="21.75" customHeight="1" x14ac:dyDescent="0.2">
      <c r="A9" s="206" t="s">
        <v>26</v>
      </c>
      <c r="B9" s="123">
        <v>5.3</v>
      </c>
      <c r="C9" s="124">
        <v>5.3</v>
      </c>
      <c r="D9" s="124">
        <v>5.3</v>
      </c>
      <c r="E9" s="219" t="s">
        <v>99</v>
      </c>
      <c r="F9" s="51" t="s">
        <v>380</v>
      </c>
      <c r="G9" s="125">
        <v>1</v>
      </c>
    </row>
    <row r="10" spans="1:7" ht="21.75" customHeight="1" x14ac:dyDescent="0.2">
      <c r="A10" s="206" t="s">
        <v>100</v>
      </c>
      <c r="B10" s="126">
        <v>3</v>
      </c>
      <c r="C10" s="127">
        <v>3</v>
      </c>
      <c r="D10" s="127">
        <v>3</v>
      </c>
      <c r="E10" s="219" t="s">
        <v>101</v>
      </c>
      <c r="F10" s="51" t="s">
        <v>381</v>
      </c>
      <c r="G10" s="125">
        <v>5</v>
      </c>
    </row>
    <row r="11" spans="1:7" ht="21.75" customHeight="1" x14ac:dyDescent="0.2">
      <c r="A11" s="206" t="s">
        <v>102</v>
      </c>
      <c r="B11" s="126">
        <v>15</v>
      </c>
      <c r="C11" s="127">
        <v>15</v>
      </c>
      <c r="D11" s="127">
        <v>15</v>
      </c>
      <c r="E11" s="219" t="s">
        <v>101</v>
      </c>
      <c r="F11" s="52" t="s">
        <v>382</v>
      </c>
    </row>
    <row r="12" spans="1:7" ht="21.75" customHeight="1" x14ac:dyDescent="0.2">
      <c r="A12" s="206" t="s">
        <v>103</v>
      </c>
      <c r="B12" s="128">
        <v>0.35</v>
      </c>
      <c r="C12" s="129">
        <v>0.4</v>
      </c>
      <c r="D12" s="129">
        <v>0.45</v>
      </c>
      <c r="E12" s="219" t="s">
        <v>104</v>
      </c>
    </row>
    <row r="13" spans="1:7" ht="25.5" customHeight="1" x14ac:dyDescent="0.2">
      <c r="A13" s="205" t="s">
        <v>105</v>
      </c>
      <c r="B13" s="187"/>
      <c r="C13" s="187"/>
      <c r="D13" s="187"/>
      <c r="E13" s="217"/>
    </row>
    <row r="14" spans="1:7" ht="21.75" customHeight="1" x14ac:dyDescent="0.2">
      <c r="A14" s="206" t="s">
        <v>106</v>
      </c>
      <c r="B14" s="130">
        <v>50</v>
      </c>
      <c r="C14" s="131">
        <v>50</v>
      </c>
      <c r="D14" s="131">
        <v>50</v>
      </c>
      <c r="E14" s="219" t="s">
        <v>107</v>
      </c>
    </row>
    <row r="15" spans="1:7" ht="21.75" customHeight="1" x14ac:dyDescent="0.2">
      <c r="A15" s="206" t="s">
        <v>108</v>
      </c>
      <c r="B15" s="130">
        <v>900</v>
      </c>
      <c r="C15" s="131">
        <v>900</v>
      </c>
      <c r="D15" s="131">
        <v>900</v>
      </c>
      <c r="E15" s="219" t="s">
        <v>109</v>
      </c>
    </row>
    <row r="16" spans="1:7" ht="21.75" customHeight="1" x14ac:dyDescent="0.2">
      <c r="A16" s="206" t="s">
        <v>110</v>
      </c>
      <c r="B16" s="130">
        <v>450</v>
      </c>
      <c r="C16" s="131">
        <v>450</v>
      </c>
      <c r="D16" s="131">
        <v>450</v>
      </c>
      <c r="E16" s="219" t="s">
        <v>111</v>
      </c>
    </row>
    <row r="17" spans="1:5" ht="21.75" customHeight="1" x14ac:dyDescent="0.2">
      <c r="A17" s="206" t="s">
        <v>112</v>
      </c>
      <c r="B17" s="128">
        <v>0.5</v>
      </c>
      <c r="C17" s="129">
        <v>0.5</v>
      </c>
      <c r="D17" s="129">
        <v>0.5</v>
      </c>
      <c r="E17" s="219" t="s">
        <v>113</v>
      </c>
    </row>
    <row r="18" spans="1:5" ht="21.75" customHeight="1" x14ac:dyDescent="0.2">
      <c r="A18" s="206" t="s">
        <v>114</v>
      </c>
      <c r="B18" s="130">
        <v>120</v>
      </c>
      <c r="C18" s="131">
        <v>140</v>
      </c>
      <c r="D18" s="131">
        <v>180</v>
      </c>
      <c r="E18" s="219" t="s">
        <v>115</v>
      </c>
    </row>
    <row r="19" spans="1:5" ht="21.75" customHeight="1" x14ac:dyDescent="0.2">
      <c r="A19" s="206" t="s">
        <v>116</v>
      </c>
      <c r="B19" s="130">
        <v>1200</v>
      </c>
      <c r="C19" s="131">
        <v>1400</v>
      </c>
      <c r="D19" s="131">
        <v>1800</v>
      </c>
      <c r="E19" s="219" t="s">
        <v>117</v>
      </c>
    </row>
    <row r="20" spans="1:5" ht="21.75" customHeight="1" x14ac:dyDescent="0.2">
      <c r="A20" s="206" t="s">
        <v>118</v>
      </c>
      <c r="B20" s="130">
        <v>700</v>
      </c>
      <c r="C20" s="131">
        <v>700</v>
      </c>
      <c r="D20" s="131">
        <v>700</v>
      </c>
      <c r="E20" s="219" t="s">
        <v>119</v>
      </c>
    </row>
    <row r="21" spans="1:5" ht="21.75" customHeight="1" x14ac:dyDescent="0.2">
      <c r="A21" s="206" t="s">
        <v>120</v>
      </c>
      <c r="B21" s="130">
        <v>140</v>
      </c>
      <c r="C21" s="131">
        <v>140</v>
      </c>
      <c r="D21" s="131">
        <v>140</v>
      </c>
      <c r="E21" s="219" t="s">
        <v>121</v>
      </c>
    </row>
    <row r="22" spans="1:5" ht="21.75" customHeight="1" x14ac:dyDescent="0.2">
      <c r="A22" s="206" t="s">
        <v>49</v>
      </c>
      <c r="B22" s="130">
        <v>35</v>
      </c>
      <c r="C22" s="131">
        <v>45</v>
      </c>
      <c r="D22" s="131">
        <v>60</v>
      </c>
      <c r="E22" s="219" t="s">
        <v>122</v>
      </c>
    </row>
    <row r="23" spans="1:5" ht="21.75" customHeight="1" x14ac:dyDescent="0.2">
      <c r="A23" s="206" t="s">
        <v>123</v>
      </c>
      <c r="B23" s="130">
        <v>3000</v>
      </c>
      <c r="C23" s="131">
        <v>3000</v>
      </c>
      <c r="D23" s="131">
        <v>3000</v>
      </c>
      <c r="E23" s="219" t="s">
        <v>124</v>
      </c>
    </row>
    <row r="24" spans="1:5" ht="21.75" customHeight="1" x14ac:dyDescent="0.2">
      <c r="A24" s="206" t="s">
        <v>125</v>
      </c>
      <c r="B24" s="130">
        <v>1800</v>
      </c>
      <c r="C24" s="131">
        <v>1800</v>
      </c>
      <c r="D24" s="131">
        <v>1800</v>
      </c>
      <c r="E24" s="219" t="s">
        <v>126</v>
      </c>
    </row>
    <row r="25" spans="1:5" ht="21.75" customHeight="1" x14ac:dyDescent="0.2">
      <c r="A25" s="206" t="s">
        <v>127</v>
      </c>
      <c r="B25" s="130">
        <v>140</v>
      </c>
      <c r="C25" s="131">
        <v>140</v>
      </c>
      <c r="D25" s="131">
        <v>140</v>
      </c>
      <c r="E25" s="219" t="s">
        <v>121</v>
      </c>
    </row>
    <row r="26" spans="1:5" ht="21.75" customHeight="1" x14ac:dyDescent="0.2">
      <c r="A26" s="206" t="s">
        <v>128</v>
      </c>
      <c r="B26" s="130">
        <v>60</v>
      </c>
      <c r="C26" s="131">
        <v>80</v>
      </c>
      <c r="D26" s="131">
        <v>100</v>
      </c>
      <c r="E26" s="219" t="s">
        <v>129</v>
      </c>
    </row>
    <row r="27" spans="1:5" ht="25.5" customHeight="1" x14ac:dyDescent="0.2">
      <c r="A27" s="205" t="s">
        <v>130</v>
      </c>
      <c r="B27" s="187"/>
      <c r="C27" s="187"/>
      <c r="D27" s="187"/>
      <c r="E27" s="217"/>
    </row>
    <row r="28" spans="1:5" ht="21.75" customHeight="1" x14ac:dyDescent="0.2">
      <c r="A28" s="206" t="s">
        <v>131</v>
      </c>
      <c r="B28" s="130">
        <v>3000</v>
      </c>
      <c r="C28" s="131">
        <v>3500</v>
      </c>
      <c r="D28" s="131">
        <v>4000</v>
      </c>
      <c r="E28" s="219" t="s">
        <v>132</v>
      </c>
    </row>
    <row r="29" spans="1:5" ht="21.75" customHeight="1" x14ac:dyDescent="0.2">
      <c r="A29" s="206" t="s">
        <v>133</v>
      </c>
      <c r="B29" s="130">
        <v>3500</v>
      </c>
      <c r="C29" s="131">
        <v>4000</v>
      </c>
      <c r="D29" s="131">
        <v>4500</v>
      </c>
      <c r="E29" s="219" t="s">
        <v>134</v>
      </c>
    </row>
    <row r="30" spans="1:5" ht="21.75" customHeight="1" x14ac:dyDescent="0.2">
      <c r="A30" s="206" t="s">
        <v>135</v>
      </c>
      <c r="B30" s="128">
        <v>7.0000000000000007E-2</v>
      </c>
      <c r="C30" s="129">
        <v>0.08</v>
      </c>
      <c r="D30" s="129">
        <v>0.1</v>
      </c>
      <c r="E30" s="219" t="s">
        <v>136</v>
      </c>
    </row>
    <row r="31" spans="1:5" ht="21.75" customHeight="1" x14ac:dyDescent="0.2">
      <c r="A31" s="207" t="s">
        <v>258</v>
      </c>
      <c r="B31" s="128">
        <v>0.03</v>
      </c>
      <c r="C31" s="129">
        <v>0.04</v>
      </c>
      <c r="D31" s="129">
        <v>0.05</v>
      </c>
      <c r="E31" s="219" t="s">
        <v>137</v>
      </c>
    </row>
    <row r="32" spans="1:5" ht="21.75" customHeight="1" x14ac:dyDescent="0.2">
      <c r="A32" s="207" t="s">
        <v>259</v>
      </c>
      <c r="B32" s="128">
        <v>0.01</v>
      </c>
      <c r="C32" s="129">
        <v>0.02</v>
      </c>
      <c r="D32" s="129">
        <v>0.03</v>
      </c>
      <c r="E32" s="219" t="s">
        <v>138</v>
      </c>
    </row>
    <row r="33" spans="1:5" ht="21.75" customHeight="1" x14ac:dyDescent="0.2">
      <c r="A33" s="206" t="s">
        <v>139</v>
      </c>
      <c r="B33" s="128">
        <v>0.08</v>
      </c>
      <c r="C33" s="129">
        <v>0.08</v>
      </c>
      <c r="D33" s="129">
        <v>0.08</v>
      </c>
      <c r="E33" s="219" t="s">
        <v>140</v>
      </c>
    </row>
    <row r="34" spans="1:5" ht="21.75" customHeight="1" x14ac:dyDescent="0.2">
      <c r="A34" s="206" t="s">
        <v>141</v>
      </c>
      <c r="B34" s="128">
        <v>0.05</v>
      </c>
      <c r="C34" s="129">
        <v>0.05</v>
      </c>
      <c r="D34" s="129">
        <v>0.05</v>
      </c>
      <c r="E34" s="219" t="s">
        <v>142</v>
      </c>
    </row>
    <row r="35" spans="1:5" ht="21.75" customHeight="1" x14ac:dyDescent="0.2">
      <c r="A35" s="206" t="s">
        <v>143</v>
      </c>
      <c r="B35" s="128">
        <v>0.03</v>
      </c>
      <c r="C35" s="129">
        <v>0.03</v>
      </c>
      <c r="D35" s="129">
        <v>0.03</v>
      </c>
      <c r="E35" s="219" t="s">
        <v>144</v>
      </c>
    </row>
    <row r="36" spans="1:5" ht="25.5" customHeight="1" x14ac:dyDescent="0.2">
      <c r="A36" s="205" t="s">
        <v>145</v>
      </c>
      <c r="B36" s="187"/>
      <c r="C36" s="187"/>
      <c r="D36" s="187"/>
      <c r="E36" s="217"/>
    </row>
    <row r="37" spans="1:5" ht="21.75" customHeight="1" x14ac:dyDescent="0.2">
      <c r="A37" s="206" t="s">
        <v>146</v>
      </c>
      <c r="B37" s="132">
        <v>40000</v>
      </c>
      <c r="C37" s="133">
        <v>45000</v>
      </c>
      <c r="D37" s="133">
        <v>50000</v>
      </c>
      <c r="E37" s="219" t="s">
        <v>147</v>
      </c>
    </row>
    <row r="38" spans="1:5" ht="21.75" customHeight="1" x14ac:dyDescent="0.2">
      <c r="A38" s="206" t="s">
        <v>148</v>
      </c>
      <c r="B38" s="132">
        <v>50000</v>
      </c>
      <c r="C38" s="133">
        <v>60000</v>
      </c>
      <c r="D38" s="133">
        <v>70000</v>
      </c>
      <c r="E38" s="219" t="s">
        <v>149</v>
      </c>
    </row>
    <row r="39" spans="1:5" ht="21.75" customHeight="1" x14ac:dyDescent="0.2">
      <c r="A39" s="206" t="s">
        <v>150</v>
      </c>
      <c r="B39" s="132">
        <v>5000</v>
      </c>
      <c r="C39" s="133">
        <v>6000</v>
      </c>
      <c r="D39" s="133">
        <v>8000</v>
      </c>
      <c r="E39" s="219" t="s">
        <v>151</v>
      </c>
    </row>
    <row r="40" spans="1:5" ht="21.75" customHeight="1" x14ac:dyDescent="0.2">
      <c r="A40" s="206" t="s">
        <v>152</v>
      </c>
      <c r="B40" s="132">
        <v>7000</v>
      </c>
      <c r="C40" s="133">
        <v>8000</v>
      </c>
      <c r="D40" s="133">
        <v>10000</v>
      </c>
      <c r="E40" s="219" t="s">
        <v>153</v>
      </c>
    </row>
    <row r="41" spans="1:5" ht="21.75" customHeight="1" x14ac:dyDescent="0.2">
      <c r="A41" s="206" t="s">
        <v>154</v>
      </c>
      <c r="B41" s="132">
        <v>5000</v>
      </c>
      <c r="C41" s="133">
        <v>6000</v>
      </c>
      <c r="D41" s="133">
        <v>8000</v>
      </c>
      <c r="E41" s="219" t="s">
        <v>155</v>
      </c>
    </row>
    <row r="42" spans="1:5" ht="21.75" customHeight="1" x14ac:dyDescent="0.2">
      <c r="A42" s="206" t="s">
        <v>156</v>
      </c>
      <c r="B42" s="132">
        <v>8000</v>
      </c>
      <c r="C42" s="133">
        <v>10000</v>
      </c>
      <c r="D42" s="133">
        <v>15000</v>
      </c>
      <c r="E42" s="219" t="s">
        <v>157</v>
      </c>
    </row>
    <row r="43" spans="1:5" ht="21.75" customHeight="1" x14ac:dyDescent="0.2">
      <c r="A43" s="206" t="s">
        <v>158</v>
      </c>
      <c r="B43" s="132">
        <v>5000</v>
      </c>
      <c r="C43" s="133">
        <v>6000</v>
      </c>
      <c r="D43" s="133">
        <v>8000</v>
      </c>
      <c r="E43" s="219" t="s">
        <v>159</v>
      </c>
    </row>
    <row r="44" spans="1:5" ht="25.5" customHeight="1" x14ac:dyDescent="0.2">
      <c r="A44" s="205" t="s">
        <v>160</v>
      </c>
      <c r="B44" s="187"/>
      <c r="C44" s="187"/>
      <c r="D44" s="187"/>
      <c r="E44" s="217"/>
    </row>
    <row r="45" spans="1:5" ht="21.75" customHeight="1" x14ac:dyDescent="0.2">
      <c r="A45" s="206" t="s">
        <v>161</v>
      </c>
      <c r="B45" s="132">
        <v>80</v>
      </c>
      <c r="C45" s="133">
        <v>60</v>
      </c>
      <c r="D45" s="133">
        <v>50</v>
      </c>
      <c r="E45" s="219" t="s">
        <v>162</v>
      </c>
    </row>
    <row r="46" spans="1:5" ht="21.75" customHeight="1" x14ac:dyDescent="0.2">
      <c r="A46" s="206" t="s">
        <v>163</v>
      </c>
      <c r="B46" s="132">
        <v>27</v>
      </c>
      <c r="C46" s="134">
        <v>25</v>
      </c>
      <c r="D46" s="133">
        <v>20</v>
      </c>
      <c r="E46" s="219" t="s">
        <v>164</v>
      </c>
    </row>
    <row r="47" spans="1:5" ht="21.75" customHeight="1" x14ac:dyDescent="0.2">
      <c r="A47" s="206" t="s">
        <v>88</v>
      </c>
      <c r="B47" s="128">
        <v>0.5</v>
      </c>
      <c r="C47" s="129">
        <v>0.45</v>
      </c>
      <c r="D47" s="129">
        <v>0.4</v>
      </c>
      <c r="E47" s="219" t="s">
        <v>165</v>
      </c>
    </row>
    <row r="48" spans="1:5" ht="25.5" customHeight="1" x14ac:dyDescent="0.2">
      <c r="A48" s="205" t="s">
        <v>329</v>
      </c>
      <c r="B48" s="187"/>
      <c r="C48" s="187"/>
      <c r="D48" s="187"/>
      <c r="E48" s="217"/>
    </row>
    <row r="49" spans="1:5" ht="28" customHeight="1" x14ac:dyDescent="0.2">
      <c r="A49" s="206" t="s">
        <v>330</v>
      </c>
      <c r="B49" s="135">
        <v>3</v>
      </c>
      <c r="C49" s="136">
        <v>5</v>
      </c>
      <c r="D49" s="136">
        <v>7</v>
      </c>
      <c r="E49" s="219" t="s">
        <v>331</v>
      </c>
    </row>
    <row r="50" spans="1:5" x14ac:dyDescent="0.2">
      <c r="A50" s="208" t="s">
        <v>166</v>
      </c>
      <c r="B50" s="137"/>
      <c r="C50" s="137"/>
      <c r="D50" s="137"/>
      <c r="E50" s="220"/>
    </row>
    <row r="51" spans="1:5" x14ac:dyDescent="0.2">
      <c r="A51" s="209"/>
      <c r="B51" s="188"/>
      <c r="C51" s="189"/>
      <c r="D51" s="189"/>
      <c r="E51" s="221"/>
    </row>
    <row r="52" spans="1:5" ht="15" customHeight="1" thickBot="1" x14ac:dyDescent="0.25">
      <c r="A52" s="210"/>
      <c r="B52" s="138"/>
      <c r="C52" s="138"/>
      <c r="D52" s="138"/>
      <c r="E52" s="222"/>
    </row>
    <row r="53" spans="1:5" ht="16" thickBot="1" x14ac:dyDescent="0.25">
      <c r="A53" s="72"/>
      <c r="B53" s="56"/>
      <c r="C53" s="56"/>
      <c r="D53" s="56"/>
      <c r="E53" s="80"/>
    </row>
    <row r="54" spans="1:5" ht="16" x14ac:dyDescent="0.2">
      <c r="A54" s="211" t="s">
        <v>377</v>
      </c>
      <c r="B54" s="166"/>
      <c r="C54" s="166"/>
      <c r="D54" s="167"/>
      <c r="E54" s="80"/>
    </row>
    <row r="55" spans="1:5" x14ac:dyDescent="0.2">
      <c r="A55" s="212" t="s">
        <v>305</v>
      </c>
      <c r="B55" s="190">
        <v>1000000</v>
      </c>
      <c r="C55" s="191" t="s">
        <v>325</v>
      </c>
      <c r="D55" s="26"/>
      <c r="E55" s="80"/>
    </row>
    <row r="56" spans="1:5" x14ac:dyDescent="0.2">
      <c r="A56" s="212" t="s">
        <v>306</v>
      </c>
      <c r="B56" s="192">
        <v>0.15</v>
      </c>
      <c r="C56" s="193" t="s">
        <v>378</v>
      </c>
      <c r="D56" s="26"/>
      <c r="E56" s="80"/>
    </row>
    <row r="57" spans="1:5" x14ac:dyDescent="0.2">
      <c r="A57" s="212" t="s">
        <v>307</v>
      </c>
      <c r="B57" s="194">
        <f>B55/B56-B55</f>
        <v>5666666.666666667</v>
      </c>
      <c r="C57" s="193" t="s">
        <v>308</v>
      </c>
      <c r="D57" s="26"/>
      <c r="E57" s="80"/>
    </row>
    <row r="58" spans="1:5" ht="16" thickBot="1" x14ac:dyDescent="0.25">
      <c r="A58" s="213" t="s">
        <v>309</v>
      </c>
      <c r="B58" s="14">
        <f>B55/B56</f>
        <v>6666666.666666667</v>
      </c>
      <c r="C58" s="37" t="s">
        <v>310</v>
      </c>
      <c r="D58" s="38"/>
      <c r="E58" s="80"/>
    </row>
    <row r="59" spans="1:5" ht="16" thickBot="1" x14ac:dyDescent="0.25">
      <c r="A59" s="72"/>
      <c r="B59" s="56"/>
      <c r="C59" s="56"/>
      <c r="D59" s="56"/>
      <c r="E59" s="80"/>
    </row>
    <row r="60" spans="1:5" ht="16" x14ac:dyDescent="0.2">
      <c r="A60" s="211" t="s">
        <v>315</v>
      </c>
      <c r="B60" s="166"/>
      <c r="C60" s="166"/>
      <c r="D60" s="166"/>
      <c r="E60" s="223"/>
    </row>
    <row r="61" spans="1:5" x14ac:dyDescent="0.2">
      <c r="A61" s="212" t="s">
        <v>316</v>
      </c>
      <c r="B61" s="195">
        <v>3000</v>
      </c>
      <c r="C61" s="191" t="s">
        <v>317</v>
      </c>
      <c r="D61" s="56"/>
      <c r="E61" s="80"/>
    </row>
    <row r="62" spans="1:5" x14ac:dyDescent="0.2">
      <c r="A62" s="212" t="s">
        <v>318</v>
      </c>
      <c r="B62" s="196">
        <v>0.3</v>
      </c>
      <c r="C62" s="191" t="s">
        <v>319</v>
      </c>
      <c r="D62" s="56"/>
      <c r="E62" s="80"/>
    </row>
    <row r="63" spans="1:5" x14ac:dyDescent="0.2">
      <c r="A63" s="212" t="s">
        <v>320</v>
      </c>
      <c r="B63" s="196">
        <v>0.4</v>
      </c>
      <c r="C63" s="191" t="s">
        <v>319</v>
      </c>
      <c r="D63" s="56"/>
      <c r="E63" s="80"/>
    </row>
    <row r="64" spans="1:5" x14ac:dyDescent="0.2">
      <c r="A64" s="212" t="s">
        <v>321</v>
      </c>
      <c r="B64" s="196">
        <v>0.6</v>
      </c>
      <c r="C64" s="191" t="s">
        <v>319</v>
      </c>
      <c r="D64" s="56"/>
      <c r="E64" s="80"/>
    </row>
    <row r="65" spans="1:5" x14ac:dyDescent="0.2">
      <c r="A65" s="212" t="s">
        <v>322</v>
      </c>
      <c r="B65" s="197">
        <v>20</v>
      </c>
      <c r="C65" s="191" t="s">
        <v>323</v>
      </c>
      <c r="D65" s="56"/>
      <c r="E65" s="80"/>
    </row>
    <row r="66" spans="1:5" x14ac:dyDescent="0.2">
      <c r="A66" s="212" t="s">
        <v>324</v>
      </c>
      <c r="B66" s="198">
        <v>1.7999999999999999E-2</v>
      </c>
      <c r="C66" s="199">
        <f>(1+B66)^12-1</f>
        <v>0.23872053157552808</v>
      </c>
      <c r="D66" s="191" t="s">
        <v>346</v>
      </c>
      <c r="E66" s="80"/>
    </row>
    <row r="67" spans="1:5" ht="16" thickBot="1" x14ac:dyDescent="0.25">
      <c r="A67" s="214" t="s">
        <v>338</v>
      </c>
      <c r="B67" s="200">
        <v>0.12</v>
      </c>
      <c r="C67" s="201">
        <v>0.12</v>
      </c>
      <c r="D67" s="201">
        <v>0.15</v>
      </c>
      <c r="E67" s="224" t="s">
        <v>368</v>
      </c>
    </row>
  </sheetData>
  <mergeCells count="11">
    <mergeCell ref="A54:D54"/>
    <mergeCell ref="A60:E60"/>
    <mergeCell ref="A1:E1"/>
    <mergeCell ref="A36:E36"/>
    <mergeCell ref="A44:E44"/>
    <mergeCell ref="A48:E48"/>
    <mergeCell ref="A50:E52"/>
    <mergeCell ref="A4:E4"/>
    <mergeCell ref="A8:E8"/>
    <mergeCell ref="A13:E13"/>
    <mergeCell ref="A27:E2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K26"/>
  <sheetViews>
    <sheetView showGridLines="0" zoomScale="150" zoomScaleNormal="150" workbookViewId="0">
      <pane xSplit="2" ySplit="3" topLeftCell="C8" activePane="bottomRight" state="frozen"/>
      <selection pane="topRight" activeCell="C1" sqref="C1"/>
      <selection pane="bottomLeft" activeCell="A4" sqref="A4"/>
      <selection pane="bottomRight" activeCell="A10" sqref="A10:Z10"/>
    </sheetView>
  </sheetViews>
  <sheetFormatPr baseColWidth="10" defaultColWidth="8.6640625" defaultRowHeight="15" x14ac:dyDescent="0.2"/>
  <cols>
    <col min="1" max="1" width="38" customWidth="1"/>
    <col min="2" max="2" width="8" customWidth="1"/>
    <col min="3" max="26" width="12" customWidth="1"/>
    <col min="27" max="27" width="12" style="7" customWidth="1"/>
    <col min="28" max="531" width="8.6640625" style="7"/>
  </cols>
  <sheetData>
    <row r="1" spans="1:531" ht="36" customHeight="1" x14ac:dyDescent="0.2">
      <c r="A1" s="267" t="s">
        <v>277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78"/>
    </row>
    <row r="2" spans="1:531" ht="21.75" customHeight="1" x14ac:dyDescent="0.2">
      <c r="A2" s="268" t="s">
        <v>167</v>
      </c>
      <c r="B2" s="252"/>
      <c r="C2" s="253" t="str">
        <f>'🔧 Cenário Ativo'!B2</f>
        <v>Conservador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80"/>
    </row>
    <row r="3" spans="1:531" ht="24" customHeight="1" x14ac:dyDescent="0.2">
      <c r="A3" s="269" t="s">
        <v>2</v>
      </c>
      <c r="B3" s="254" t="s">
        <v>168</v>
      </c>
      <c r="C3" s="255" t="s">
        <v>169</v>
      </c>
      <c r="D3" s="255" t="s">
        <v>170</v>
      </c>
      <c r="E3" s="255" t="s">
        <v>171</v>
      </c>
      <c r="F3" s="255" t="s">
        <v>172</v>
      </c>
      <c r="G3" s="255" t="s">
        <v>173</v>
      </c>
      <c r="H3" s="256" t="s">
        <v>261</v>
      </c>
      <c r="I3" s="255" t="s">
        <v>174</v>
      </c>
      <c r="J3" s="255" t="s">
        <v>175</v>
      </c>
      <c r="K3" s="255" t="s">
        <v>176</v>
      </c>
      <c r="L3" s="255" t="s">
        <v>177</v>
      </c>
      <c r="M3" s="256" t="s">
        <v>262</v>
      </c>
      <c r="N3" s="257" t="s">
        <v>178</v>
      </c>
      <c r="O3" s="255" t="s">
        <v>179</v>
      </c>
      <c r="P3" s="255" t="s">
        <v>180</v>
      </c>
      <c r="Q3" s="255" t="s">
        <v>181</v>
      </c>
      <c r="R3" s="255" t="s">
        <v>182</v>
      </c>
      <c r="S3" s="255" t="s">
        <v>183</v>
      </c>
      <c r="T3" s="255" t="s">
        <v>300</v>
      </c>
      <c r="U3" s="255" t="s">
        <v>184</v>
      </c>
      <c r="V3" s="255" t="s">
        <v>185</v>
      </c>
      <c r="W3" s="255" t="s">
        <v>186</v>
      </c>
      <c r="X3" s="255" t="s">
        <v>187</v>
      </c>
      <c r="Y3" s="255" t="s">
        <v>188</v>
      </c>
      <c r="Z3" s="279" t="s">
        <v>189</v>
      </c>
    </row>
    <row r="4" spans="1:531" ht="24" customHeight="1" x14ac:dyDescent="0.2">
      <c r="A4" s="270" t="s">
        <v>190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  <c r="Z4" s="280"/>
    </row>
    <row r="5" spans="1:531" ht="19.5" customHeight="1" x14ac:dyDescent="0.2">
      <c r="A5" s="206" t="s">
        <v>191</v>
      </c>
      <c r="B5" s="39" t="s">
        <v>192</v>
      </c>
      <c r="C5" s="168">
        <f>'🎛️ Premissas'!B61</f>
        <v>3000</v>
      </c>
      <c r="D5" s="169">
        <f>C5+'🔧 Cenário Ativo'!$B$27</f>
        <v>6000</v>
      </c>
      <c r="E5" s="169">
        <f>D5+'🔧 Cenário Ativo'!$B$27</f>
        <v>9000</v>
      </c>
      <c r="F5" s="169">
        <f>E5+'🔧 Cenário Ativo'!$B$27</f>
        <v>12000</v>
      </c>
      <c r="G5" s="169">
        <f>F5+'🔧 Cenário Ativo'!$B$27</f>
        <v>15000</v>
      </c>
      <c r="H5" s="169">
        <f>G5+'🔧 Cenário Ativo'!$B$27</f>
        <v>18000</v>
      </c>
      <c r="I5" s="169">
        <f>H5+'🔧 Cenário Ativo'!$B$27</f>
        <v>21000</v>
      </c>
      <c r="J5" s="169">
        <f>I5+'🔧 Cenário Ativo'!$B$27</f>
        <v>24000</v>
      </c>
      <c r="K5" s="169">
        <f>J5+'🔧 Cenário Ativo'!$B$27</f>
        <v>27000</v>
      </c>
      <c r="L5" s="169">
        <f>K5+'🔧 Cenário Ativo'!$B$27</f>
        <v>30000</v>
      </c>
      <c r="M5" s="169">
        <f>L5+'🔧 Cenário Ativo'!$B$27</f>
        <v>33000</v>
      </c>
      <c r="N5" s="169">
        <f>M5+'🔧 Cenário Ativo'!$B$27</f>
        <v>36000</v>
      </c>
      <c r="O5" s="169">
        <f>N5+'🔧 Cenário Ativo'!$B$28</f>
        <v>39500</v>
      </c>
      <c r="P5" s="169">
        <f>O5+'🔧 Cenário Ativo'!$B$28</f>
        <v>43000</v>
      </c>
      <c r="Q5" s="169">
        <f>P5+'🔧 Cenário Ativo'!$B$28</f>
        <v>46500</v>
      </c>
      <c r="R5" s="169">
        <f>Q5+'🔧 Cenário Ativo'!$B$28</f>
        <v>50000</v>
      </c>
      <c r="S5" s="169">
        <f>R5+'🔧 Cenário Ativo'!$B$28</f>
        <v>53500</v>
      </c>
      <c r="T5" s="169">
        <f>S5+'🔧 Cenário Ativo'!$B$28</f>
        <v>57000</v>
      </c>
      <c r="U5" s="169">
        <f>T5+'🔧 Cenário Ativo'!$B$28</f>
        <v>60500</v>
      </c>
      <c r="V5" s="169">
        <f>U5+'🔧 Cenário Ativo'!$B$28</f>
        <v>64000</v>
      </c>
      <c r="W5" s="169">
        <f>V5+'🔧 Cenário Ativo'!$B$28</f>
        <v>67500</v>
      </c>
      <c r="X5" s="169">
        <f>W5+'🔧 Cenário Ativo'!$B$28</f>
        <v>71000</v>
      </c>
      <c r="Y5" s="169">
        <f>X5+'🔧 Cenário Ativo'!$B$28</f>
        <v>74500</v>
      </c>
      <c r="Z5" s="281">
        <f>Y5+'🔧 Cenário Ativo'!$B$28</f>
        <v>78000</v>
      </c>
    </row>
    <row r="6" spans="1:531" ht="19.5" customHeight="1" x14ac:dyDescent="0.2">
      <c r="A6" s="206" t="s">
        <v>193</v>
      </c>
      <c r="B6" s="39" t="s">
        <v>194</v>
      </c>
      <c r="C6" s="168">
        <f>ROUND(C5*'🔧 Cenário Ativo'!$B$29,0)</f>
        <v>210</v>
      </c>
      <c r="D6" s="168">
        <f>ROUND(D5*'🔧 Cenário Ativo'!$B$29,0)</f>
        <v>420</v>
      </c>
      <c r="E6" s="168">
        <f>ROUND(E5*'🔧 Cenário Ativo'!$B$29,0)</f>
        <v>630</v>
      </c>
      <c r="F6" s="168">
        <f>ROUND(F5*'🔧 Cenário Ativo'!$B$29,0)</f>
        <v>840</v>
      </c>
      <c r="G6" s="168">
        <f>ROUND(G5*'🔧 Cenário Ativo'!$B$29,0)</f>
        <v>1050</v>
      </c>
      <c r="H6" s="168">
        <f>ROUND(H5*'🔧 Cenário Ativo'!$B$29,0)</f>
        <v>1260</v>
      </c>
      <c r="I6" s="168">
        <f>ROUND(I5*'🔧 Cenário Ativo'!$B$29,0)</f>
        <v>1470</v>
      </c>
      <c r="J6" s="168">
        <f>ROUND(J5*'🔧 Cenário Ativo'!$B$29,0)</f>
        <v>1680</v>
      </c>
      <c r="K6" s="168">
        <f>ROUND(K5*'🔧 Cenário Ativo'!$B$29,0)</f>
        <v>1890</v>
      </c>
      <c r="L6" s="168">
        <f>ROUND(L5*'🔧 Cenário Ativo'!$B$29,0)</f>
        <v>2100</v>
      </c>
      <c r="M6" s="168">
        <f>ROUND(M5*'🔧 Cenário Ativo'!$B$29,0)</f>
        <v>2310</v>
      </c>
      <c r="N6" s="168">
        <f>ROUND(N5*'🔧 Cenário Ativo'!$B$29,0)</f>
        <v>2520</v>
      </c>
      <c r="O6" s="168">
        <f>ROUND(O5*'🔧 Cenário Ativo'!$B$29,0)</f>
        <v>2765</v>
      </c>
      <c r="P6" s="168">
        <f>ROUND(P5*'🔧 Cenário Ativo'!$B$29,0)</f>
        <v>3010</v>
      </c>
      <c r="Q6" s="168">
        <f>ROUND(Q5*'🔧 Cenário Ativo'!$B$29,0)</f>
        <v>3255</v>
      </c>
      <c r="R6" s="168">
        <f>ROUND(Q6*(1-'🔧 Cenário Ativo'!B32)+MAX(0,R5-Q9)*'🔧 Cenário Ativo'!B29,0)</f>
        <v>6137</v>
      </c>
      <c r="S6" s="168">
        <f>ROUND(R6*(1-'🔧 Cenário Ativo'!B32)+MAX(0,S5-R9)*'🔧 Cenário Ativo'!B29,0)</f>
        <v>8827</v>
      </c>
      <c r="T6" s="168">
        <f>ROUND(S6*(1-'🔧 Cenário Ativo'!B32)+MAX(0,T5-S9)*'🔧 Cenário Ativo'!B29,0)</f>
        <v>11350</v>
      </c>
      <c r="U6" s="168">
        <f>ROUND(T6*(1-'🔧 Cenário Ativo'!B32)+MAX(0,U5-T9)*'🔧 Cenário Ativo'!B29,0)</f>
        <v>13725</v>
      </c>
      <c r="V6" s="168">
        <f>ROUND(U6*(1-'🔧 Cenário Ativo'!B32)+MAX(0,V5-U9)*'🔧 Cenário Ativo'!B29,0)</f>
        <v>15971</v>
      </c>
      <c r="W6" s="168">
        <f>ROUND(V6*(1-'🔧 Cenário Ativo'!B32)+MAX(0,W5-V9)*'🔧 Cenário Ativo'!B29,0)</f>
        <v>18104</v>
      </c>
      <c r="X6" s="168">
        <f>ROUND(W6*(1-'🔧 Cenário Ativo'!B32)+MAX(0,X5-W9)*'🔧 Cenário Ativo'!B29,0)</f>
        <v>20137</v>
      </c>
      <c r="Y6" s="168">
        <f>ROUND(X6*(1-'🔧 Cenário Ativo'!B32)+MAX(0,Y5-X9)*'🔧 Cenário Ativo'!B29,0)</f>
        <v>22083</v>
      </c>
      <c r="Z6" s="282">
        <f>ROUND(Y6*(1-'🔧 Cenário Ativo'!B32)+MAX(0,Z5-Y9)*'🔧 Cenário Ativo'!B29,0)</f>
        <v>23953</v>
      </c>
    </row>
    <row r="7" spans="1:531" ht="19.5" customHeight="1" x14ac:dyDescent="0.2">
      <c r="A7" s="206" t="s">
        <v>195</v>
      </c>
      <c r="B7" s="39" t="s">
        <v>194</v>
      </c>
      <c r="C7" s="168">
        <f>ROUND(C5*'🔧 Cenário Ativo'!$B$30,0)</f>
        <v>90</v>
      </c>
      <c r="D7" s="168">
        <f>ROUND(D5*'🔧 Cenário Ativo'!$B$30,0)</f>
        <v>180</v>
      </c>
      <c r="E7" s="168">
        <f>ROUND(E5*'🔧 Cenário Ativo'!$B$30,0)</f>
        <v>270</v>
      </c>
      <c r="F7" s="168">
        <f>ROUND(F5*'🔧 Cenário Ativo'!$B$30,0)</f>
        <v>360</v>
      </c>
      <c r="G7" s="168">
        <f>ROUND(G5*'🔧 Cenário Ativo'!$B$30,0)</f>
        <v>450</v>
      </c>
      <c r="H7" s="168">
        <f>ROUND(H5*'🔧 Cenário Ativo'!$B$30,0)</f>
        <v>540</v>
      </c>
      <c r="I7" s="168">
        <f>ROUND(I5*'🔧 Cenário Ativo'!$B$30,0)</f>
        <v>630</v>
      </c>
      <c r="J7" s="168">
        <f>ROUND(J5*'🔧 Cenário Ativo'!$B$30,0)</f>
        <v>720</v>
      </c>
      <c r="K7" s="168">
        <f>ROUND(K5*'🔧 Cenário Ativo'!$B$30,0)</f>
        <v>810</v>
      </c>
      <c r="L7" s="168">
        <f>ROUND(L5*'🔧 Cenário Ativo'!$B$30,0)</f>
        <v>900</v>
      </c>
      <c r="M7" s="168">
        <f>ROUND(M5*'🔧 Cenário Ativo'!$B$30,0)</f>
        <v>990</v>
      </c>
      <c r="N7" s="168">
        <f>ROUND(N5*'🔧 Cenário Ativo'!$B$30,0)</f>
        <v>1080</v>
      </c>
      <c r="O7" s="168">
        <f>ROUND(O5*'🔧 Cenário Ativo'!$B$30,0)</f>
        <v>1185</v>
      </c>
      <c r="P7" s="168">
        <f>ROUND(P5*'🔧 Cenário Ativo'!$B$30,0)</f>
        <v>1290</v>
      </c>
      <c r="Q7" s="168">
        <f>ROUND(Q5*'🔧 Cenário Ativo'!$B$30,0)</f>
        <v>1395</v>
      </c>
      <c r="R7" s="168">
        <f>ROUND(Q7*(1-'🔧 Cenário Ativo'!B33)+MAX(0,R6-Q7-Q8)*'🔧 Cenário Ativo'!B30,0)</f>
        <v>1454</v>
      </c>
      <c r="S7" s="168">
        <f>ROUND(R7*(1-'🔧 Cenário Ativo'!B33)+MAX(0,S6-R7-R8)*'🔧 Cenário Ativo'!B30,0)</f>
        <v>1589</v>
      </c>
      <c r="T7" s="168">
        <f>ROUND(S7*(1-'🔧 Cenário Ativo'!B33)+MAX(0,T6-S7-S8)*'🔧 Cenário Ativo'!B30,0)</f>
        <v>1789</v>
      </c>
      <c r="U7" s="168">
        <f>ROUND(T7*(1-'🔧 Cenário Ativo'!B33)+MAX(0,U6-T7-T8)*'🔧 Cenário Ativo'!B30,0)</f>
        <v>2044</v>
      </c>
      <c r="V7" s="168">
        <f>ROUND(U7*(1-'🔧 Cenário Ativo'!B33)+MAX(0,V6-U7-U8)*'🔧 Cenário Ativo'!B30,0)</f>
        <v>2346</v>
      </c>
      <c r="W7" s="168">
        <f>ROUND(V7*(1-'🔧 Cenário Ativo'!B33)+MAX(0,W6-V7-V8)*'🔧 Cenário Ativo'!B30,0)</f>
        <v>2687</v>
      </c>
      <c r="X7" s="168">
        <f>ROUND(W7*(1-'🔧 Cenário Ativo'!B33)+MAX(0,X6-W7-W8)*'🔧 Cenário Ativo'!B30,0)</f>
        <v>3062</v>
      </c>
      <c r="Y7" s="168">
        <f>ROUND(X7*(1-'🔧 Cenário Ativo'!B33)+MAX(0,Y6-X7-X8)*'🔧 Cenário Ativo'!B30,0)</f>
        <v>3465</v>
      </c>
      <c r="Z7" s="282">
        <f>ROUND(Y7*(1-'🔧 Cenário Ativo'!B33)+MAX(0,Z6-Y7-Y8)*'🔧 Cenário Ativo'!B30,0)</f>
        <v>3891</v>
      </c>
    </row>
    <row r="8" spans="1:531" ht="19.5" customHeight="1" x14ac:dyDescent="0.2">
      <c r="A8" s="206" t="s">
        <v>196</v>
      </c>
      <c r="B8" s="39" t="s">
        <v>194</v>
      </c>
      <c r="C8" s="168">
        <f>ROUND(C5*'🔧 Cenário Ativo'!$B$31,0)</f>
        <v>30</v>
      </c>
      <c r="D8" s="168">
        <f>ROUND(D5*'🔧 Cenário Ativo'!$B$31,0)</f>
        <v>60</v>
      </c>
      <c r="E8" s="168">
        <f>ROUND(E5*'🔧 Cenário Ativo'!$B$31,0)</f>
        <v>90</v>
      </c>
      <c r="F8" s="168">
        <f>ROUND(F5*'🔧 Cenário Ativo'!$B$31,0)</f>
        <v>120</v>
      </c>
      <c r="G8" s="168">
        <f>ROUND(G5*'🔧 Cenário Ativo'!$B$31,0)</f>
        <v>150</v>
      </c>
      <c r="H8" s="168">
        <f>ROUND(H5*'🔧 Cenário Ativo'!$B$31,0)</f>
        <v>180</v>
      </c>
      <c r="I8" s="168">
        <f>ROUND(I5*'🔧 Cenário Ativo'!$B$31,0)</f>
        <v>210</v>
      </c>
      <c r="J8" s="168">
        <f>ROUND(J5*'🔧 Cenário Ativo'!$B$31,0)</f>
        <v>240</v>
      </c>
      <c r="K8" s="168">
        <f>ROUND(K5*'🔧 Cenário Ativo'!$B$31,0)</f>
        <v>270</v>
      </c>
      <c r="L8" s="168">
        <f>ROUND(L5*'🔧 Cenário Ativo'!$B$31,0)</f>
        <v>300</v>
      </c>
      <c r="M8" s="168">
        <f>ROUND(M5*'🔧 Cenário Ativo'!$B$31,0)</f>
        <v>330</v>
      </c>
      <c r="N8" s="168">
        <f>ROUND(N5*'🔧 Cenário Ativo'!$B$31,0)</f>
        <v>360</v>
      </c>
      <c r="O8" s="168">
        <f>ROUND(O5*'🔧 Cenário Ativo'!$B$31,0)</f>
        <v>395</v>
      </c>
      <c r="P8" s="168">
        <f>ROUND(P5*'🔧 Cenário Ativo'!$B$31,0)</f>
        <v>430</v>
      </c>
      <c r="Q8" s="168">
        <f>ROUND(Q5*'🔧 Cenário Ativo'!$B$31,0)</f>
        <v>465</v>
      </c>
      <c r="R8" s="168">
        <f>ROUND(Q8*(1-'🔧 Cenário Ativo'!B34)+MAX(0,R7-Q8)*'🔧 Cenário Ativo'!B31,0)</f>
        <v>461</v>
      </c>
      <c r="S8" s="168">
        <f>ROUND(R8*(1-'🔧 Cenário Ativo'!B34)+MAX(0,S7-R8)*'🔧 Cenário Ativo'!B31,0)</f>
        <v>458</v>
      </c>
      <c r="T8" s="168">
        <f>ROUND(S8*(1-'🔧 Cenário Ativo'!B34)+MAX(0,T7-S8)*'🔧 Cenário Ativo'!B31,0)</f>
        <v>458</v>
      </c>
      <c r="U8" s="168">
        <f>ROUND(T8*(1-'🔧 Cenário Ativo'!B34)+MAX(0,U7-T8)*'🔧 Cenário Ativo'!B31,0)</f>
        <v>460</v>
      </c>
      <c r="V8" s="168">
        <f>ROUND(U8*(1-'🔧 Cenário Ativo'!B34)+MAX(0,V7-U8)*'🔧 Cenário Ativo'!B31,0)</f>
        <v>465</v>
      </c>
      <c r="W8" s="168">
        <f>ROUND(V8*(1-'🔧 Cenário Ativo'!B34)+MAX(0,W7-V8)*'🔧 Cenário Ativo'!B31,0)</f>
        <v>473</v>
      </c>
      <c r="X8" s="168">
        <f>ROUND(W8*(1-'🔧 Cenário Ativo'!B34)+MAX(0,X7-W8)*'🔧 Cenário Ativo'!B31,0)</f>
        <v>485</v>
      </c>
      <c r="Y8" s="168">
        <f>ROUND(X8*(1-'🔧 Cenário Ativo'!B34)+MAX(0,Y7-X8)*'🔧 Cenário Ativo'!B31,0)</f>
        <v>500</v>
      </c>
      <c r="Z8" s="282">
        <f>ROUND(Y8*(1-'🔧 Cenário Ativo'!B34)+MAX(0,Z7-Y8)*'🔧 Cenário Ativo'!B31,0)</f>
        <v>519</v>
      </c>
    </row>
    <row r="9" spans="1:531" ht="19.5" customHeight="1" x14ac:dyDescent="0.2">
      <c r="A9" s="271" t="s">
        <v>14</v>
      </c>
      <c r="B9" s="39" t="s">
        <v>194</v>
      </c>
      <c r="C9" s="1">
        <f t="shared" ref="C9:Z9" si="0">SUM(C6:C8)</f>
        <v>330</v>
      </c>
      <c r="D9" s="1">
        <f>SUM(D6:D8)</f>
        <v>660</v>
      </c>
      <c r="E9" s="1">
        <f t="shared" ref="E9:L9" si="1">SUM(E6:E8)</f>
        <v>990</v>
      </c>
      <c r="F9" s="1">
        <f t="shared" si="1"/>
        <v>1320</v>
      </c>
      <c r="G9" s="1">
        <f t="shared" si="1"/>
        <v>1650</v>
      </c>
      <c r="H9" s="1">
        <f t="shared" si="1"/>
        <v>1980</v>
      </c>
      <c r="I9" s="1">
        <f t="shared" si="1"/>
        <v>2310</v>
      </c>
      <c r="J9" s="1">
        <f t="shared" si="1"/>
        <v>2640</v>
      </c>
      <c r="K9" s="1">
        <f t="shared" si="1"/>
        <v>2970</v>
      </c>
      <c r="L9" s="1">
        <f t="shared" si="1"/>
        <v>3300</v>
      </c>
      <c r="M9" s="1">
        <f t="shared" si="0"/>
        <v>3630</v>
      </c>
      <c r="N9" s="1">
        <f t="shared" si="0"/>
        <v>3960</v>
      </c>
      <c r="O9" s="1">
        <f t="shared" si="0"/>
        <v>4345</v>
      </c>
      <c r="P9" s="1">
        <f t="shared" si="0"/>
        <v>4730</v>
      </c>
      <c r="Q9" s="1">
        <f t="shared" si="0"/>
        <v>5115</v>
      </c>
      <c r="R9" s="1">
        <f t="shared" si="0"/>
        <v>8052</v>
      </c>
      <c r="S9" s="1">
        <f t="shared" si="0"/>
        <v>10874</v>
      </c>
      <c r="T9" s="1">
        <f t="shared" si="0"/>
        <v>13597</v>
      </c>
      <c r="U9" s="1">
        <f t="shared" si="0"/>
        <v>16229</v>
      </c>
      <c r="V9" s="1">
        <f t="shared" si="0"/>
        <v>18782</v>
      </c>
      <c r="W9" s="1">
        <f t="shared" si="0"/>
        <v>21264</v>
      </c>
      <c r="X9" s="1">
        <f t="shared" si="0"/>
        <v>23684</v>
      </c>
      <c r="Y9" s="1">
        <f t="shared" si="0"/>
        <v>26048</v>
      </c>
      <c r="Z9" s="283">
        <f t="shared" si="0"/>
        <v>28363</v>
      </c>
    </row>
    <row r="10" spans="1:531" ht="24" customHeight="1" x14ac:dyDescent="0.2">
      <c r="A10" s="272" t="s">
        <v>197</v>
      </c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84"/>
    </row>
    <row r="11" spans="1:531" ht="19.5" customHeight="1" x14ac:dyDescent="0.2">
      <c r="A11" s="206" t="s">
        <v>357</v>
      </c>
      <c r="B11" s="39" t="s">
        <v>198</v>
      </c>
      <c r="C11" s="170">
        <f>C6*'🔧 Cenário Ativo'!B6+C7*'🔧 Cenário Ativo'!B7+C8*'🔧 Cenário Ativo'!B8</f>
        <v>16167</v>
      </c>
      <c r="D11" s="170">
        <f>D6*'🔧 Cenário Ativo'!B6+D7*'🔧 Cenário Ativo'!B7+D8*'🔧 Cenário Ativo'!B8</f>
        <v>32334</v>
      </c>
      <c r="E11" s="170">
        <f>E6*'🔧 Cenário Ativo'!B6+E7*'🔧 Cenário Ativo'!B7+E8*'🔧 Cenário Ativo'!B8</f>
        <v>48501</v>
      </c>
      <c r="F11" s="170">
        <f>F6*'🔧 Cenário Ativo'!B6+F7*'🔧 Cenário Ativo'!B7+F8*'🔧 Cenário Ativo'!B8</f>
        <v>64668</v>
      </c>
      <c r="G11" s="170">
        <f>G6*'🔧 Cenário Ativo'!B6+G7*'🔧 Cenário Ativo'!B7+G8*'🔧 Cenário Ativo'!B8</f>
        <v>80835</v>
      </c>
      <c r="H11" s="170">
        <f>H6*'🔧 Cenário Ativo'!B6+H7*'🔧 Cenário Ativo'!B7+H8*'🔧 Cenário Ativo'!B8</f>
        <v>97002</v>
      </c>
      <c r="I11" s="170">
        <f>I6*'🔧 Cenário Ativo'!B6+I7*'🔧 Cenário Ativo'!B7+I8*'🔧 Cenário Ativo'!B8</f>
        <v>113169</v>
      </c>
      <c r="J11" s="170">
        <f>J6*'🔧 Cenário Ativo'!B6+J7*'🔧 Cenário Ativo'!B7+J8*'🔧 Cenário Ativo'!B8</f>
        <v>129336</v>
      </c>
      <c r="K11" s="170">
        <f>K6*'🔧 Cenário Ativo'!B6+K7*'🔧 Cenário Ativo'!B7+K8*'🔧 Cenário Ativo'!B8</f>
        <v>145503</v>
      </c>
      <c r="L11" s="170">
        <f>L6*'🔧 Cenário Ativo'!B6+L7*'🔧 Cenário Ativo'!B7+L8*'🔧 Cenário Ativo'!B8</f>
        <v>161670</v>
      </c>
      <c r="M11" s="170">
        <f>M6*'🔧 Cenário Ativo'!B6+M7*'🔧 Cenário Ativo'!B7+M8*'🔧 Cenário Ativo'!B8</f>
        <v>177837</v>
      </c>
      <c r="N11" s="170">
        <f>N6*'🔧 Cenário Ativo'!B6+N7*'🔧 Cenário Ativo'!B7+N8*'🔧 Cenário Ativo'!B8</f>
        <v>194004</v>
      </c>
      <c r="O11" s="170">
        <f>O6*'🔧 Cenário Ativo'!B6+O7*'🔧 Cenário Ativo'!B7+O8*'🔧 Cenário Ativo'!B8</f>
        <v>212865.5</v>
      </c>
      <c r="P11" s="170">
        <f>P6*'🔧 Cenário Ativo'!B6+P7*'🔧 Cenário Ativo'!B7+P8*'🔧 Cenário Ativo'!B8</f>
        <v>231727</v>
      </c>
      <c r="Q11" s="170">
        <f>Q6*'🔧 Cenário Ativo'!B6+Q7*'🔧 Cenário Ativo'!B7+Q8*'🔧 Cenário Ativo'!B8</f>
        <v>250588.5</v>
      </c>
      <c r="R11" s="170">
        <f>R6*'🔧 Cenário Ativo'!B6+R7*'🔧 Cenário Ativo'!B7+R8*'🔧 Cenário Ativo'!B8</f>
        <v>368794.8</v>
      </c>
      <c r="S11" s="170">
        <f>S6*'🔧 Cenário Ativo'!B6+S7*'🔧 Cenário Ativo'!B7+S8*'🔧 Cenário Ativo'!B8</f>
        <v>483972.6</v>
      </c>
      <c r="T11" s="170">
        <f>T6*'🔧 Cenário Ativo'!B6+T7*'🔧 Cenário Ativo'!B7+T8*'🔧 Cenário Ativo'!B8</f>
        <v>596620.29999999993</v>
      </c>
      <c r="U11" s="170">
        <f>U6*'🔧 Cenário Ativo'!B6+U7*'🔧 Cenário Ativo'!B7+U8*'🔧 Cenário Ativo'!B8</f>
        <v>706817.1</v>
      </c>
      <c r="V11" s="170">
        <f>V6*'🔧 Cenário Ativo'!B6+V7*'🔧 Cenário Ativo'!B7+V8*'🔧 Cenário Ativo'!B8</f>
        <v>814921.8</v>
      </c>
      <c r="W11" s="170">
        <f>W6*'🔧 Cenário Ativo'!B6+W7*'🔧 Cenário Ativo'!B7+W8*'🔧 Cenário Ativo'!B8</f>
        <v>921093.59999999986</v>
      </c>
      <c r="X11" s="170">
        <f>X6*'🔧 Cenário Ativo'!B6+X7*'🔧 Cenário Ativo'!B7+X8*'🔧 Cenário Ativo'!B8</f>
        <v>1025631.5999999999</v>
      </c>
      <c r="Y11" s="170">
        <f>Y6*'🔧 Cenário Ativo'!B6+Y7*'🔧 Cenário Ativo'!B7+Y8*'🔧 Cenário Ativo'!B8</f>
        <v>1128615.2</v>
      </c>
      <c r="Z11" s="285">
        <f>Z6*'🔧 Cenário Ativo'!B6+Z7*'🔧 Cenário Ativo'!B7+Z8*'🔧 Cenário Ativo'!B8</f>
        <v>1230263.7</v>
      </c>
    </row>
    <row r="12" spans="1:531" ht="19.5" customHeight="1" x14ac:dyDescent="0.2">
      <c r="A12" s="206" t="s">
        <v>358</v>
      </c>
      <c r="B12" s="39" t="s">
        <v>198</v>
      </c>
      <c r="C12" s="2">
        <f>C11</f>
        <v>16167</v>
      </c>
      <c r="D12" s="2">
        <f t="shared" ref="D12:Z12" si="2">C12+D11</f>
        <v>48501</v>
      </c>
      <c r="E12" s="2">
        <f t="shared" si="2"/>
        <v>97002</v>
      </c>
      <c r="F12" s="2">
        <f t="shared" si="2"/>
        <v>161670</v>
      </c>
      <c r="G12" s="2">
        <f t="shared" si="2"/>
        <v>242505</v>
      </c>
      <c r="H12" s="2">
        <f t="shared" si="2"/>
        <v>339507</v>
      </c>
      <c r="I12" s="2">
        <f t="shared" si="2"/>
        <v>452676</v>
      </c>
      <c r="J12" s="2">
        <f t="shared" si="2"/>
        <v>582012</v>
      </c>
      <c r="K12" s="2">
        <f t="shared" si="2"/>
        <v>727515</v>
      </c>
      <c r="L12" s="2">
        <f t="shared" si="2"/>
        <v>889185</v>
      </c>
      <c r="M12" s="2">
        <f t="shared" si="2"/>
        <v>1067022</v>
      </c>
      <c r="N12" s="2">
        <f t="shared" si="2"/>
        <v>1261026</v>
      </c>
      <c r="O12" s="2">
        <f t="shared" si="2"/>
        <v>1473891.5</v>
      </c>
      <c r="P12" s="2">
        <f t="shared" si="2"/>
        <v>1705618.5</v>
      </c>
      <c r="Q12" s="2">
        <f t="shared" si="2"/>
        <v>1956207</v>
      </c>
      <c r="R12" s="2">
        <f t="shared" si="2"/>
        <v>2325001.7999999998</v>
      </c>
      <c r="S12" s="2">
        <f t="shared" si="2"/>
        <v>2808974.4</v>
      </c>
      <c r="T12" s="2">
        <f t="shared" si="2"/>
        <v>3405594.6999999997</v>
      </c>
      <c r="U12" s="2">
        <f t="shared" si="2"/>
        <v>4112411.8</v>
      </c>
      <c r="V12" s="2">
        <f t="shared" si="2"/>
        <v>4927333.5999999996</v>
      </c>
      <c r="W12" s="2">
        <f t="shared" si="2"/>
        <v>5848427.1999999993</v>
      </c>
      <c r="X12" s="2">
        <f t="shared" si="2"/>
        <v>6874058.7999999989</v>
      </c>
      <c r="Y12" s="2">
        <f t="shared" si="2"/>
        <v>8002673.9999999991</v>
      </c>
      <c r="Z12" s="286">
        <f t="shared" si="2"/>
        <v>9232937.6999999993</v>
      </c>
    </row>
    <row r="13" spans="1:531" s="9" customFormat="1" ht="24" customHeight="1" x14ac:dyDescent="0.2">
      <c r="A13" s="273" t="s">
        <v>199</v>
      </c>
      <c r="B13" s="260"/>
      <c r="C13" s="260"/>
      <c r="D13" s="260"/>
      <c r="E13" s="260"/>
      <c r="F13" s="260"/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8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</row>
    <row r="14" spans="1:531" ht="19.5" customHeight="1" x14ac:dyDescent="0.2">
      <c r="A14" s="206" t="s">
        <v>200</v>
      </c>
      <c r="B14" s="39" t="s">
        <v>198</v>
      </c>
      <c r="C14" s="3">
        <f>C5*'🔧 Cenário Ativo'!$B$18*('🔧 Cenário Ativo'!$B$15*('🔧 Cenário Ativo'!$B$16/1000000*'🎛️ Premissas'!$G$9+'🔧 Cenário Ativo'!$B$17/1000000*'🎛️ Premissas'!$G$10)*(1-'🔧 Cenário Ativo'!$B$13)*'🔧 Cenário Ativo'!$B$10)</f>
        <v>813.88125000000002</v>
      </c>
      <c r="D14" s="3">
        <f>D5*'🔧 Cenário Ativo'!$B$18*('🔧 Cenário Ativo'!$B$15*('🔧 Cenário Ativo'!$B$16/1000000*'🎛️ Premissas'!$G$9+'🔧 Cenário Ativo'!$B$17/1000000*'🎛️ Premissas'!$G$10)*(1-'🔧 Cenário Ativo'!$B$13)*'🔧 Cenário Ativo'!$B$10)</f>
        <v>1627.7625</v>
      </c>
      <c r="E14" s="3">
        <f>E5*'🔧 Cenário Ativo'!$B$18*('🔧 Cenário Ativo'!$B$15*('🔧 Cenário Ativo'!$B$16/1000000*'🎛️ Premissas'!$G$9+'🔧 Cenário Ativo'!$B$17/1000000*'🎛️ Premissas'!$G$10)*(1-'🔧 Cenário Ativo'!$B$13)*'🔧 Cenário Ativo'!$B$10)</f>
        <v>2441.6437500000002</v>
      </c>
      <c r="F14" s="3">
        <f>F5*'🔧 Cenário Ativo'!$B$18*('🔧 Cenário Ativo'!$B$15*('🔧 Cenário Ativo'!$B$16/1000000*'🎛️ Premissas'!$G$9+'🔧 Cenário Ativo'!$B$17/1000000*'🎛️ Premissas'!$G$10)*(1-'🔧 Cenário Ativo'!$B$13)*'🔧 Cenário Ativo'!$B$10)</f>
        <v>3255.5250000000001</v>
      </c>
      <c r="G14" s="3">
        <f>G5*'🔧 Cenário Ativo'!$B$18*('🔧 Cenário Ativo'!$B$15*('🔧 Cenário Ativo'!$B$16/1000000*'🎛️ Premissas'!$G$9+'🔧 Cenário Ativo'!$B$17/1000000*'🎛️ Premissas'!$G$10)*(1-'🔧 Cenário Ativo'!$B$13)*'🔧 Cenário Ativo'!$B$10)</f>
        <v>4069.40625</v>
      </c>
      <c r="H14" s="3">
        <f>H5*'🔧 Cenário Ativo'!$B$18*('🔧 Cenário Ativo'!$B$15*('🔧 Cenário Ativo'!$B$16/1000000*'🎛️ Premissas'!$G$9+'🔧 Cenário Ativo'!$B$17/1000000*'🎛️ Premissas'!$G$10)*(1-'🔧 Cenário Ativo'!$B$13)*'🔧 Cenário Ativo'!$B$10)</f>
        <v>4883.2875000000004</v>
      </c>
      <c r="I14" s="3">
        <f>I5*'🔧 Cenário Ativo'!$B$18*('🔧 Cenário Ativo'!$B$15*('🔧 Cenário Ativo'!$B$16/1000000*'🎛️ Premissas'!$G$9+'🔧 Cenário Ativo'!$B$17/1000000*'🎛️ Premissas'!$G$10)*(1-'🔧 Cenário Ativo'!$B$13)*'🔧 Cenário Ativo'!$B$10)</f>
        <v>5697.1687499999998</v>
      </c>
      <c r="J14" s="3">
        <f>J5*'🔧 Cenário Ativo'!$B$18*('🔧 Cenário Ativo'!$B$15*('🔧 Cenário Ativo'!$B$16/1000000*'🎛️ Premissas'!$G$9+'🔧 Cenário Ativo'!$B$17/1000000*'🎛️ Premissas'!$G$10)*(1-'🔧 Cenário Ativo'!$B$13)*'🔧 Cenário Ativo'!$B$10)</f>
        <v>6511.05</v>
      </c>
      <c r="K14" s="3">
        <f>K5*'🔧 Cenário Ativo'!$B$18*('🔧 Cenário Ativo'!$B$15*('🔧 Cenário Ativo'!$B$16/1000000*'🎛️ Premissas'!$G$9+'🔧 Cenário Ativo'!$B$17/1000000*'🎛️ Premissas'!$G$10)*(1-'🔧 Cenário Ativo'!$B$13)*'🔧 Cenário Ativo'!$B$10)</f>
        <v>7324.9312499999996</v>
      </c>
      <c r="L14" s="3">
        <f>L5*'🔧 Cenário Ativo'!$B$18*('🔧 Cenário Ativo'!$B$15*('🔧 Cenário Ativo'!$B$16/1000000*'🎛️ Premissas'!$G$9+'🔧 Cenário Ativo'!$B$17/1000000*'🎛️ Premissas'!$G$10)*(1-'🔧 Cenário Ativo'!$B$13)*'🔧 Cenário Ativo'!$B$10)</f>
        <v>8138.8125</v>
      </c>
      <c r="M14" s="3">
        <f>M5*'🔧 Cenário Ativo'!$B$18*('🔧 Cenário Ativo'!$B$15*('🔧 Cenário Ativo'!$B$16/1000000*'🎛️ Premissas'!$G$9+'🔧 Cenário Ativo'!$B$17/1000000*'🎛️ Premissas'!$G$10)*(1-'🔧 Cenário Ativo'!$B$13)*'🔧 Cenário Ativo'!$B$10)</f>
        <v>8952.6937500000004</v>
      </c>
      <c r="N14" s="3">
        <f>N5*'🔧 Cenário Ativo'!$B$18*('🔧 Cenário Ativo'!$B$15*('🔧 Cenário Ativo'!$B$16/1000000*'🎛️ Premissas'!$G$9+'🔧 Cenário Ativo'!$B$17/1000000*'🎛️ Premissas'!$G$10)*(1-'🔧 Cenário Ativo'!$B$13)*'🔧 Cenário Ativo'!$B$10)</f>
        <v>9766.5750000000007</v>
      </c>
      <c r="O14" s="3">
        <f>O5*'🔧 Cenário Ativo'!$B$18*('🔧 Cenário Ativo'!$B$15*('🔧 Cenário Ativo'!$B$16/1000000*'🎛️ Premissas'!$G$9+'🔧 Cenário Ativo'!$B$17/1000000*'🎛️ Premissas'!$G$10)*(1-'🔧 Cenário Ativo'!$B$13)*'🔧 Cenário Ativo'!$B$10)</f>
        <v>10716.103125</v>
      </c>
      <c r="P14" s="3">
        <f>P5*'🔧 Cenário Ativo'!$B$18*('🔧 Cenário Ativo'!$B$15*('🔧 Cenário Ativo'!$B$16/1000000*'🎛️ Premissas'!$G$9+'🔧 Cenário Ativo'!$B$17/1000000*'🎛️ Premissas'!$G$10)*(1-'🔧 Cenário Ativo'!$B$13)*'🔧 Cenário Ativo'!$B$10)</f>
        <v>11665.63125</v>
      </c>
      <c r="Q14" s="3">
        <f>Q5*'🔧 Cenário Ativo'!$B$18*('🔧 Cenário Ativo'!$B$15*('🔧 Cenário Ativo'!$B$16/1000000*'🎛️ Premissas'!$G$9+'🔧 Cenário Ativo'!$B$17/1000000*'🎛️ Premissas'!$G$10)*(1-'🔧 Cenário Ativo'!$B$13)*'🔧 Cenário Ativo'!$B$10)</f>
        <v>12615.159374999999</v>
      </c>
      <c r="R14" s="3">
        <f>R5*'🔧 Cenário Ativo'!$B$18*('🔧 Cenário Ativo'!$B$15*('🔧 Cenário Ativo'!$B$16/1000000*'🎛️ Premissas'!$G$9+'🔧 Cenário Ativo'!$B$17/1000000*'🎛️ Premissas'!$G$10)*(1-'🔧 Cenário Ativo'!$B$13)*'🔧 Cenário Ativo'!$B$10)</f>
        <v>13564.6875</v>
      </c>
      <c r="S14" s="3">
        <f>S5*'🔧 Cenário Ativo'!$B$18*('🔧 Cenário Ativo'!$B$15*('🔧 Cenário Ativo'!$B$16/1000000*'🎛️ Premissas'!$G$9+'🔧 Cenário Ativo'!$B$17/1000000*'🎛️ Premissas'!$G$10)*(1-'🔧 Cenário Ativo'!$B$13)*'🔧 Cenário Ativo'!$B$10)</f>
        <v>14514.215625000001</v>
      </c>
      <c r="T14" s="3">
        <f>T5*'🔧 Cenário Ativo'!$B$18*('🔧 Cenário Ativo'!$B$15*('🔧 Cenário Ativo'!$B$16/1000000*'🎛️ Premissas'!$G$9+'🔧 Cenário Ativo'!$B$17/1000000*'🎛️ Premissas'!$G$10)*(1-'🔧 Cenário Ativo'!$B$13)*'🔧 Cenário Ativo'!$B$10)</f>
        <v>15463.74375</v>
      </c>
      <c r="U14" s="3">
        <f>U5*'🔧 Cenário Ativo'!$B$18*('🔧 Cenário Ativo'!$B$15*('🔧 Cenário Ativo'!$B$16/1000000*'🎛️ Premissas'!$G$9+'🔧 Cenário Ativo'!$B$17/1000000*'🎛️ Premissas'!$G$10)*(1-'🔧 Cenário Ativo'!$B$13)*'🔧 Cenário Ativo'!$B$10)</f>
        <v>16413.271874999999</v>
      </c>
      <c r="V14" s="3">
        <f>V5*'🔧 Cenário Ativo'!$B$18*('🔧 Cenário Ativo'!$B$15*('🔧 Cenário Ativo'!$B$16/1000000*'🎛️ Premissas'!$G$9+'🔧 Cenário Ativo'!$B$17/1000000*'🎛️ Premissas'!$G$10)*(1-'🔧 Cenário Ativo'!$B$13)*'🔧 Cenário Ativo'!$B$10)</f>
        <v>17362.8</v>
      </c>
      <c r="W14" s="3">
        <f>W5*'🔧 Cenário Ativo'!$B$18*('🔧 Cenário Ativo'!$B$15*('🔧 Cenário Ativo'!$B$16/1000000*'🎛️ Premissas'!$G$9+'🔧 Cenário Ativo'!$B$17/1000000*'🎛️ Premissas'!$G$10)*(1-'🔧 Cenário Ativo'!$B$13)*'🔧 Cenário Ativo'!$B$10)</f>
        <v>18312.328125</v>
      </c>
      <c r="X14" s="3">
        <f>X5*'🔧 Cenário Ativo'!$B$18*('🔧 Cenário Ativo'!$B$15*('🔧 Cenário Ativo'!$B$16/1000000*'🎛️ Premissas'!$G$9+'🔧 Cenário Ativo'!$B$17/1000000*'🎛️ Premissas'!$G$10)*(1-'🔧 Cenário Ativo'!$B$13)*'🔧 Cenário Ativo'!$B$10)</f>
        <v>19261.856250000001</v>
      </c>
      <c r="Y14" s="3">
        <f>Y5*'🔧 Cenário Ativo'!$B$18*('🔧 Cenário Ativo'!$B$15*('🔧 Cenário Ativo'!$B$16/1000000*'🎛️ Premissas'!$G$9+'🔧 Cenário Ativo'!$B$17/1000000*'🎛️ Premissas'!$G$10)*(1-'🔧 Cenário Ativo'!$B$13)*'🔧 Cenário Ativo'!$B$10)</f>
        <v>20211.384375000001</v>
      </c>
      <c r="Z14" s="288">
        <f>Z5*'🔧 Cenário Ativo'!$B$18*('🔧 Cenário Ativo'!$B$15*('🔧 Cenário Ativo'!$B$16/1000000*'🎛️ Premissas'!$G$9+'🔧 Cenário Ativo'!$B$17/1000000*'🎛️ Premissas'!$G$10)*(1-'🔧 Cenário Ativo'!$B$13)*'🔧 Cenário Ativo'!$B$10)</f>
        <v>21160.912499999999</v>
      </c>
    </row>
    <row r="15" spans="1:531" ht="19.5" customHeight="1" x14ac:dyDescent="0.2">
      <c r="A15" s="206" t="s">
        <v>201</v>
      </c>
      <c r="B15" s="39" t="s">
        <v>198</v>
      </c>
      <c r="C15" s="3">
        <f>C6*'🔧 Cenário Ativo'!B19*('🔧 Cenário Ativo'!B20/1000000*'🔧 Cenário Ativo'!B11+'🔧 Cenário Ativo'!B21/1000000*'🔧 Cenário Ativo'!B12)*(1-'🔧 Cenário Ativo'!B13)*'🔧 Cenário Ativo'!B10</f>
        <v>1224.0774000000001</v>
      </c>
      <c r="D15" s="3">
        <f>D6*'🔧 Cenário Ativo'!B19*('🔧 Cenário Ativo'!B20/1000000*'🔧 Cenário Ativo'!B11+'🔧 Cenário Ativo'!B21/1000000*'🔧 Cenário Ativo'!B12)*(1-'🔧 Cenário Ativo'!B13)*'🔧 Cenário Ativo'!B10</f>
        <v>2448.1548000000003</v>
      </c>
      <c r="E15" s="3">
        <f>E6*'🔧 Cenário Ativo'!B19*('🔧 Cenário Ativo'!B20/1000000*'🔧 Cenário Ativo'!B11+'🔧 Cenário Ativo'!B21/1000000*'🔧 Cenário Ativo'!B12)*(1-'🔧 Cenário Ativo'!B13)*'🔧 Cenário Ativo'!B10</f>
        <v>3672.2321999999999</v>
      </c>
      <c r="F15" s="3">
        <f>F6*'🔧 Cenário Ativo'!B19*('🔧 Cenário Ativo'!B20/1000000*'🔧 Cenário Ativo'!B11+'🔧 Cenário Ativo'!B21/1000000*'🔧 Cenário Ativo'!B12)*(1-'🔧 Cenário Ativo'!B13)*'🔧 Cenário Ativo'!B10</f>
        <v>4896.3096000000005</v>
      </c>
      <c r="G15" s="3">
        <f>G6*'🔧 Cenário Ativo'!B19*('🔧 Cenário Ativo'!B20/1000000*'🔧 Cenário Ativo'!B11+'🔧 Cenário Ativo'!B21/1000000*'🔧 Cenário Ativo'!B12)*(1-'🔧 Cenário Ativo'!B13)*'🔧 Cenário Ativo'!B10</f>
        <v>6120.3870000000006</v>
      </c>
      <c r="H15" s="3">
        <f>H6*'🔧 Cenário Ativo'!B19*('🔧 Cenário Ativo'!B20/1000000*'🔧 Cenário Ativo'!B11+'🔧 Cenário Ativo'!B21/1000000*'🔧 Cenário Ativo'!B12)*(1-'🔧 Cenário Ativo'!B13)*'🔧 Cenário Ativo'!B10</f>
        <v>7344.4643999999998</v>
      </c>
      <c r="I15" s="3">
        <f>I6*'🔧 Cenário Ativo'!B19*('🔧 Cenário Ativo'!B20/1000000*'🔧 Cenário Ativo'!B11+'🔧 Cenário Ativo'!B21/1000000*'🔧 Cenário Ativo'!B12)*(1-'🔧 Cenário Ativo'!B13)*'🔧 Cenário Ativo'!B10</f>
        <v>8568.5418000000009</v>
      </c>
      <c r="J15" s="3">
        <f>J6*'🔧 Cenário Ativo'!B19*('🔧 Cenário Ativo'!B20/1000000*'🔧 Cenário Ativo'!B11+'🔧 Cenário Ativo'!B21/1000000*'🔧 Cenário Ativo'!B12)*(1-'🔧 Cenário Ativo'!B13)*'🔧 Cenário Ativo'!B10</f>
        <v>9792.619200000001</v>
      </c>
      <c r="K15" s="3">
        <f>K6*'🔧 Cenário Ativo'!B19*('🔧 Cenário Ativo'!B20/1000000*'🔧 Cenário Ativo'!B11+'🔧 Cenário Ativo'!B21/1000000*'🔧 Cenário Ativo'!B12)*(1-'🔧 Cenário Ativo'!B13)*'🔧 Cenário Ativo'!B10</f>
        <v>11016.696600000001</v>
      </c>
      <c r="L15" s="3">
        <f>L6*'🔧 Cenário Ativo'!B19*('🔧 Cenário Ativo'!B20/1000000*'🔧 Cenário Ativo'!B11+'🔧 Cenário Ativo'!B21/1000000*'🔧 Cenário Ativo'!B12)*(1-'🔧 Cenário Ativo'!B13)*'🔧 Cenário Ativo'!B10</f>
        <v>12240.774000000001</v>
      </c>
      <c r="M15" s="3">
        <f>M6*'🔧 Cenário Ativo'!B19*('🔧 Cenário Ativo'!B20/1000000*'🔧 Cenário Ativo'!B11+'🔧 Cenário Ativo'!B21/1000000*'🔧 Cenário Ativo'!B12)*(1-'🔧 Cenário Ativo'!B13)*'🔧 Cenário Ativo'!B10</f>
        <v>13464.851400000001</v>
      </c>
      <c r="N15" s="3">
        <f>N6*'🔧 Cenário Ativo'!B19*('🔧 Cenário Ativo'!B20/1000000*'🔧 Cenário Ativo'!B11+'🔧 Cenário Ativo'!B21/1000000*'🔧 Cenário Ativo'!B12)*(1-'🔧 Cenário Ativo'!B13)*'🔧 Cenário Ativo'!B10</f>
        <v>14688.9288</v>
      </c>
      <c r="O15" s="3">
        <f>O6*'🔧 Cenário Ativo'!B19*('🔧 Cenário Ativo'!B20/1000000*'🔧 Cenário Ativo'!B11+'🔧 Cenário Ativo'!B21/1000000*'🔧 Cenário Ativo'!B12)*(1-'🔧 Cenário Ativo'!B13)*'🔧 Cenário Ativo'!B10</f>
        <v>16117.0191</v>
      </c>
      <c r="P15" s="3">
        <f>P6*'🔧 Cenário Ativo'!B19*('🔧 Cenário Ativo'!B20/1000000*'🔧 Cenário Ativo'!B11+'🔧 Cenário Ativo'!B21/1000000*'🔧 Cenário Ativo'!B12)*(1-'🔧 Cenário Ativo'!B13)*'🔧 Cenário Ativo'!B10</f>
        <v>17545.109400000001</v>
      </c>
      <c r="Q15" s="3">
        <f>Q6*'🔧 Cenário Ativo'!B19*('🔧 Cenário Ativo'!B20/1000000*'🔧 Cenário Ativo'!B11+'🔧 Cenário Ativo'!B21/1000000*'🔧 Cenário Ativo'!B12)*(1-'🔧 Cenário Ativo'!B13)*'🔧 Cenário Ativo'!B10</f>
        <v>18973.199700000001</v>
      </c>
      <c r="R15" s="3">
        <f>R6*'🔧 Cenário Ativo'!B19*('🔧 Cenário Ativo'!B20/1000000*'🔧 Cenário Ativo'!B11+'🔧 Cenário Ativo'!B21/1000000*'🔧 Cenário Ativo'!B12)*(1-'🔧 Cenário Ativo'!B13)*'🔧 Cenário Ativo'!B10</f>
        <v>35772.204780000007</v>
      </c>
      <c r="S15" s="3">
        <f>S6*'🔧 Cenário Ativo'!B19*('🔧 Cenário Ativo'!B20/1000000*'🔧 Cenário Ativo'!B11+'🔧 Cenário Ativo'!B21/1000000*'🔧 Cenário Ativo'!B12)*(1-'🔧 Cenário Ativo'!B13)*'🔧 Cenário Ativo'!B10</f>
        <v>51452.053379999998</v>
      </c>
      <c r="T15" s="3">
        <f>T6*'🔧 Cenário Ativo'!B19*('🔧 Cenário Ativo'!B20/1000000*'🔧 Cenário Ativo'!B11+'🔧 Cenário Ativo'!B21/1000000*'🔧 Cenário Ativo'!B12)*(1-'🔧 Cenário Ativo'!B13)*'🔧 Cenário Ativo'!B10</f>
        <v>66158.469000000012</v>
      </c>
      <c r="U15" s="3">
        <f>U6*'🔧 Cenário Ativo'!B19*('🔧 Cenário Ativo'!B20/1000000*'🔧 Cenário Ativo'!B11+'🔧 Cenário Ativo'!B21/1000000*'🔧 Cenário Ativo'!B12)*(1-'🔧 Cenário Ativo'!B13)*'🔧 Cenário Ativo'!B10</f>
        <v>80002.201499999996</v>
      </c>
      <c r="V15" s="3">
        <f>V6*'🔧 Cenário Ativo'!B19*('🔧 Cenário Ativo'!B20/1000000*'🔧 Cenário Ativo'!B11+'🔧 Cenário Ativo'!B21/1000000*'🔧 Cenário Ativo'!B12)*(1-'🔧 Cenário Ativo'!B13)*'🔧 Cenário Ativo'!B10</f>
        <v>93094.000740000018</v>
      </c>
      <c r="W15" s="3">
        <f>W6*'🔧 Cenário Ativo'!B19*('🔧 Cenário Ativo'!B20/1000000*'🔧 Cenário Ativo'!B11+'🔧 Cenário Ativo'!B21/1000000*'🔧 Cenário Ativo'!B12)*(1-'🔧 Cenário Ativo'!B13)*'🔧 Cenário Ativo'!B10</f>
        <v>105527.12976000003</v>
      </c>
      <c r="X15" s="3">
        <f>X6*'🔧 Cenário Ativo'!B19*('🔧 Cenário Ativo'!B20/1000000*'🔧 Cenário Ativo'!B11+'🔧 Cenário Ativo'!B21/1000000*'🔧 Cenário Ativo'!B12)*(1-'🔧 Cenário Ativo'!B13)*'🔧 Cenário Ativo'!B10</f>
        <v>117377.36478</v>
      </c>
      <c r="Y15" s="3">
        <f>Y6*'🔧 Cenário Ativo'!B19*('🔧 Cenário Ativo'!B20/1000000*'🔧 Cenário Ativo'!B11+'🔧 Cenário Ativo'!B21/1000000*'🔧 Cenário Ativo'!B12)*(1-'🔧 Cenário Ativo'!B13)*'🔧 Cenário Ativo'!B10</f>
        <v>128720.48202000001</v>
      </c>
      <c r="Z15" s="288">
        <f>Z6*'🔧 Cenário Ativo'!B19*('🔧 Cenário Ativo'!B20/1000000*'🔧 Cenário Ativo'!B11+'🔧 Cenário Ativo'!B21/1000000*'🔧 Cenário Ativo'!B12)*(1-'🔧 Cenário Ativo'!B13)*'🔧 Cenário Ativo'!B10</f>
        <v>139620.59982</v>
      </c>
    </row>
    <row r="16" spans="1:531" ht="19.5" customHeight="1" x14ac:dyDescent="0.2">
      <c r="A16" s="206" t="s">
        <v>202</v>
      </c>
      <c r="B16" s="39" t="s">
        <v>198</v>
      </c>
      <c r="C16" s="3">
        <f>C7*('🔧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915.26760000000013</v>
      </c>
      <c r="D16" s="3">
        <f>D7*('🔧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1830.5352000000003</v>
      </c>
      <c r="E16" s="3">
        <f>E7*('🔧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2745.8028000000004</v>
      </c>
      <c r="F16" s="3">
        <f>F7*('🔧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3661.0704000000005</v>
      </c>
      <c r="G16" s="3">
        <f>G7*('🔧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4576.3380000000006</v>
      </c>
      <c r="H16" s="3">
        <f>H7*('🔧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5491.6056000000008</v>
      </c>
      <c r="I16" s="3">
        <f>I7*('🔧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6406.8732000000009</v>
      </c>
      <c r="J16" s="3">
        <f>J7*('🔧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7322.140800000001</v>
      </c>
      <c r="K16" s="3">
        <f>K7*('🔧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8237.4084000000003</v>
      </c>
      <c r="L16" s="3">
        <f>L7*('🔧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9152.6760000000013</v>
      </c>
      <c r="M16" s="3">
        <f>M7*('🔧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10067.943600000001</v>
      </c>
      <c r="N16" s="3">
        <f>N7*('🔧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10983.211200000002</v>
      </c>
      <c r="O16" s="3">
        <f>O7*('🔧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12051.023400000002</v>
      </c>
      <c r="P16" s="3">
        <f>P7*('🔧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13118.835600000002</v>
      </c>
      <c r="Q16" s="3">
        <f>Q7*('🔧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14186.647800000002</v>
      </c>
      <c r="R16" s="3">
        <f>R7*('🔧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14786.656560000001</v>
      </c>
      <c r="S16" s="3">
        <f>S7*('🔧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16159.557960000002</v>
      </c>
      <c r="T16" s="3">
        <f>T7*('🔧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18193.485960000002</v>
      </c>
      <c r="U16" s="3">
        <f>U7*('🔧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20786.744160000002</v>
      </c>
      <c r="V16" s="3">
        <f>V7*('🔧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23857.975440000002</v>
      </c>
      <c r="W16" s="3">
        <f>W7*('🔧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27325.822680000005</v>
      </c>
      <c r="X16" s="3">
        <f>X7*('🔧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31139.437680000003</v>
      </c>
      <c r="Y16" s="3">
        <f>Y7*('🔧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35237.802600000003</v>
      </c>
      <c r="Z16" s="288">
        <f>Z7*('🔧 Cenário Ativo'!B19*('🔧 Cenário Ativo'!B20/1000000*'🔧 Cenário Ativo'!B11+'🔧 Cenário Ativo'!B21/1000000*'🔧 Cenário Ativo'!B12)*(1-'🔧 Cenário Ativo'!B13)*'🔧 Cenário Ativo'!B10+'🔧 Cenário Ativo'!B22*('🔧 Cenário Ativo'!B23/1000000*'🔧 Cenário Ativo'!B11+'🔧 Cenário Ativo'!B24/1000000*'🔧 Cenário Ativo'!B12)*(1-'🔧 Cenário Ativo'!B13)*'🔧 Cenário Ativo'!B10)</f>
        <v>39570.069240000004</v>
      </c>
    </row>
    <row r="17" spans="1:531" ht="19.5" customHeight="1" x14ac:dyDescent="0.2">
      <c r="A17" s="206" t="s">
        <v>203</v>
      </c>
      <c r="B17" s="39" t="s">
        <v>198</v>
      </c>
      <c r="C17" s="3">
        <f>C8*('🔧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398.10420000000005</v>
      </c>
      <c r="D17" s="3">
        <f>D8*('🔧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796.2084000000001</v>
      </c>
      <c r="E17" s="3">
        <f>E8*('🔧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1194.3126000000002</v>
      </c>
      <c r="F17" s="3">
        <f>F8*('🔧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1592.4168000000002</v>
      </c>
      <c r="G17" s="3">
        <f>G8*('🔧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1990.5210000000002</v>
      </c>
      <c r="H17" s="3">
        <f>H8*('🔧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2388.6252000000004</v>
      </c>
      <c r="I17" s="3">
        <f>I8*('🔧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2786.7294000000002</v>
      </c>
      <c r="J17" s="3">
        <f>J8*('🔧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3184.8336000000004</v>
      </c>
      <c r="K17" s="3">
        <f>K8*('🔧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3582.9378000000002</v>
      </c>
      <c r="L17" s="3">
        <f>L8*('🔧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3981.0420000000004</v>
      </c>
      <c r="M17" s="3">
        <f>M8*('🔧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4379.1462000000001</v>
      </c>
      <c r="N17" s="3">
        <f>N8*('🔧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4777.2504000000008</v>
      </c>
      <c r="O17" s="3">
        <f>O8*('🔧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5241.7053000000005</v>
      </c>
      <c r="P17" s="3">
        <f>P8*('🔧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5706.1602000000003</v>
      </c>
      <c r="Q17" s="3">
        <f>Q8*('🔧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6170.6151000000009</v>
      </c>
      <c r="R17" s="3">
        <f>R8*('🔧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6117.5345400000006</v>
      </c>
      <c r="S17" s="3">
        <f>S8*('🔧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6077.7241200000008</v>
      </c>
      <c r="T17" s="3">
        <f>T8*('🔧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6077.7241200000008</v>
      </c>
      <c r="U17" s="3">
        <f>U8*('🔧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6104.2644000000009</v>
      </c>
      <c r="V17" s="3">
        <f>V8*('🔧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6170.6151000000009</v>
      </c>
      <c r="W17" s="3">
        <f>W8*('🔧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6276.7762200000006</v>
      </c>
      <c r="X17" s="3">
        <f>X8*('🔧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6436.0179000000007</v>
      </c>
      <c r="Y17" s="3">
        <f>Y8*('🔧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6635.0700000000006</v>
      </c>
      <c r="Z17" s="288">
        <f>Z8*('🔧 Cenário Ativo'!B19*('🔧 Cenário Ativo'!B20/1000000*'🔧 Cenário Ativo'!B11+'🔧 Cenário Ativo'!B21/1000000*'🔧 Cenário Ativo'!B12)*(1-'🔧 Cenário Ativo'!B13)*'🔧 Cenário Ativo'!B10+'🔧 Cenário Ativo'!B25*('🔧 Cenário Ativo'!B23/1000000*'🔧 Cenário Ativo'!B11+'🔧 Cenário Ativo'!B24/1000000*'🔧 Cenário Ativo'!B12)*(1-'🔧 Cenário Ativo'!B13)*'🔧 Cenário Ativo'!B10)</f>
        <v>6887.2026600000008</v>
      </c>
    </row>
    <row r="18" spans="1:531" ht="19.5" customHeight="1" x14ac:dyDescent="0.2">
      <c r="A18" s="271" t="s">
        <v>204</v>
      </c>
      <c r="B18" s="39" t="s">
        <v>198</v>
      </c>
      <c r="C18" s="4">
        <f t="shared" ref="C18:Z18" si="3">SUM(C14:C17)</f>
        <v>3351.3304500000004</v>
      </c>
      <c r="D18" s="4">
        <f t="shared" si="3"/>
        <v>6702.6609000000008</v>
      </c>
      <c r="E18" s="4">
        <f t="shared" si="3"/>
        <v>10053.99135</v>
      </c>
      <c r="F18" s="4">
        <f t="shared" si="3"/>
        <v>13405.321800000002</v>
      </c>
      <c r="G18" s="4">
        <f t="shared" si="3"/>
        <v>16756.652250000003</v>
      </c>
      <c r="H18" s="4">
        <f t="shared" si="3"/>
        <v>20107.9827</v>
      </c>
      <c r="I18" s="4">
        <f t="shared" si="3"/>
        <v>23459.313150000002</v>
      </c>
      <c r="J18" s="4">
        <f t="shared" si="3"/>
        <v>26810.643600000003</v>
      </c>
      <c r="K18" s="4">
        <f t="shared" si="3"/>
        <v>30161.974050000001</v>
      </c>
      <c r="L18" s="4">
        <f t="shared" si="3"/>
        <v>33513.304500000006</v>
      </c>
      <c r="M18" s="4">
        <f t="shared" si="3"/>
        <v>36864.634950000007</v>
      </c>
      <c r="N18" s="4">
        <f t="shared" si="3"/>
        <v>40215.965400000001</v>
      </c>
      <c r="O18" s="4">
        <f t="shared" si="3"/>
        <v>44125.850925000006</v>
      </c>
      <c r="P18" s="4">
        <f t="shared" si="3"/>
        <v>48035.736449999997</v>
      </c>
      <c r="Q18" s="4">
        <f t="shared" si="3"/>
        <v>51945.621975000009</v>
      </c>
      <c r="R18" s="4">
        <f t="shared" si="3"/>
        <v>70241.083380000011</v>
      </c>
      <c r="S18" s="4">
        <f t="shared" si="3"/>
        <v>88203.551084999999</v>
      </c>
      <c r="T18" s="4">
        <f t="shared" si="3"/>
        <v>105893.42283000001</v>
      </c>
      <c r="U18" s="4">
        <f t="shared" si="3"/>
        <v>123306.481935</v>
      </c>
      <c r="V18" s="4">
        <f t="shared" si="3"/>
        <v>140485.39128000001</v>
      </c>
      <c r="W18" s="4">
        <f t="shared" si="3"/>
        <v>157442.05678500002</v>
      </c>
      <c r="X18" s="4">
        <f t="shared" si="3"/>
        <v>174214.67661000002</v>
      </c>
      <c r="Y18" s="4">
        <f t="shared" si="3"/>
        <v>190804.73899500002</v>
      </c>
      <c r="Z18" s="289">
        <f t="shared" si="3"/>
        <v>207238.78422000003</v>
      </c>
    </row>
    <row r="19" spans="1:531" s="10" customFormat="1" ht="24" customHeight="1" x14ac:dyDescent="0.2">
      <c r="A19" s="274" t="s">
        <v>205</v>
      </c>
      <c r="B19" s="261"/>
      <c r="C19" s="261"/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90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</row>
    <row r="20" spans="1:531" ht="19.5" customHeight="1" x14ac:dyDescent="0.2">
      <c r="A20" s="206" t="s">
        <v>206</v>
      </c>
      <c r="B20" s="39" t="s">
        <v>198</v>
      </c>
      <c r="C20" s="5">
        <f>'🔧 Cenário Ativo'!B36+'🔧 Cenário Ativo'!B38+'🔧 Cenário Ativo'!B40+'🔧 Cenário Ativo'!B42</f>
        <v>55000</v>
      </c>
      <c r="D20" s="5">
        <f>'🔧 Cenário Ativo'!B36+'🔧 Cenário Ativo'!B38+'🔧 Cenário Ativo'!B40+'🔧 Cenário Ativo'!B42</f>
        <v>55000</v>
      </c>
      <c r="E20" s="5">
        <f>'🔧 Cenário Ativo'!B36+'🔧 Cenário Ativo'!B38+'🔧 Cenário Ativo'!B40+'🔧 Cenário Ativo'!B42</f>
        <v>55000</v>
      </c>
      <c r="F20" s="5">
        <f>'🔧 Cenário Ativo'!B36+'🔧 Cenário Ativo'!B38+'🔧 Cenário Ativo'!B40+'🔧 Cenário Ativo'!B42</f>
        <v>55000</v>
      </c>
      <c r="G20" s="5">
        <f>'🔧 Cenário Ativo'!B36+'🔧 Cenário Ativo'!B38+'🔧 Cenário Ativo'!B40+'🔧 Cenário Ativo'!B42</f>
        <v>55000</v>
      </c>
      <c r="H20" s="5">
        <f>'🔧 Cenário Ativo'!B36+'🔧 Cenário Ativo'!B38+'🔧 Cenário Ativo'!B40+'🔧 Cenário Ativo'!B42</f>
        <v>55000</v>
      </c>
      <c r="I20" s="5">
        <f>'🔧 Cenário Ativo'!B36+'🔧 Cenário Ativo'!B38+'🔧 Cenário Ativo'!B40+'🔧 Cenário Ativo'!B42</f>
        <v>55000</v>
      </c>
      <c r="J20" s="5">
        <f>'🔧 Cenário Ativo'!B36+'🔧 Cenário Ativo'!B38+'🔧 Cenário Ativo'!B40+'🔧 Cenário Ativo'!B42</f>
        <v>55000</v>
      </c>
      <c r="K20" s="5">
        <f>'🔧 Cenário Ativo'!B36+'🔧 Cenário Ativo'!B38+'🔧 Cenário Ativo'!B40+'🔧 Cenário Ativo'!B42</f>
        <v>55000</v>
      </c>
      <c r="L20" s="5">
        <f>'🔧 Cenário Ativo'!B36+'🔧 Cenário Ativo'!B38+'🔧 Cenário Ativo'!B40+'🔧 Cenário Ativo'!B42</f>
        <v>55000</v>
      </c>
      <c r="M20" s="5">
        <f>'🔧 Cenário Ativo'!B36+'🔧 Cenário Ativo'!B38+'🔧 Cenário Ativo'!B40+'🔧 Cenário Ativo'!B42</f>
        <v>55000</v>
      </c>
      <c r="N20" s="5">
        <f>'🔧 Cenário Ativo'!B36+'🔧 Cenário Ativo'!B38+'🔧 Cenário Ativo'!B40+'🔧 Cenário Ativo'!B42</f>
        <v>55000</v>
      </c>
      <c r="O20" s="5">
        <f>'🔧 Cenário Ativo'!B37+'🔧 Cenário Ativo'!B39+'🔧 Cenário Ativo'!B41+'🔧 Cenário Ativo'!B42</f>
        <v>70000</v>
      </c>
      <c r="P20" s="5">
        <f>'🔧 Cenário Ativo'!B37+'🔧 Cenário Ativo'!B39+'🔧 Cenário Ativo'!B41+'🔧 Cenário Ativo'!B42</f>
        <v>70000</v>
      </c>
      <c r="Q20" s="5">
        <f>'🔧 Cenário Ativo'!B37+'🔧 Cenário Ativo'!B39+'🔧 Cenário Ativo'!B41+'🔧 Cenário Ativo'!B42</f>
        <v>70000</v>
      </c>
      <c r="R20" s="5">
        <f>'🔧 Cenário Ativo'!B37+'🔧 Cenário Ativo'!B39+'🔧 Cenário Ativo'!B41+'🔧 Cenário Ativo'!B42</f>
        <v>70000</v>
      </c>
      <c r="S20" s="5">
        <f>'🔧 Cenário Ativo'!B37+'🔧 Cenário Ativo'!B39+'🔧 Cenário Ativo'!B41+'🔧 Cenário Ativo'!B42</f>
        <v>70000</v>
      </c>
      <c r="T20" s="5">
        <f>'🔧 Cenário Ativo'!B37+'🔧 Cenário Ativo'!B39+'🔧 Cenário Ativo'!B41+'🔧 Cenário Ativo'!B42</f>
        <v>70000</v>
      </c>
      <c r="U20" s="5">
        <f>'🔧 Cenário Ativo'!B37+'🔧 Cenário Ativo'!B39+'🔧 Cenário Ativo'!B41+'🔧 Cenário Ativo'!B42</f>
        <v>70000</v>
      </c>
      <c r="V20" s="5">
        <f>'🔧 Cenário Ativo'!B37+'🔧 Cenário Ativo'!B39+'🔧 Cenário Ativo'!B41+'🔧 Cenário Ativo'!B42</f>
        <v>70000</v>
      </c>
      <c r="W20" s="5">
        <f>'🔧 Cenário Ativo'!B37+'🔧 Cenário Ativo'!B39+'🔧 Cenário Ativo'!B41+'🔧 Cenário Ativo'!B42</f>
        <v>70000</v>
      </c>
      <c r="X20" s="5">
        <f>'🔧 Cenário Ativo'!B37+'🔧 Cenário Ativo'!B39+'🔧 Cenário Ativo'!B41+'🔧 Cenário Ativo'!B42</f>
        <v>70000</v>
      </c>
      <c r="Y20" s="5">
        <f>'🔧 Cenário Ativo'!B37+'🔧 Cenário Ativo'!B39+'🔧 Cenário Ativo'!B41+'🔧 Cenário Ativo'!B42</f>
        <v>70000</v>
      </c>
      <c r="Z20" s="291">
        <f>'🔧 Cenário Ativo'!B37+'🔧 Cenário Ativo'!B39+'🔧 Cenário Ativo'!B41+'🔧 Cenário Ativo'!B42</f>
        <v>70000</v>
      </c>
    </row>
    <row r="21" spans="1:531" ht="19.5" customHeight="1" x14ac:dyDescent="0.2">
      <c r="A21" s="271" t="s">
        <v>347</v>
      </c>
      <c r="B21" s="262" t="s">
        <v>198</v>
      </c>
      <c r="C21" s="263">
        <f>C11*'🔧 Cenário Ativo'!$B$56</f>
        <v>1940.04</v>
      </c>
      <c r="D21" s="263">
        <f>D11*'🔧 Cenário Ativo'!$B$56</f>
        <v>3880.08</v>
      </c>
      <c r="E21" s="263">
        <f>E11*'🔧 Cenário Ativo'!$B$56</f>
        <v>5820.12</v>
      </c>
      <c r="F21" s="263">
        <f>F11*'🔧 Cenário Ativo'!$B$56</f>
        <v>7760.16</v>
      </c>
      <c r="G21" s="263">
        <f>G11*'🔧 Cenário Ativo'!$B$56</f>
        <v>9700.1999999999989</v>
      </c>
      <c r="H21" s="263">
        <f>H11*'🔧 Cenário Ativo'!$B$56</f>
        <v>11640.24</v>
      </c>
      <c r="I21" s="263">
        <f>I11*'🔧 Cenário Ativo'!$B$56</f>
        <v>13580.279999999999</v>
      </c>
      <c r="J21" s="263">
        <f>J11*'🔧 Cenário Ativo'!$B$56</f>
        <v>15520.32</v>
      </c>
      <c r="K21" s="263">
        <f>K11*'🔧 Cenário Ativo'!$B$56</f>
        <v>17460.36</v>
      </c>
      <c r="L21" s="263">
        <f>L11*'🔧 Cenário Ativo'!$B$56</f>
        <v>19400.399999999998</v>
      </c>
      <c r="M21" s="263">
        <f>M11*'🔧 Cenário Ativo'!$B$56</f>
        <v>21340.44</v>
      </c>
      <c r="N21" s="263">
        <f>N11*'🔧 Cenário Ativo'!$B$56</f>
        <v>23280.48</v>
      </c>
      <c r="O21" s="263">
        <f>O11*'🔧 Cenário Ativo'!$B$56</f>
        <v>25543.86</v>
      </c>
      <c r="P21" s="263">
        <f>P11*'🔧 Cenário Ativo'!$B$56</f>
        <v>27807.239999999998</v>
      </c>
      <c r="Q21" s="263">
        <f>Q11*'🔧 Cenário Ativo'!$B$56</f>
        <v>30070.62</v>
      </c>
      <c r="R21" s="263">
        <f>R11*'🔧 Cenário Ativo'!$B$56</f>
        <v>44255.375999999997</v>
      </c>
      <c r="S21" s="263">
        <f>S11*'🔧 Cenário Ativo'!$B$56</f>
        <v>58076.711999999992</v>
      </c>
      <c r="T21" s="263">
        <f>T11*'🔧 Cenário Ativo'!$B$56</f>
        <v>71594.435999999987</v>
      </c>
      <c r="U21" s="263">
        <f>U11*'🔧 Cenário Ativo'!$B$56</f>
        <v>84818.051999999996</v>
      </c>
      <c r="V21" s="263">
        <f>V11*'🔧 Cenário Ativo'!$B$56</f>
        <v>97790.616000000009</v>
      </c>
      <c r="W21" s="263">
        <f>W11*'🔧 Cenário Ativo'!$B$56</f>
        <v>110531.23199999997</v>
      </c>
      <c r="X21" s="263">
        <f>X11*'🔧 Cenário Ativo'!$B$56</f>
        <v>123075.79199999997</v>
      </c>
      <c r="Y21" s="263">
        <f>Y11*'🔧 Cenário Ativo'!$B$56</f>
        <v>135433.82399999999</v>
      </c>
      <c r="Z21" s="292">
        <f>Z11*'🔧 Cenário Ativo'!$B$56</f>
        <v>147631.644</v>
      </c>
    </row>
    <row r="22" spans="1:531" s="10" customFormat="1" ht="24" customHeight="1" x14ac:dyDescent="0.2">
      <c r="A22" s="275" t="s">
        <v>207</v>
      </c>
      <c r="B22" s="264"/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  <c r="U22" s="264"/>
      <c r="V22" s="264"/>
      <c r="W22" s="264"/>
      <c r="X22" s="264"/>
      <c r="Y22" s="264"/>
      <c r="Z22" s="293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</row>
    <row r="23" spans="1:531" ht="19.5" customHeight="1" x14ac:dyDescent="0.2">
      <c r="A23" s="206" t="s">
        <v>340</v>
      </c>
      <c r="B23" s="39" t="s">
        <v>198</v>
      </c>
      <c r="C23" s="13">
        <f>C18+C20+C21</f>
        <v>60291.370450000002</v>
      </c>
      <c r="D23" s="13">
        <f t="shared" ref="D23:Z23" si="4">D18+D20+D21</f>
        <v>65582.740900000004</v>
      </c>
      <c r="E23" s="13">
        <f t="shared" si="4"/>
        <v>70874.111349999992</v>
      </c>
      <c r="F23" s="13">
        <f t="shared" si="4"/>
        <v>76165.481800000009</v>
      </c>
      <c r="G23" s="13">
        <f t="shared" si="4"/>
        <v>81456.852249999996</v>
      </c>
      <c r="H23" s="13">
        <f t="shared" si="4"/>
        <v>86748.222699999998</v>
      </c>
      <c r="I23" s="13">
        <f t="shared" si="4"/>
        <v>92039.593150000001</v>
      </c>
      <c r="J23" s="13">
        <f t="shared" si="4"/>
        <v>97330.963600000017</v>
      </c>
      <c r="K23" s="13">
        <f t="shared" si="4"/>
        <v>102622.33405</v>
      </c>
      <c r="L23" s="13">
        <f t="shared" si="4"/>
        <v>107913.70449999999</v>
      </c>
      <c r="M23" s="13">
        <f t="shared" si="4"/>
        <v>113205.07495000001</v>
      </c>
      <c r="N23" s="13">
        <f t="shared" si="4"/>
        <v>118496.4454</v>
      </c>
      <c r="O23" s="13">
        <f t="shared" si="4"/>
        <v>139669.71092500002</v>
      </c>
      <c r="P23" s="13">
        <f t="shared" si="4"/>
        <v>145842.97644999999</v>
      </c>
      <c r="Q23" s="13">
        <f t="shared" si="4"/>
        <v>152016.24197500001</v>
      </c>
      <c r="R23" s="13">
        <f t="shared" si="4"/>
        <v>184496.45938000001</v>
      </c>
      <c r="S23" s="13">
        <f t="shared" si="4"/>
        <v>216280.26308499998</v>
      </c>
      <c r="T23" s="13">
        <f t="shared" si="4"/>
        <v>247487.85882999998</v>
      </c>
      <c r="U23" s="13">
        <f t="shared" si="4"/>
        <v>278124.53393499996</v>
      </c>
      <c r="V23" s="13">
        <f t="shared" si="4"/>
        <v>308276.00728000002</v>
      </c>
      <c r="W23" s="13">
        <f t="shared" si="4"/>
        <v>337973.28878499998</v>
      </c>
      <c r="X23" s="13">
        <f t="shared" si="4"/>
        <v>367290.46860999998</v>
      </c>
      <c r="Y23" s="13">
        <f t="shared" si="4"/>
        <v>396238.56299500004</v>
      </c>
      <c r="Z23" s="294">
        <f t="shared" si="4"/>
        <v>424870.42822</v>
      </c>
    </row>
    <row r="24" spans="1:531" ht="19.5" customHeight="1" x14ac:dyDescent="0.2">
      <c r="A24" s="276" t="s">
        <v>208</v>
      </c>
      <c r="B24" s="171" t="s">
        <v>198</v>
      </c>
      <c r="C24" s="172">
        <f t="shared" ref="C24:Z24" si="5">C11-C23</f>
        <v>-44124.370450000002</v>
      </c>
      <c r="D24" s="172">
        <f t="shared" si="5"/>
        <v>-33248.740900000004</v>
      </c>
      <c r="E24" s="172">
        <f t="shared" si="5"/>
        <v>-22373.111349999992</v>
      </c>
      <c r="F24" s="172">
        <f t="shared" si="5"/>
        <v>-11497.481800000009</v>
      </c>
      <c r="G24" s="172">
        <f t="shared" si="5"/>
        <v>-621.85224999999627</v>
      </c>
      <c r="H24" s="172">
        <f t="shared" si="5"/>
        <v>10253.777300000002</v>
      </c>
      <c r="I24" s="172">
        <f t="shared" si="5"/>
        <v>21129.406849999999</v>
      </c>
      <c r="J24" s="172">
        <f t="shared" si="5"/>
        <v>32005.036399999983</v>
      </c>
      <c r="K24" s="172">
        <f t="shared" si="5"/>
        <v>42880.665949999995</v>
      </c>
      <c r="L24" s="172">
        <f t="shared" si="5"/>
        <v>53756.295500000007</v>
      </c>
      <c r="M24" s="172">
        <f t="shared" si="5"/>
        <v>64631.925049999991</v>
      </c>
      <c r="N24" s="172">
        <f t="shared" si="5"/>
        <v>75507.554600000003</v>
      </c>
      <c r="O24" s="172">
        <f t="shared" si="5"/>
        <v>73195.789074999979</v>
      </c>
      <c r="P24" s="172">
        <f t="shared" si="5"/>
        <v>85884.023550000013</v>
      </c>
      <c r="Q24" s="172">
        <f t="shared" si="5"/>
        <v>98572.258024999988</v>
      </c>
      <c r="R24" s="172">
        <f t="shared" si="5"/>
        <v>184298.34061999997</v>
      </c>
      <c r="S24" s="172">
        <f t="shared" si="5"/>
        <v>267692.33691499999</v>
      </c>
      <c r="T24" s="172">
        <f t="shared" si="5"/>
        <v>349132.44116999995</v>
      </c>
      <c r="U24" s="172">
        <f t="shared" si="5"/>
        <v>428692.56606500002</v>
      </c>
      <c r="V24" s="172">
        <f t="shared" si="5"/>
        <v>506645.79272000003</v>
      </c>
      <c r="W24" s="172">
        <f t="shared" si="5"/>
        <v>583120.31121499988</v>
      </c>
      <c r="X24" s="172">
        <f t="shared" si="5"/>
        <v>658341.13138999988</v>
      </c>
      <c r="Y24" s="172">
        <f t="shared" si="5"/>
        <v>732376.63700499991</v>
      </c>
      <c r="Z24" s="295">
        <f t="shared" si="5"/>
        <v>805393.27177999995</v>
      </c>
    </row>
    <row r="25" spans="1:531" ht="19.5" customHeight="1" x14ac:dyDescent="0.2">
      <c r="A25" s="276" t="s">
        <v>356</v>
      </c>
      <c r="B25" s="173" t="s">
        <v>198</v>
      </c>
      <c r="C25" s="172">
        <f>C24</f>
        <v>-44124.370450000002</v>
      </c>
      <c r="D25" s="172">
        <f t="shared" ref="D25:Z25" si="6">C25+D24</f>
        <v>-77373.111350000006</v>
      </c>
      <c r="E25" s="172">
        <f t="shared" si="6"/>
        <v>-99746.222699999998</v>
      </c>
      <c r="F25" s="172">
        <f t="shared" si="6"/>
        <v>-111243.70450000001</v>
      </c>
      <c r="G25" s="172">
        <f t="shared" si="6"/>
        <v>-111865.55675</v>
      </c>
      <c r="H25" s="172">
        <f t="shared" si="6"/>
        <v>-101611.77945</v>
      </c>
      <c r="I25" s="172">
        <f t="shared" si="6"/>
        <v>-80482.372600000002</v>
      </c>
      <c r="J25" s="172">
        <f t="shared" si="6"/>
        <v>-48477.33620000002</v>
      </c>
      <c r="K25" s="172">
        <f t="shared" si="6"/>
        <v>-5596.6702500000247</v>
      </c>
      <c r="L25" s="172">
        <f t="shared" si="6"/>
        <v>48159.625249999983</v>
      </c>
      <c r="M25" s="172">
        <f t="shared" si="6"/>
        <v>112791.55029999997</v>
      </c>
      <c r="N25" s="172">
        <f t="shared" si="6"/>
        <v>188299.10489999998</v>
      </c>
      <c r="O25" s="172">
        <f t="shared" si="6"/>
        <v>261494.89397499996</v>
      </c>
      <c r="P25" s="172">
        <f t="shared" si="6"/>
        <v>347378.91752499994</v>
      </c>
      <c r="Q25" s="172">
        <f t="shared" si="6"/>
        <v>445951.17554999993</v>
      </c>
      <c r="R25" s="172">
        <f t="shared" si="6"/>
        <v>630249.51616999996</v>
      </c>
      <c r="S25" s="172">
        <f t="shared" si="6"/>
        <v>897941.85308499995</v>
      </c>
      <c r="T25" s="172">
        <f t="shared" si="6"/>
        <v>1247074.2942549998</v>
      </c>
      <c r="U25" s="172">
        <f t="shared" si="6"/>
        <v>1675766.86032</v>
      </c>
      <c r="V25" s="172">
        <f t="shared" si="6"/>
        <v>2182412.6530400002</v>
      </c>
      <c r="W25" s="172">
        <f t="shared" si="6"/>
        <v>2765532.964255</v>
      </c>
      <c r="X25" s="172">
        <f t="shared" si="6"/>
        <v>3423874.0956449998</v>
      </c>
      <c r="Y25" s="172">
        <f t="shared" si="6"/>
        <v>4156250.7326499997</v>
      </c>
      <c r="Z25" s="295">
        <f t="shared" si="6"/>
        <v>4961644.0044299997</v>
      </c>
    </row>
    <row r="26" spans="1:531" ht="19.5" customHeight="1" thickBot="1" x14ac:dyDescent="0.25">
      <c r="A26" s="277" t="s">
        <v>209</v>
      </c>
      <c r="B26" s="265" t="s">
        <v>210</v>
      </c>
      <c r="C26" s="266">
        <f t="shared" ref="C26:Z26" si="7">IF(C11=0,0,1-C18/C11)</f>
        <v>0.79270548339209501</v>
      </c>
      <c r="D26" s="266">
        <f t="shared" si="7"/>
        <v>0.79270548339209501</v>
      </c>
      <c r="E26" s="266">
        <f t="shared" si="7"/>
        <v>0.79270548339209501</v>
      </c>
      <c r="F26" s="266">
        <f t="shared" si="7"/>
        <v>0.79270548339209501</v>
      </c>
      <c r="G26" s="266">
        <f t="shared" si="7"/>
        <v>0.79270548339209501</v>
      </c>
      <c r="H26" s="266">
        <f t="shared" si="7"/>
        <v>0.79270548339209501</v>
      </c>
      <c r="I26" s="266">
        <f t="shared" si="7"/>
        <v>0.79270548339209501</v>
      </c>
      <c r="J26" s="266">
        <f t="shared" si="7"/>
        <v>0.79270548339209501</v>
      </c>
      <c r="K26" s="266">
        <f t="shared" si="7"/>
        <v>0.79270548339209501</v>
      </c>
      <c r="L26" s="266">
        <f t="shared" si="7"/>
        <v>0.79270548339209501</v>
      </c>
      <c r="M26" s="266">
        <f t="shared" si="7"/>
        <v>0.79270548339209501</v>
      </c>
      <c r="N26" s="266">
        <f t="shared" si="7"/>
        <v>0.79270548339209501</v>
      </c>
      <c r="O26" s="266">
        <f t="shared" si="7"/>
        <v>0.79270548339209501</v>
      </c>
      <c r="P26" s="266">
        <f t="shared" si="7"/>
        <v>0.79270548339209501</v>
      </c>
      <c r="Q26" s="266">
        <f t="shared" si="7"/>
        <v>0.79270548339209501</v>
      </c>
      <c r="R26" s="266">
        <f t="shared" si="7"/>
        <v>0.8095388455043292</v>
      </c>
      <c r="S26" s="266">
        <f t="shared" si="7"/>
        <v>0.81775094068341891</v>
      </c>
      <c r="T26" s="266">
        <f t="shared" si="7"/>
        <v>0.82251119710475817</v>
      </c>
      <c r="U26" s="266">
        <f t="shared" si="7"/>
        <v>0.8255468325044768</v>
      </c>
      <c r="V26" s="266">
        <f t="shared" si="7"/>
        <v>0.82760874567351128</v>
      </c>
      <c r="W26" s="266">
        <f t="shared" si="7"/>
        <v>0.82907051271987986</v>
      </c>
      <c r="X26" s="266">
        <f t="shared" si="7"/>
        <v>0.83013912928384803</v>
      </c>
      <c r="Y26" s="266">
        <f t="shared" si="7"/>
        <v>0.83093906674746187</v>
      </c>
      <c r="Z26" s="296">
        <f t="shared" si="7"/>
        <v>0.83154929774811692</v>
      </c>
    </row>
  </sheetData>
  <mergeCells count="6">
    <mergeCell ref="A19:Z19"/>
    <mergeCell ref="A22:Z22"/>
    <mergeCell ref="A2:B2"/>
    <mergeCell ref="A4:Z4"/>
    <mergeCell ref="A10:Z10"/>
    <mergeCell ref="A13:Z1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9"/>
  <sheetViews>
    <sheetView showGridLines="0" zoomScale="150" zoomScaleNormal="150" workbookViewId="0">
      <selection activeCell="F32" sqref="F32"/>
    </sheetView>
  </sheetViews>
  <sheetFormatPr baseColWidth="10" defaultColWidth="8.6640625" defaultRowHeight="15" outlineLevelRow="2" x14ac:dyDescent="0.2"/>
  <cols>
    <col min="1" max="1" width="32.6640625" customWidth="1"/>
    <col min="2" max="2" width="15" customWidth="1"/>
    <col min="3" max="3" width="17.83203125" customWidth="1"/>
    <col min="4" max="4" width="17.1640625" customWidth="1"/>
    <col min="5" max="5" width="19.83203125" customWidth="1"/>
  </cols>
  <sheetData>
    <row r="1" spans="1:26" ht="39.75" customHeight="1" x14ac:dyDescent="0.2">
      <c r="A1" s="231" t="s">
        <v>211</v>
      </c>
      <c r="B1" s="225"/>
      <c r="C1" s="225"/>
      <c r="D1" s="225"/>
      <c r="E1" s="226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15" customHeight="1" x14ac:dyDescent="0.2">
      <c r="A2" s="300" t="s">
        <v>351</v>
      </c>
      <c r="B2" s="297"/>
      <c r="C2" s="297"/>
      <c r="D2" s="297"/>
      <c r="E2" s="50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25.5" customHeight="1" x14ac:dyDescent="0.2">
      <c r="A3" s="301" t="s">
        <v>359</v>
      </c>
      <c r="B3" s="139" t="s">
        <v>3</v>
      </c>
      <c r="C3" s="118" t="s">
        <v>4</v>
      </c>
      <c r="D3" s="118" t="s">
        <v>5</v>
      </c>
      <c r="E3" s="174" t="s">
        <v>360</v>
      </c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24" customHeight="1" x14ac:dyDescent="0.2">
      <c r="A4" s="205" t="s">
        <v>212</v>
      </c>
      <c r="B4" s="187"/>
      <c r="C4" s="187"/>
      <c r="D4" s="187"/>
      <c r="E4" s="119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21.75" customHeight="1" x14ac:dyDescent="0.2">
      <c r="A5" s="206" t="s">
        <v>6</v>
      </c>
      <c r="B5" s="15">
        <f>'🎛️ Premissas'!B45</f>
        <v>80</v>
      </c>
      <c r="C5" s="175">
        <f>'🎛️ Premissas'!C45</f>
        <v>60</v>
      </c>
      <c r="D5" s="140">
        <f>'🎛️ Premissas'!D45</f>
        <v>50</v>
      </c>
      <c r="E5" s="40" t="s">
        <v>213</v>
      </c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21.75" customHeight="1" x14ac:dyDescent="0.2">
      <c r="A6" s="206" t="s">
        <v>139</v>
      </c>
      <c r="B6" s="16">
        <f>'🎛️ Premissas'!B33</f>
        <v>0.08</v>
      </c>
      <c r="C6" s="176">
        <f>'🎛️ Premissas'!C33</f>
        <v>0.08</v>
      </c>
      <c r="D6" s="141">
        <f>'🎛️ Premissas'!D33</f>
        <v>0.08</v>
      </c>
      <c r="E6" s="40" t="s">
        <v>214</v>
      </c>
      <c r="F6" s="56"/>
      <c r="G6" s="56"/>
      <c r="H6" s="298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21.75" customHeight="1" x14ac:dyDescent="0.2">
      <c r="A7" s="206" t="s">
        <v>215</v>
      </c>
      <c r="B7" s="16">
        <f>1-(1-'🎛️ Premissas'!B33)^12</f>
        <v>0.63233361234511754</v>
      </c>
      <c r="C7" s="176">
        <f>1-(1-'🎛️ Premissas'!C33)^12</f>
        <v>0.63233361234511754</v>
      </c>
      <c r="D7" s="141">
        <f>1-(1-'🎛️ Premissas'!D33)^12</f>
        <v>0.63233361234511754</v>
      </c>
      <c r="E7" s="40" t="s">
        <v>216</v>
      </c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21.75" customHeight="1" x14ac:dyDescent="0.2">
      <c r="A8" s="206" t="s">
        <v>374</v>
      </c>
      <c r="B8" s="17">
        <f>'🎛️ Premissas'!B49</f>
        <v>3</v>
      </c>
      <c r="C8" s="177">
        <f>'🎛️ Premissas'!C49</f>
        <v>5</v>
      </c>
      <c r="D8" s="142">
        <f>'🎛️ Premissas'!D49</f>
        <v>7</v>
      </c>
      <c r="E8" s="40" t="s">
        <v>217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21.75" customHeight="1" x14ac:dyDescent="0.2">
      <c r="A9" s="206" t="s">
        <v>218</v>
      </c>
      <c r="B9" s="16">
        <f>'🎛️ Premissas'!B17</f>
        <v>0.5</v>
      </c>
      <c r="C9" s="176">
        <f>'🎛️ Premissas'!C17</f>
        <v>0.5</v>
      </c>
      <c r="D9" s="141">
        <f>'🎛️ Premissas'!D17</f>
        <v>0.5</v>
      </c>
      <c r="E9" s="40" t="s">
        <v>219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21.75" customHeight="1" x14ac:dyDescent="0.2">
      <c r="A10" s="206" t="s">
        <v>220</v>
      </c>
      <c r="B10" s="16">
        <f>'🎛️ Premissas'!B30</f>
        <v>7.0000000000000007E-2</v>
      </c>
      <c r="C10" s="176">
        <f>'🎛️ Premissas'!C30</f>
        <v>0.08</v>
      </c>
      <c r="D10" s="141">
        <f>'🎛️ Premissas'!D30</f>
        <v>0.1</v>
      </c>
      <c r="E10" s="40" t="s">
        <v>221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24" customHeight="1" x14ac:dyDescent="0.2">
      <c r="A11" s="205" t="s">
        <v>222</v>
      </c>
      <c r="B11" s="187"/>
      <c r="C11" s="187"/>
      <c r="D11" s="187"/>
      <c r="E11" s="119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21.75" customHeight="1" x14ac:dyDescent="0.2">
      <c r="A12" s="206" t="s">
        <v>223</v>
      </c>
      <c r="B12" s="18">
        <f>('🎛️ Premissas'!B18*('🎛️ Premissas'!B19/1000000*'🎛️ Premissas'!B10+'🎛️ Premissas'!B20/1000000*'🎛️ Premissas'!B11)*(1-'🎛️ Premissas'!B12)*'🎛️ Premissas'!B9)</f>
        <v>5.8289400000000002</v>
      </c>
      <c r="C12" s="178">
        <f>('🎛️ Premissas'!C18*('🎛️ Premissas'!C19/1000000*'🎛️ Premissas'!C10+'🎛️ Premissas'!C20/1000000*'🎛️ Premissas'!C11)*(1-'🎛️ Premissas'!C12)*'🎛️ Premissas'!C9)</f>
        <v>6.5444400000000007</v>
      </c>
      <c r="D12" s="143">
        <f>('🎛️ Premissas'!D18*('🎛️ Premissas'!D19/1000000*'🎛️ Premissas'!D10+'🎛️ Premissas'!D20/1000000*'🎛️ Premissas'!D11)*(1-'🎛️ Premissas'!D12)*'🎛️ Premissas'!D9)</f>
        <v>8.3427300000000013</v>
      </c>
      <c r="E12" s="40" t="s">
        <v>224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21.75" customHeight="1" x14ac:dyDescent="0.2">
      <c r="A13" s="206" t="s">
        <v>225</v>
      </c>
      <c r="B13" s="18">
        <f>('🎛️ Premissas'!B5-('🎛️ Premissas'!B18*('🎛️ Premissas'!B19/1000000*'🎛️ Premissas'!B10+'🎛️ Premissas'!B20/1000000*'🎛️ Premissas'!B11)*(1-'🎛️ Premissas'!B12)*'🎛️ Premissas'!B9))</f>
        <v>34.071059999999996</v>
      </c>
      <c r="C13" s="178">
        <f>('🎛️ Premissas'!C5-('🎛️ Premissas'!C18*('🎛️ Premissas'!C19/1000000*'🎛️ Premissas'!C10+'🎛️ Premissas'!C20/1000000*'🎛️ Premissas'!C11)*(1-'🎛️ Premissas'!C12)*'🎛️ Premissas'!C9))</f>
        <v>43.355559999999997</v>
      </c>
      <c r="D13" s="143">
        <f>('🎛️ Premissas'!D5-('🎛️ Premissas'!D18*('🎛️ Premissas'!D19/1000000*'🎛️ Premissas'!D10+'🎛️ Premissas'!D20/1000000*'🎛️ Premissas'!D11)*(1-'🎛️ Premissas'!D12)*'🎛️ Premissas'!D9))</f>
        <v>41.557269999999995</v>
      </c>
      <c r="E13" s="40" t="s">
        <v>226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21.75" customHeight="1" x14ac:dyDescent="0.2">
      <c r="A14" s="206" t="s">
        <v>7</v>
      </c>
      <c r="B14" s="19">
        <f>1/'🎛️ Premissas'!B33</f>
        <v>12.5</v>
      </c>
      <c r="C14" s="179">
        <f>1/'🎛️ Premissas'!C33</f>
        <v>12.5</v>
      </c>
      <c r="D14" s="144">
        <f>1/'🎛️ Premissas'!D33</f>
        <v>12.5</v>
      </c>
      <c r="E14" s="40" t="s">
        <v>227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21.75" customHeight="1" x14ac:dyDescent="0.2">
      <c r="A15" s="206" t="s">
        <v>9</v>
      </c>
      <c r="B15" s="15">
        <f>B13*B14</f>
        <v>425.88824999999997</v>
      </c>
      <c r="C15" s="175">
        <f>C13*C14</f>
        <v>541.94449999999995</v>
      </c>
      <c r="D15" s="140">
        <f>D13*D14</f>
        <v>519.46587499999998</v>
      </c>
      <c r="E15" s="40" t="s">
        <v>228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21.75" customHeight="1" x14ac:dyDescent="0.2">
      <c r="A16" s="206" t="s">
        <v>11</v>
      </c>
      <c r="B16" s="20">
        <f>IFERROR(B15/B5,0)</f>
        <v>5.323603125</v>
      </c>
      <c r="C16" s="180">
        <f>IFERROR(C15/C5,0)</f>
        <v>9.0324083333333327</v>
      </c>
      <c r="D16" s="145">
        <f>IFERROR(D15/D5,0)</f>
        <v>10.389317499999999</v>
      </c>
      <c r="E16" s="40" t="s">
        <v>12</v>
      </c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1.75" customHeight="1" x14ac:dyDescent="0.2">
      <c r="A17" s="206" t="s">
        <v>13</v>
      </c>
      <c r="B17" s="21">
        <f>IFERROR(B5/B13,0)</f>
        <v>2.3480337858581448</v>
      </c>
      <c r="C17" s="181">
        <f>IFERROR(C5/C13,0)</f>
        <v>1.3839055475237778</v>
      </c>
      <c r="D17" s="146">
        <f>IFERROR(D5/D13,0)</f>
        <v>1.2031589178018673</v>
      </c>
      <c r="E17" s="40" t="s">
        <v>229</v>
      </c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24" customHeight="1" x14ac:dyDescent="0.2">
      <c r="A18" s="205" t="s">
        <v>372</v>
      </c>
      <c r="B18" s="187"/>
      <c r="C18" s="187"/>
      <c r="D18" s="187"/>
      <c r="E18" s="119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21.75" customHeight="1" x14ac:dyDescent="0.2">
      <c r="A19" s="206" t="s">
        <v>332</v>
      </c>
      <c r="B19" s="15">
        <f>SUM(B56:Y56)</f>
        <v>9232937.6999999993</v>
      </c>
      <c r="C19" s="175">
        <f>SUM(B68:Y68)</f>
        <v>15008943.799999999</v>
      </c>
      <c r="D19" s="140">
        <f>SUM(B80:Y80)</f>
        <v>21246510.800000001</v>
      </c>
      <c r="E19" s="40" t="s">
        <v>333</v>
      </c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21.75" customHeight="1" x14ac:dyDescent="0.2">
      <c r="A20" s="206" t="s">
        <v>230</v>
      </c>
      <c r="B20" s="17">
        <f>'🎛️ Premissas'!B49</f>
        <v>3</v>
      </c>
      <c r="C20" s="177">
        <f>'🎛️ Premissas'!C49</f>
        <v>5</v>
      </c>
      <c r="D20" s="142">
        <f>'🎛️ Premissas'!D49</f>
        <v>7</v>
      </c>
      <c r="E20" s="40" t="s">
        <v>334</v>
      </c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21.75" customHeight="1" x14ac:dyDescent="0.2">
      <c r="A21" s="206" t="s">
        <v>278</v>
      </c>
      <c r="B21" s="22">
        <f>B19*B20</f>
        <v>27698813.099999998</v>
      </c>
      <c r="C21" s="175">
        <f>C19*C20</f>
        <v>75044719</v>
      </c>
      <c r="D21" s="147">
        <f>D19*D20</f>
        <v>148725575.59999999</v>
      </c>
      <c r="E21" s="40" t="s">
        <v>198</v>
      </c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21.75" customHeight="1" x14ac:dyDescent="0.2">
      <c r="A22" s="206" t="s">
        <v>311</v>
      </c>
      <c r="B22" s="15">
        <f>B21*'🎛️ Premissas'!$B$56</f>
        <v>4154821.9649999994</v>
      </c>
      <c r="C22" s="175">
        <f>C21*'🎛️ Premissas'!$B$56</f>
        <v>11256707.85</v>
      </c>
      <c r="D22" s="140">
        <f>D21*'🎛️ Premissas'!$B$56</f>
        <v>22308836.34</v>
      </c>
      <c r="E22" s="40" t="s">
        <v>198</v>
      </c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21.75" customHeight="1" x14ac:dyDescent="0.2">
      <c r="A23" s="206" t="s">
        <v>312</v>
      </c>
      <c r="B23" s="23">
        <f>B22/'🎛️ Premissas'!$B$55</f>
        <v>4.1548219649999991</v>
      </c>
      <c r="C23" s="180">
        <f>C22/'🎛️ Premissas'!$B$55</f>
        <v>11.25670785</v>
      </c>
      <c r="D23" s="148">
        <f>D22/'🎛️ Premissas'!$B$55</f>
        <v>22.308836339999999</v>
      </c>
      <c r="E23" s="40" t="s">
        <v>313</v>
      </c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24" customHeight="1" x14ac:dyDescent="0.2">
      <c r="A24" s="205" t="s">
        <v>231</v>
      </c>
      <c r="B24" s="187"/>
      <c r="C24" s="187"/>
      <c r="D24" s="187"/>
      <c r="E24" s="119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21.75" customHeight="1" x14ac:dyDescent="0.2">
      <c r="A25" s="206" t="s">
        <v>232</v>
      </c>
      <c r="B25" s="24">
        <f>M56</f>
        <v>194004</v>
      </c>
      <c r="C25" s="182">
        <f>M68</f>
        <v>331419</v>
      </c>
      <c r="D25" s="149">
        <f>M80</f>
        <v>495004</v>
      </c>
      <c r="E25" s="40" t="s">
        <v>226</v>
      </c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21.75" customHeight="1" x14ac:dyDescent="0.2">
      <c r="A26" s="206" t="s">
        <v>233</v>
      </c>
      <c r="B26" s="24">
        <f>M56*12</f>
        <v>2328048</v>
      </c>
      <c r="C26" s="182">
        <f>M68*12</f>
        <v>3977028</v>
      </c>
      <c r="D26" s="149">
        <f>M80*12</f>
        <v>5940048</v>
      </c>
      <c r="E26" s="40" t="s">
        <v>234</v>
      </c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21.75" customHeight="1" x14ac:dyDescent="0.2">
      <c r="A27" s="206" t="s">
        <v>235</v>
      </c>
      <c r="B27" s="24">
        <f>SUM(B60:M60)</f>
        <v>179205.95850000001</v>
      </c>
      <c r="C27" s="182">
        <f>SUM(B72:M72)</f>
        <v>704970.97379999992</v>
      </c>
      <c r="D27" s="149">
        <f>SUM(B84:M84)</f>
        <v>1133888.2649999999</v>
      </c>
      <c r="E27" s="40" t="s">
        <v>198</v>
      </c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21.75" customHeight="1" x14ac:dyDescent="0.2">
      <c r="A28" s="206" t="s">
        <v>0</v>
      </c>
      <c r="B28" s="25">
        <f>M55</f>
        <v>3960</v>
      </c>
      <c r="C28" s="183">
        <f>M67</f>
        <v>5810</v>
      </c>
      <c r="D28" s="150">
        <f>M79</f>
        <v>8460</v>
      </c>
      <c r="E28" s="40" t="s">
        <v>236</v>
      </c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24" customHeight="1" x14ac:dyDescent="0.2">
      <c r="A29" s="205" t="s">
        <v>237</v>
      </c>
      <c r="B29" s="187"/>
      <c r="C29" s="187"/>
      <c r="D29" s="187"/>
      <c r="E29" s="119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21.75" customHeight="1" x14ac:dyDescent="0.2">
      <c r="A30" s="206" t="s">
        <v>238</v>
      </c>
      <c r="B30" s="24">
        <f>Y56</f>
        <v>1230263.7</v>
      </c>
      <c r="C30" s="182">
        <f>Y68</f>
        <v>1949301</v>
      </c>
      <c r="D30" s="149">
        <f>Y80</f>
        <v>2679324.5</v>
      </c>
      <c r="E30" s="40" t="s">
        <v>226</v>
      </c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21.75" customHeight="1" x14ac:dyDescent="0.2">
      <c r="A31" s="206" t="s">
        <v>239</v>
      </c>
      <c r="B31" s="24">
        <f>Y56*12</f>
        <v>14763164.399999999</v>
      </c>
      <c r="C31" s="182">
        <f>Y68*12</f>
        <v>23391612</v>
      </c>
      <c r="D31" s="149">
        <f>Y80*12</f>
        <v>32151894</v>
      </c>
      <c r="E31" s="40" t="s">
        <v>234</v>
      </c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21.75" customHeight="1" x14ac:dyDescent="0.2">
      <c r="A32" s="206" t="s">
        <v>235</v>
      </c>
      <c r="B32" s="24">
        <f>SUM(N60:Y60)</f>
        <v>4742484.5481899995</v>
      </c>
      <c r="C32" s="182">
        <f>SUM(N72:Y72)</f>
        <v>8208038.293519998</v>
      </c>
      <c r="D32" s="149">
        <f>SUM(N84:Y84)</f>
        <v>10683890.650849998</v>
      </c>
      <c r="E32" s="40" t="s">
        <v>198</v>
      </c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21.75" customHeight="1" x14ac:dyDescent="0.2">
      <c r="A33" s="206" t="s">
        <v>1</v>
      </c>
      <c r="B33" s="25">
        <f>Y55</f>
        <v>28363</v>
      </c>
      <c r="C33" s="183">
        <f>Y67</f>
        <v>37090</v>
      </c>
      <c r="D33" s="150">
        <f>Y79</f>
        <v>49885</v>
      </c>
      <c r="E33" s="40" t="s">
        <v>236</v>
      </c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5" customHeight="1" x14ac:dyDescent="0.2">
      <c r="A34" s="205" t="s">
        <v>367</v>
      </c>
      <c r="B34" s="187"/>
      <c r="C34" s="187"/>
      <c r="D34" s="187"/>
      <c r="E34" s="119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x14ac:dyDescent="0.2">
      <c r="A35" s="206" t="s">
        <v>290</v>
      </c>
      <c r="B35" s="24">
        <f>-'🎛️ Premissas'!$B$55+NPV('🎛️ Premissas'!$B$66,C86:Z86)</f>
        <v>2419821.95829436</v>
      </c>
      <c r="C35" s="182">
        <f>-'🎛️ Premissas'!$B$55+NPV('🎛️ Premissas'!$B$66,C87:Z87)</f>
        <v>5288430.23445193</v>
      </c>
      <c r="D35" s="149">
        <f>-'🎛️ Premissas'!$B$55+NPV('🎛️ Premissas'!$B$66,C88:Z88)</f>
        <v>7387811.6488117641</v>
      </c>
      <c r="E35" s="40" t="s">
        <v>364</v>
      </c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6" customHeight="1" x14ac:dyDescent="0.2">
      <c r="A36" s="206" t="s">
        <v>365</v>
      </c>
      <c r="B36" s="16">
        <f>IFERROR((1+IRR(B86:Z86,'🎛️ Premissas'!$B$66))^12-1,"n/a")</f>
        <v>1.5618339864940425</v>
      </c>
      <c r="C36" s="176">
        <f>IFERROR((1+IRR(B87:Z87,'🎛️ Premissas'!$B$66))^12-1,"n/a")</f>
        <v>3.0554597508126369</v>
      </c>
      <c r="D36" s="141">
        <f>IFERROR((1+IRR(B88:Z88,'🎛️ Premissas'!$B$66))^12-1,"n/a")</f>
        <v>4.1864213670424411</v>
      </c>
      <c r="E36" s="40" t="s">
        <v>366</v>
      </c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5" customHeight="1" x14ac:dyDescent="0.2">
      <c r="A37" s="347" t="s">
        <v>373</v>
      </c>
      <c r="B37" s="348"/>
      <c r="C37" s="348"/>
      <c r="D37" s="348"/>
      <c r="E37" s="349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6" thickBot="1" x14ac:dyDescent="0.25">
      <c r="A38" s="350"/>
      <c r="B38" s="351"/>
      <c r="C38" s="351"/>
      <c r="D38" s="351"/>
      <c r="E38" s="352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x14ac:dyDescent="0.2">
      <c r="A39" s="72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x14ac:dyDescent="0.2">
      <c r="A40" s="72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x14ac:dyDescent="0.2">
      <c r="A41" s="72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x14ac:dyDescent="0.2">
      <c r="A42" s="72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x14ac:dyDescent="0.2">
      <c r="A43" s="72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x14ac:dyDescent="0.2">
      <c r="A44" s="72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x14ac:dyDescent="0.2">
      <c r="A45" s="72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x14ac:dyDescent="0.2">
      <c r="A46" s="72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x14ac:dyDescent="0.2">
      <c r="A47" s="72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x14ac:dyDescent="0.2">
      <c r="A48" s="72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idden="1" outlineLevel="2" x14ac:dyDescent="0.2">
      <c r="A49" s="72" t="s">
        <v>349</v>
      </c>
      <c r="B49" s="56" t="s">
        <v>291</v>
      </c>
      <c r="C49" s="56" t="s">
        <v>292</v>
      </c>
      <c r="D49" s="56" t="s">
        <v>293</v>
      </c>
      <c r="E49" s="56" t="s">
        <v>294</v>
      </c>
      <c r="F49" s="56" t="s">
        <v>295</v>
      </c>
      <c r="G49" s="56" t="s">
        <v>296</v>
      </c>
      <c r="H49" s="56" t="s">
        <v>297</v>
      </c>
      <c r="I49" s="56" t="s">
        <v>298</v>
      </c>
      <c r="J49" s="56" t="s">
        <v>299</v>
      </c>
      <c r="K49" s="56" t="s">
        <v>177</v>
      </c>
      <c r="L49" s="56" t="s">
        <v>254</v>
      </c>
      <c r="M49" s="56" t="s">
        <v>255</v>
      </c>
      <c r="N49" s="56" t="s">
        <v>179</v>
      </c>
      <c r="O49" s="56" t="s">
        <v>180</v>
      </c>
      <c r="P49" s="56" t="s">
        <v>181</v>
      </c>
      <c r="Q49" s="56" t="s">
        <v>182</v>
      </c>
      <c r="R49" s="56" t="s">
        <v>183</v>
      </c>
      <c r="S49" s="56" t="s">
        <v>256</v>
      </c>
      <c r="T49" s="56" t="s">
        <v>184</v>
      </c>
      <c r="U49" s="56" t="s">
        <v>185</v>
      </c>
      <c r="V49" s="56" t="s">
        <v>186</v>
      </c>
      <c r="W49" s="56" t="s">
        <v>187</v>
      </c>
      <c r="X49" s="56" t="s">
        <v>188</v>
      </c>
      <c r="Y49" s="56" t="s">
        <v>257</v>
      </c>
      <c r="Z49" s="56"/>
    </row>
    <row r="50" spans="1:26" hidden="1" outlineLevel="2" x14ac:dyDescent="0.2">
      <c r="A50" s="72" t="s">
        <v>353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idden="1" outlineLevel="2" x14ac:dyDescent="0.2">
      <c r="A51" s="72" t="s">
        <v>350</v>
      </c>
      <c r="B51" s="56">
        <f>'🎛️ Premissas'!$B$61</f>
        <v>3000</v>
      </c>
      <c r="C51" s="299">
        <f>B51+'🎛️ Premissas'!$B$28</f>
        <v>6000</v>
      </c>
      <c r="D51" s="299">
        <f>C51+'🎛️ Premissas'!$B$28</f>
        <v>9000</v>
      </c>
      <c r="E51" s="299">
        <f>D51+'🎛️ Premissas'!$B$28</f>
        <v>12000</v>
      </c>
      <c r="F51" s="299">
        <f>E51+'🎛️ Premissas'!$B$28</f>
        <v>15000</v>
      </c>
      <c r="G51" s="299">
        <f>F51+'🎛️ Premissas'!$B$28</f>
        <v>18000</v>
      </c>
      <c r="H51" s="299">
        <f>G51+'🎛️ Premissas'!$B$28</f>
        <v>21000</v>
      </c>
      <c r="I51" s="299">
        <f>H51+'🎛️ Premissas'!$B$28</f>
        <v>24000</v>
      </c>
      <c r="J51" s="299">
        <f>I51+'🎛️ Premissas'!$B$28</f>
        <v>27000</v>
      </c>
      <c r="K51" s="299">
        <f>J51+'🎛️ Premissas'!$B$28</f>
        <v>30000</v>
      </c>
      <c r="L51" s="299">
        <f>K51+'🎛️ Premissas'!$B$28</f>
        <v>33000</v>
      </c>
      <c r="M51" s="299">
        <f>L51+'🎛️ Premissas'!$B$28</f>
        <v>36000</v>
      </c>
      <c r="N51" s="299">
        <f>M51+'🎛️ Premissas'!$B$29</f>
        <v>39500</v>
      </c>
      <c r="O51" s="299">
        <f>N51+'🎛️ Premissas'!$B$29</f>
        <v>43000</v>
      </c>
      <c r="P51" s="299">
        <f>O51+'🎛️ Premissas'!$B$29</f>
        <v>46500</v>
      </c>
      <c r="Q51" s="299">
        <f>P51+'🎛️ Premissas'!$B$29</f>
        <v>50000</v>
      </c>
      <c r="R51" s="299">
        <f>Q51+'🎛️ Premissas'!$B$29</f>
        <v>53500</v>
      </c>
      <c r="S51" s="299">
        <f>R51+'🎛️ Premissas'!$B$29</f>
        <v>57000</v>
      </c>
      <c r="T51" s="299">
        <f>S51+'🎛️ Premissas'!$B$29</f>
        <v>60500</v>
      </c>
      <c r="U51" s="299">
        <f>T51+'🎛️ Premissas'!$B$29</f>
        <v>64000</v>
      </c>
      <c r="V51" s="299">
        <f>U51+'🎛️ Premissas'!$B$29</f>
        <v>67500</v>
      </c>
      <c r="W51" s="299">
        <f>V51+'🎛️ Premissas'!$B$29</f>
        <v>71000</v>
      </c>
      <c r="X51" s="299">
        <f>W51+'🎛️ Premissas'!$B$29</f>
        <v>74500</v>
      </c>
      <c r="Y51" s="299">
        <f>X51+'🎛️ Premissas'!$B$29</f>
        <v>78000</v>
      </c>
      <c r="Z51" s="56"/>
    </row>
    <row r="52" spans="1:26" hidden="1" outlineLevel="2" x14ac:dyDescent="0.2">
      <c r="A52" s="72" t="s">
        <v>247</v>
      </c>
      <c r="B52" s="56">
        <f>ROUND(B51*'🎛️ Premissas'!$B$30,0)</f>
        <v>210</v>
      </c>
      <c r="C52" s="56">
        <f>ROUND(C51*'🎛️ Premissas'!$B$30,0)</f>
        <v>420</v>
      </c>
      <c r="D52" s="56">
        <f>ROUND(D51*'🎛️ Premissas'!$B$30,0)</f>
        <v>630</v>
      </c>
      <c r="E52" s="56">
        <f>ROUND(E51*'🎛️ Premissas'!$B$30,0)</f>
        <v>840</v>
      </c>
      <c r="F52" s="56">
        <f>ROUND(F51*'🎛️ Premissas'!$B$30,0)</f>
        <v>1050</v>
      </c>
      <c r="G52" s="56">
        <f>ROUND(G51*'🎛️ Premissas'!$B$30,0)</f>
        <v>1260</v>
      </c>
      <c r="H52" s="56">
        <f>ROUND(H51*'🎛️ Premissas'!$B$30,0)</f>
        <v>1470</v>
      </c>
      <c r="I52" s="56">
        <f>ROUND(I51*'🎛️ Premissas'!$B$30,0)</f>
        <v>1680</v>
      </c>
      <c r="J52" s="56">
        <f>ROUND(J51*'🎛️ Premissas'!$B$30,0)</f>
        <v>1890</v>
      </c>
      <c r="K52" s="56">
        <f>ROUND(K51*'🎛️ Premissas'!$B$30,0)</f>
        <v>2100</v>
      </c>
      <c r="L52" s="56">
        <f>ROUND(L51*'🎛️ Premissas'!$B$30,0)</f>
        <v>2310</v>
      </c>
      <c r="M52" s="56">
        <f>ROUND(M51*'🎛️ Premissas'!$B$30,0)</f>
        <v>2520</v>
      </c>
      <c r="N52" s="56">
        <f>ROUND(N51*'🎛️ Premissas'!$B$30,0)</f>
        <v>2765</v>
      </c>
      <c r="O52" s="56">
        <f>ROUND(O51*'🎛️ Premissas'!$B$30,0)</f>
        <v>3010</v>
      </c>
      <c r="P52" s="56">
        <f>ROUND(P51*'🎛️ Premissas'!$B$30,0)</f>
        <v>3255</v>
      </c>
      <c r="Q52" s="56">
        <f>ROUND(P52*(1-'🎛️ Premissas'!$B$33)+MAX(0,Q51-P55)*'🎛️ Premissas'!$B$30,0)</f>
        <v>6137</v>
      </c>
      <c r="R52" s="56">
        <f>ROUND(Q52*(1-'🎛️ Premissas'!$B$33)+MAX(0,R51-Q55)*'🎛️ Premissas'!$B$30,0)</f>
        <v>8827</v>
      </c>
      <c r="S52" s="56">
        <f>ROUND(R52*(1-'🎛️ Premissas'!$B$33)+MAX(0,S51-R55)*'🎛️ Premissas'!$B$30,0)</f>
        <v>11350</v>
      </c>
      <c r="T52" s="56">
        <f>ROUND(S52*(1-'🎛️ Premissas'!$B$33)+MAX(0,T51-S55)*'🎛️ Premissas'!$B$30,0)</f>
        <v>13725</v>
      </c>
      <c r="U52" s="56">
        <f>ROUND(T52*(1-'🎛️ Premissas'!$B$33)+MAX(0,U51-T55)*'🎛️ Premissas'!$B$30,0)</f>
        <v>15971</v>
      </c>
      <c r="V52" s="56">
        <f>ROUND(U52*(1-'🎛️ Premissas'!$B$33)+MAX(0,V51-U55)*'🎛️ Premissas'!$B$30,0)</f>
        <v>18104</v>
      </c>
      <c r="W52" s="56">
        <f>ROUND(V52*(1-'🎛️ Premissas'!$B$33)+MAX(0,W51-V55)*'🎛️ Premissas'!$B$30,0)</f>
        <v>20137</v>
      </c>
      <c r="X52" s="56">
        <f>ROUND(W52*(1-'🎛️ Premissas'!$B$33)+MAX(0,X51-W55)*'🎛️ Premissas'!$B$30,0)</f>
        <v>22083</v>
      </c>
      <c r="Y52" s="56">
        <f>ROUND(X52*(1-'🎛️ Premissas'!$B$33)+MAX(0,Y51-X55)*'🎛️ Premissas'!$B$30,0)</f>
        <v>23953</v>
      </c>
      <c r="Z52" s="56"/>
    </row>
    <row r="53" spans="1:26" hidden="1" outlineLevel="2" x14ac:dyDescent="0.2">
      <c r="A53" s="72" t="s">
        <v>248</v>
      </c>
      <c r="B53" s="56">
        <f>ROUND(B51*'🎛️ Premissas'!$B$31,0)</f>
        <v>90</v>
      </c>
      <c r="C53" s="56">
        <f>ROUND(C51*'🎛️ Premissas'!$B$31,0)</f>
        <v>180</v>
      </c>
      <c r="D53" s="56">
        <f>ROUND(D51*'🎛️ Premissas'!$B$31,0)</f>
        <v>270</v>
      </c>
      <c r="E53" s="56">
        <f>ROUND(E51*'🎛️ Premissas'!$B$31,0)</f>
        <v>360</v>
      </c>
      <c r="F53" s="56">
        <f>ROUND(F51*'🎛️ Premissas'!$B$31,0)</f>
        <v>450</v>
      </c>
      <c r="G53" s="56">
        <f>ROUND(G51*'🎛️ Premissas'!$B$31,0)</f>
        <v>540</v>
      </c>
      <c r="H53" s="56">
        <f>ROUND(H51*'🎛️ Premissas'!$B$31,0)</f>
        <v>630</v>
      </c>
      <c r="I53" s="56">
        <f>ROUND(I51*'🎛️ Premissas'!$B$31,0)</f>
        <v>720</v>
      </c>
      <c r="J53" s="56">
        <f>ROUND(J51*'🎛️ Premissas'!$B$31,0)</f>
        <v>810</v>
      </c>
      <c r="K53" s="56">
        <f>ROUND(K51*'🎛️ Premissas'!$B$31,0)</f>
        <v>900</v>
      </c>
      <c r="L53" s="56">
        <f>ROUND(L51*'🎛️ Premissas'!$B$31,0)</f>
        <v>990</v>
      </c>
      <c r="M53" s="56">
        <f>ROUND(M51*'🎛️ Premissas'!$B$31,0)</f>
        <v>1080</v>
      </c>
      <c r="N53" s="56">
        <f>ROUND(N51*'🎛️ Premissas'!$B$31,0)</f>
        <v>1185</v>
      </c>
      <c r="O53" s="56">
        <f>ROUND(O51*'🎛️ Premissas'!$B$31,0)</f>
        <v>1290</v>
      </c>
      <c r="P53" s="56">
        <f>ROUND(P51*'🎛️ Premissas'!$B$31,0)</f>
        <v>1395</v>
      </c>
      <c r="Q53" s="56">
        <f>ROUND(P53*(1-'🎛️ Premissas'!$B$34)+MAX(0,Q52-P53-P54)*'🎛️ Premissas'!$B$31,0)</f>
        <v>1454</v>
      </c>
      <c r="R53" s="56">
        <f>ROUND(Q53*(1-'🎛️ Premissas'!$B$34)+MAX(0,R52-Q53-Q54)*'🎛️ Premissas'!$B$31,0)</f>
        <v>1589</v>
      </c>
      <c r="S53" s="56">
        <f>ROUND(R53*(1-'🎛️ Premissas'!$B$34)+MAX(0,S52-R53-R54)*'🎛️ Premissas'!$B$31,0)</f>
        <v>1789</v>
      </c>
      <c r="T53" s="56">
        <f>ROUND(S53*(1-'🎛️ Premissas'!$B$34)+MAX(0,T52-S53-S54)*'🎛️ Premissas'!$B$31,0)</f>
        <v>2044</v>
      </c>
      <c r="U53" s="56">
        <f>ROUND(T53*(1-'🎛️ Premissas'!$B$34)+MAX(0,U52-T53-T54)*'🎛️ Premissas'!$B$31,0)</f>
        <v>2346</v>
      </c>
      <c r="V53" s="56">
        <f>ROUND(U53*(1-'🎛️ Premissas'!$B$34)+MAX(0,V52-U53-U54)*'🎛️ Premissas'!$B$31,0)</f>
        <v>2687</v>
      </c>
      <c r="W53" s="56">
        <f>ROUND(V53*(1-'🎛️ Premissas'!$B$34)+MAX(0,W52-V53-V54)*'🎛️ Premissas'!$B$31,0)</f>
        <v>3062</v>
      </c>
      <c r="X53" s="56">
        <f>ROUND(W53*(1-'🎛️ Premissas'!$B$34)+MAX(0,X52-W53-W54)*'🎛️ Premissas'!$B$31,0)</f>
        <v>3465</v>
      </c>
      <c r="Y53" s="56">
        <f>ROUND(X53*(1-'🎛️ Premissas'!$B$34)+MAX(0,Y52-X53-X54)*'🎛️ Premissas'!$B$31,0)</f>
        <v>3891</v>
      </c>
      <c r="Z53" s="56"/>
    </row>
    <row r="54" spans="1:26" hidden="1" outlineLevel="2" x14ac:dyDescent="0.2">
      <c r="A54" s="72" t="s">
        <v>249</v>
      </c>
      <c r="B54" s="56">
        <f>ROUND(B51*'🎛️ Premissas'!$B$32,0)</f>
        <v>30</v>
      </c>
      <c r="C54" s="56">
        <f>ROUND(C51*'🎛️ Premissas'!$B$32,0)</f>
        <v>60</v>
      </c>
      <c r="D54" s="56">
        <f>ROUND(D51*'🎛️ Premissas'!$B$32,0)</f>
        <v>90</v>
      </c>
      <c r="E54" s="56">
        <f>ROUND(E51*'🎛️ Premissas'!$B$32,0)</f>
        <v>120</v>
      </c>
      <c r="F54" s="56">
        <f>ROUND(F51*'🎛️ Premissas'!$B$32,0)</f>
        <v>150</v>
      </c>
      <c r="G54" s="56">
        <f>ROUND(G51*'🎛️ Premissas'!$B$32,0)</f>
        <v>180</v>
      </c>
      <c r="H54" s="56">
        <f>ROUND(H51*'🎛️ Premissas'!$B$32,0)</f>
        <v>210</v>
      </c>
      <c r="I54" s="56">
        <f>ROUND(I51*'🎛️ Premissas'!$B$32,0)</f>
        <v>240</v>
      </c>
      <c r="J54" s="56">
        <f>ROUND(J51*'🎛️ Premissas'!$B$32,0)</f>
        <v>270</v>
      </c>
      <c r="K54" s="56">
        <f>ROUND(K51*'🎛️ Premissas'!$B$32,0)</f>
        <v>300</v>
      </c>
      <c r="L54" s="56">
        <f>ROUND(L51*'🎛️ Premissas'!$B$32,0)</f>
        <v>330</v>
      </c>
      <c r="M54" s="56">
        <f>ROUND(M51*'🎛️ Premissas'!$B$32,0)</f>
        <v>360</v>
      </c>
      <c r="N54" s="56">
        <f>ROUND(N51*'🎛️ Premissas'!$B$32,0)</f>
        <v>395</v>
      </c>
      <c r="O54" s="56">
        <f>ROUND(O51*'🎛️ Premissas'!$B$32,0)</f>
        <v>430</v>
      </c>
      <c r="P54" s="56">
        <f>ROUND(P51*'🎛️ Premissas'!$B$32,0)</f>
        <v>465</v>
      </c>
      <c r="Q54" s="56">
        <f>ROUND(P54*(1-'🎛️ Premissas'!$B$35)+MAX(0,Q53-P54)*'🎛️ Premissas'!$B$32,0)</f>
        <v>461</v>
      </c>
      <c r="R54" s="56">
        <f>ROUND(Q54*(1-'🎛️ Premissas'!$B$35)+MAX(0,R53-Q54)*'🎛️ Premissas'!$B$32,0)</f>
        <v>458</v>
      </c>
      <c r="S54" s="56">
        <f>ROUND(R54*(1-'🎛️ Premissas'!$B$35)+MAX(0,S53-R54)*'🎛️ Premissas'!$B$32,0)</f>
        <v>458</v>
      </c>
      <c r="T54" s="56">
        <f>ROUND(S54*(1-'🎛️ Premissas'!$B$35)+MAX(0,T53-S54)*'🎛️ Premissas'!$B$32,0)</f>
        <v>460</v>
      </c>
      <c r="U54" s="56">
        <f>ROUND(T54*(1-'🎛️ Premissas'!$B$35)+MAX(0,U53-T54)*'🎛️ Premissas'!$B$32,0)</f>
        <v>465</v>
      </c>
      <c r="V54" s="56">
        <f>ROUND(U54*(1-'🎛️ Premissas'!$B$35)+MAX(0,V53-U54)*'🎛️ Premissas'!$B$32,0)</f>
        <v>473</v>
      </c>
      <c r="W54" s="56">
        <f>ROUND(V54*(1-'🎛️ Premissas'!$B$35)+MAX(0,W53-V54)*'🎛️ Premissas'!$B$32,0)</f>
        <v>485</v>
      </c>
      <c r="X54" s="56">
        <f>ROUND(W54*(1-'🎛️ Premissas'!$B$35)+MAX(0,X53-W54)*'🎛️ Premissas'!$B$32,0)</f>
        <v>500</v>
      </c>
      <c r="Y54" s="56">
        <f>ROUND(X54*(1-'🎛️ Premissas'!$B$35)+MAX(0,Y53-X54)*'🎛️ Premissas'!$B$32,0)</f>
        <v>519</v>
      </c>
      <c r="Z54" s="56"/>
    </row>
    <row r="55" spans="1:26" hidden="1" outlineLevel="2" x14ac:dyDescent="0.2">
      <c r="A55" s="72" t="s">
        <v>240</v>
      </c>
      <c r="B55" s="56">
        <f t="shared" ref="B55:Y55" si="0">SUM(B52:B54)</f>
        <v>330</v>
      </c>
      <c r="C55" s="56">
        <f t="shared" si="0"/>
        <v>660</v>
      </c>
      <c r="D55" s="56">
        <f t="shared" si="0"/>
        <v>990</v>
      </c>
      <c r="E55" s="56">
        <f t="shared" si="0"/>
        <v>1320</v>
      </c>
      <c r="F55" s="56">
        <f t="shared" si="0"/>
        <v>1650</v>
      </c>
      <c r="G55" s="56">
        <f t="shared" si="0"/>
        <v>1980</v>
      </c>
      <c r="H55" s="56">
        <f t="shared" si="0"/>
        <v>2310</v>
      </c>
      <c r="I55" s="56">
        <f t="shared" si="0"/>
        <v>2640</v>
      </c>
      <c r="J55" s="56">
        <f t="shared" si="0"/>
        <v>2970</v>
      </c>
      <c r="K55" s="56">
        <f t="shared" si="0"/>
        <v>3300</v>
      </c>
      <c r="L55" s="56">
        <f t="shared" si="0"/>
        <v>3630</v>
      </c>
      <c r="M55" s="56">
        <f t="shared" si="0"/>
        <v>3960</v>
      </c>
      <c r="N55" s="56">
        <f t="shared" si="0"/>
        <v>4345</v>
      </c>
      <c r="O55" s="56">
        <f t="shared" si="0"/>
        <v>4730</v>
      </c>
      <c r="P55" s="56">
        <f t="shared" si="0"/>
        <v>5115</v>
      </c>
      <c r="Q55" s="56">
        <f t="shared" si="0"/>
        <v>8052</v>
      </c>
      <c r="R55" s="56">
        <f t="shared" si="0"/>
        <v>10874</v>
      </c>
      <c r="S55" s="56">
        <f t="shared" si="0"/>
        <v>13597</v>
      </c>
      <c r="T55" s="56">
        <f t="shared" si="0"/>
        <v>16229</v>
      </c>
      <c r="U55" s="56">
        <f t="shared" si="0"/>
        <v>18782</v>
      </c>
      <c r="V55" s="56">
        <f t="shared" si="0"/>
        <v>21264</v>
      </c>
      <c r="W55" s="56">
        <f t="shared" si="0"/>
        <v>23684</v>
      </c>
      <c r="X55" s="56">
        <f t="shared" si="0"/>
        <v>26048</v>
      </c>
      <c r="Y55" s="56">
        <f t="shared" si="0"/>
        <v>28363</v>
      </c>
      <c r="Z55" s="56"/>
    </row>
    <row r="56" spans="1:26" hidden="1" outlineLevel="2" x14ac:dyDescent="0.2">
      <c r="A56" s="72" t="s">
        <v>241</v>
      </c>
      <c r="B56" s="56">
        <f>B52*'🎛️ Premissas'!$B$5+B53*'🎛️ Premissas'!$B$6+B54*'🎛️ Premissas'!$B$7</f>
        <v>16167</v>
      </c>
      <c r="C56" s="56">
        <f>C52*'🎛️ Premissas'!$B$5+C53*'🎛️ Premissas'!$B$6+C54*'🎛️ Premissas'!$B$7</f>
        <v>32334</v>
      </c>
      <c r="D56" s="56">
        <f>D52*'🎛️ Premissas'!$B$5+D53*'🎛️ Premissas'!$B$6+D54*'🎛️ Premissas'!$B$7</f>
        <v>48501</v>
      </c>
      <c r="E56" s="56">
        <f>E52*'🎛️ Premissas'!$B$5+E53*'🎛️ Premissas'!$B$6+E54*'🎛️ Premissas'!$B$7</f>
        <v>64668</v>
      </c>
      <c r="F56" s="56">
        <f>F52*'🎛️ Premissas'!$B$5+F53*'🎛️ Premissas'!$B$6+F54*'🎛️ Premissas'!$B$7</f>
        <v>80835</v>
      </c>
      <c r="G56" s="56">
        <f>G52*'🎛️ Premissas'!$B$5+G53*'🎛️ Premissas'!$B$6+G54*'🎛️ Premissas'!$B$7</f>
        <v>97002</v>
      </c>
      <c r="H56" s="56">
        <f>H52*'🎛️ Premissas'!$B$5+H53*'🎛️ Premissas'!$B$6+H54*'🎛️ Premissas'!$B$7</f>
        <v>113169</v>
      </c>
      <c r="I56" s="56">
        <f>I52*'🎛️ Premissas'!$B$5+I53*'🎛️ Premissas'!$B$6+I54*'🎛️ Premissas'!$B$7</f>
        <v>129336</v>
      </c>
      <c r="J56" s="56">
        <f>J52*'🎛️ Premissas'!$B$5+J53*'🎛️ Premissas'!$B$6+J54*'🎛️ Premissas'!$B$7</f>
        <v>145503</v>
      </c>
      <c r="K56" s="56">
        <f>K52*'🎛️ Premissas'!$B$5+K53*'🎛️ Premissas'!$B$6+K54*'🎛️ Premissas'!$B$7</f>
        <v>161670</v>
      </c>
      <c r="L56" s="56">
        <f>L52*'🎛️ Premissas'!$B$5+L53*'🎛️ Premissas'!$B$6+L54*'🎛️ Premissas'!$B$7</f>
        <v>177837</v>
      </c>
      <c r="M56" s="56">
        <f>M52*'🎛️ Premissas'!$B$5+M53*'🎛️ Premissas'!$B$6+M54*'🎛️ Premissas'!$B$7</f>
        <v>194004</v>
      </c>
      <c r="N56" s="56">
        <f>N52*'🎛️ Premissas'!$B$5+N53*'🎛️ Premissas'!$B$6+N54*'🎛️ Premissas'!$B$7</f>
        <v>212865.5</v>
      </c>
      <c r="O56" s="56">
        <f>O52*'🎛️ Premissas'!$B$5+O53*'🎛️ Premissas'!$B$6+O54*'🎛️ Premissas'!$B$7</f>
        <v>231727</v>
      </c>
      <c r="P56" s="56">
        <f>P52*'🎛️ Premissas'!$B$5+P53*'🎛️ Premissas'!$B$6+P54*'🎛️ Premissas'!$B$7</f>
        <v>250588.5</v>
      </c>
      <c r="Q56" s="56">
        <f>Q52*'🎛️ Premissas'!$B$5+Q53*'🎛️ Premissas'!$B$6+Q54*'🎛️ Premissas'!$B$7</f>
        <v>368794.8</v>
      </c>
      <c r="R56" s="56">
        <f>R52*'🎛️ Premissas'!$B$5+R53*'🎛️ Premissas'!$B$6+R54*'🎛️ Premissas'!$B$7</f>
        <v>483972.6</v>
      </c>
      <c r="S56" s="56">
        <f>S52*'🎛️ Premissas'!$B$5+S53*'🎛️ Premissas'!$B$6+S54*'🎛️ Premissas'!$B$7</f>
        <v>596620.29999999993</v>
      </c>
      <c r="T56" s="56">
        <f>T52*'🎛️ Premissas'!$B$5+T53*'🎛️ Premissas'!$B$6+T54*'🎛️ Premissas'!$B$7</f>
        <v>706817.1</v>
      </c>
      <c r="U56" s="56">
        <f>U52*'🎛️ Premissas'!$B$5+U53*'🎛️ Premissas'!$B$6+U54*'🎛️ Premissas'!$B$7</f>
        <v>814921.8</v>
      </c>
      <c r="V56" s="56">
        <f>V52*'🎛️ Premissas'!$B$5+V53*'🎛️ Premissas'!$B$6+V54*'🎛️ Premissas'!$B$7</f>
        <v>921093.59999999986</v>
      </c>
      <c r="W56" s="56">
        <f>W52*'🎛️ Premissas'!$B$5+W53*'🎛️ Premissas'!$B$6+W54*'🎛️ Premissas'!$B$7</f>
        <v>1025631.5999999999</v>
      </c>
      <c r="X56" s="56">
        <f>X52*'🎛️ Premissas'!$B$5+X53*'🎛️ Premissas'!$B$6+X54*'🎛️ Premissas'!$B$7</f>
        <v>1128615.2</v>
      </c>
      <c r="Y56" s="56">
        <f>Y52*'🎛️ Premissas'!$B$5+Y53*'🎛️ Premissas'!$B$6+Y54*'🎛️ Premissas'!$B$7</f>
        <v>1230263.7</v>
      </c>
      <c r="Z56" s="56"/>
    </row>
    <row r="57" spans="1:26" hidden="1" outlineLevel="2" x14ac:dyDescent="0.2">
      <c r="A57" s="72" t="s">
        <v>250</v>
      </c>
      <c r="B57" s="56">
        <f>B51*('🎛️ Premissas'!$B$14*('🎛️ Premissas'!$B$15*('🎛️ Premissas'!$G$9/1000000)+'🎛️ Premissas'!$B$16*('🎛️ Premissas'!$G$10/1000000))*(1-'🎛️ Premissas'!$B$12)*'🎛️ Premissas'!$B$9*'🎛️ Premissas'!$B$17)+B52*('🎛️ Premissas'!$B$18*('🎛️ Premissas'!$B$19*('🎛️ Premissas'!$B$10/1000000)+'🎛️ Premissas'!$B$20*('🎛️ Premissas'!$B$11/1000000))*(1-'🎛️ Premissas'!$B$12)*'🎛️ Premissas'!$B$9)+B53*(('🎛️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Premissas'!$B$9))+B54*(('🎛️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3467.9092500000002</v>
      </c>
      <c r="C57" s="56">
        <f>C51*('🎛️ Premissas'!$B$14*('🎛️ Premissas'!$B$15*('🎛️ Premissas'!$G$9/1000000)+'🎛️ Premissas'!$B$16*('🎛️ Premissas'!$G$10/1000000))*(1-'🎛️ Premissas'!$B$12)*'🎛️ Premissas'!$B$9*'🎛️ Premissas'!$B$17)+C52*('🎛️ Premissas'!$B$18*('🎛️ Premissas'!$B$19*('🎛️ Premissas'!$B$10/1000000)+'🎛️ Premissas'!$B$20*('🎛️ Premissas'!$B$11/1000000))*(1-'🎛️ Premissas'!$B$12)*'🎛️ Premissas'!$B$9)+C53*(('🎛️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Premissas'!$B$9))+C54*(('🎛️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6935.8185000000003</v>
      </c>
      <c r="D57" s="56">
        <f>D51*('🎛️ Premissas'!$B$14*('🎛️ Premissas'!$B$15*('🎛️ Premissas'!$G$9/1000000)+'🎛️ Premissas'!$B$16*('🎛️ Premissas'!$G$10/1000000))*(1-'🎛️ Premissas'!$B$12)*'🎛️ Premissas'!$B$9*'🎛️ Premissas'!$B$17)+D52*('🎛️ Premissas'!$B$18*('🎛️ Premissas'!$B$19*('🎛️ Premissas'!$B$10/1000000)+'🎛️ Premissas'!$B$20*('🎛️ Premissas'!$B$11/1000000))*(1-'🎛️ Premissas'!$B$12)*'🎛️ Premissas'!$B$9)+D53*(('🎛️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Premissas'!$B$9))+D54*(('🎛️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10403.72775</v>
      </c>
      <c r="E57" s="56">
        <f>E51*('🎛️ Premissas'!$B$14*('🎛️ Premissas'!$B$15*('🎛️ Premissas'!$G$9/1000000)+'🎛️ Premissas'!$B$16*('🎛️ Premissas'!$G$10/1000000))*(1-'🎛️ Premissas'!$B$12)*'🎛️ Premissas'!$B$9*'🎛️ Premissas'!$B$17)+E52*('🎛️ Premissas'!$B$18*('🎛️ Premissas'!$B$19*('🎛️ Premissas'!$B$10/1000000)+'🎛️ Premissas'!$B$20*('🎛️ Premissas'!$B$11/1000000))*(1-'🎛️ Premissas'!$B$12)*'🎛️ Premissas'!$B$9)+E53*(('🎛️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Premissas'!$B$9))+E54*(('🎛️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13871.637000000001</v>
      </c>
      <c r="F57" s="56">
        <f>F51*('🎛️ Premissas'!$B$14*('🎛️ Premissas'!$B$15*('🎛️ Premissas'!$G$9/1000000)+'🎛️ Premissas'!$B$16*('🎛️ Premissas'!$G$10/1000000))*(1-'🎛️ Premissas'!$B$12)*'🎛️ Premissas'!$B$9*'🎛️ Premissas'!$B$17)+F52*('🎛️ Premissas'!$B$18*('🎛️ Premissas'!$B$19*('🎛️ Premissas'!$B$10/1000000)+'🎛️ Premissas'!$B$20*('🎛️ Premissas'!$B$11/1000000))*(1-'🎛️ Premissas'!$B$12)*'🎛️ Premissas'!$B$9)+F53*(('🎛️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Premissas'!$B$9))+F54*(('🎛️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17339.546249999999</v>
      </c>
      <c r="G57" s="56">
        <f>G51*('🎛️ Premissas'!$B$14*('🎛️ Premissas'!$B$15*('🎛️ Premissas'!$G$9/1000000)+'🎛️ Premissas'!$B$16*('🎛️ Premissas'!$G$10/1000000))*(1-'🎛️ Premissas'!$B$12)*'🎛️ Premissas'!$B$9*'🎛️ Premissas'!$B$17)+G52*('🎛️ Premissas'!$B$18*('🎛️ Premissas'!$B$19*('🎛️ Premissas'!$B$10/1000000)+'🎛️ Premissas'!$B$20*('🎛️ Premissas'!$B$11/1000000))*(1-'🎛️ Premissas'!$B$12)*'🎛️ Premissas'!$B$9)+G53*(('🎛️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Premissas'!$B$9))+G54*(('🎛️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20807.4555</v>
      </c>
      <c r="H57" s="56">
        <f>H51*('🎛️ Premissas'!$B$14*('🎛️ Premissas'!$B$15*('🎛️ Premissas'!$G$9/1000000)+'🎛️ Premissas'!$B$16*('🎛️ Premissas'!$G$10/1000000))*(1-'🎛️ Premissas'!$B$12)*'🎛️ Premissas'!$B$9*'🎛️ Premissas'!$B$17)+H52*('🎛️ Premissas'!$B$18*('🎛️ Premissas'!$B$19*('🎛️ Premissas'!$B$10/1000000)+'🎛️ Premissas'!$B$20*('🎛️ Premissas'!$B$11/1000000))*(1-'🎛️ Premissas'!$B$12)*'🎛️ Premissas'!$B$9)+H53*(('🎛️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Premissas'!$B$9))+H54*(('🎛️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24275.364750000001</v>
      </c>
      <c r="I57" s="56">
        <f>I51*('🎛️ Premissas'!$B$14*('🎛️ Premissas'!$B$15*('🎛️ Premissas'!$G$9/1000000)+'🎛️ Premissas'!$B$16*('🎛️ Premissas'!$G$10/1000000))*(1-'🎛️ Premissas'!$B$12)*'🎛️ Premissas'!$B$9*'🎛️ Premissas'!$B$17)+I52*('🎛️ Premissas'!$B$18*('🎛️ Premissas'!$B$19*('🎛️ Premissas'!$B$10/1000000)+'🎛️ Premissas'!$B$20*('🎛️ Premissas'!$B$11/1000000))*(1-'🎛️ Premissas'!$B$12)*'🎛️ Premissas'!$B$9)+I53*(('🎛️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Premissas'!$B$9))+I54*(('🎛️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27743.274000000001</v>
      </c>
      <c r="J57" s="56">
        <f>J51*('🎛️ Premissas'!$B$14*('🎛️ Premissas'!$B$15*('🎛️ Premissas'!$G$9/1000000)+'🎛️ Premissas'!$B$16*('🎛️ Premissas'!$G$10/1000000))*(1-'🎛️ Premissas'!$B$12)*'🎛️ Premissas'!$B$9*'🎛️ Premissas'!$B$17)+J52*('🎛️ Premissas'!$B$18*('🎛️ Premissas'!$B$19*('🎛️ Premissas'!$B$10/1000000)+'🎛️ Premissas'!$B$20*('🎛️ Premissas'!$B$11/1000000))*(1-'🎛️ Premissas'!$B$12)*'🎛️ Premissas'!$B$9)+J53*(('🎛️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Premissas'!$B$9))+J54*(('🎛️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31211.183249999998</v>
      </c>
      <c r="K57" s="56">
        <f>K51*('🎛️ Premissas'!$B$14*('🎛️ Premissas'!$B$15*('🎛️ Premissas'!$G$9/1000000)+'🎛️ Premissas'!$B$16*('🎛️ Premissas'!$G$10/1000000))*(1-'🎛️ Premissas'!$B$12)*'🎛️ Premissas'!$B$9*'🎛️ Premissas'!$B$17)+K52*('🎛️ Premissas'!$B$18*('🎛️ Premissas'!$B$19*('🎛️ Premissas'!$B$10/1000000)+'🎛️ Premissas'!$B$20*('🎛️ Premissas'!$B$11/1000000))*(1-'🎛️ Premissas'!$B$12)*'🎛️ Premissas'!$B$9)+K53*(('🎛️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Premissas'!$B$9))+K54*(('🎛️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34679.092499999999</v>
      </c>
      <c r="L57" s="56">
        <f>L51*('🎛️ Premissas'!$B$14*('🎛️ Premissas'!$B$15*('🎛️ Premissas'!$G$9/1000000)+'🎛️ Premissas'!$B$16*('🎛️ Premissas'!$G$10/1000000))*(1-'🎛️ Premissas'!$B$12)*'🎛️ Premissas'!$B$9*'🎛️ Premissas'!$B$17)+L52*('🎛️ Premissas'!$B$18*('🎛️ Premissas'!$B$19*('🎛️ Premissas'!$B$10/1000000)+'🎛️ Premissas'!$B$20*('🎛️ Premissas'!$B$11/1000000))*(1-'🎛️ Premissas'!$B$12)*'🎛️ Premissas'!$B$9)+L53*(('🎛️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Premissas'!$B$9))+L54*(('🎛️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38147.001750000003</v>
      </c>
      <c r="M57" s="56">
        <f>M51*('🎛️ Premissas'!$B$14*('🎛️ Premissas'!$B$15*('🎛️ Premissas'!$G$9/1000000)+'🎛️ Premissas'!$B$16*('🎛️ Premissas'!$G$10/1000000))*(1-'🎛️ Premissas'!$B$12)*'🎛️ Premissas'!$B$9*'🎛️ Premissas'!$B$17)+M52*('🎛️ Premissas'!$B$18*('🎛️ Premissas'!$B$19*('🎛️ Premissas'!$B$10/1000000)+'🎛️ Premissas'!$B$20*('🎛️ Premissas'!$B$11/1000000))*(1-'🎛️ Premissas'!$B$12)*'🎛️ Premissas'!$B$9)+M53*(('🎛️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Premissas'!$B$9))+M54*(('🎛️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41614.911</v>
      </c>
      <c r="N57" s="56">
        <f>N51*('🎛️ Premissas'!$B$14*('🎛️ Premissas'!$B$15*('🎛️ Premissas'!$G$9/1000000)+'🎛️ Premissas'!$B$16*('🎛️ Premissas'!$G$10/1000000))*(1-'🎛️ Premissas'!$B$12)*'🎛️ Premissas'!$B$9*'🎛️ Premissas'!$B$17)+N52*('🎛️ Premissas'!$B$18*('🎛️ Premissas'!$B$19*('🎛️ Premissas'!$B$10/1000000)+'🎛️ Premissas'!$B$20*('🎛️ Premissas'!$B$11/1000000))*(1-'🎛️ Premissas'!$B$12)*'🎛️ Premissas'!$B$9)+N53*(('🎛️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Premissas'!$B$9))+N54*(('🎛️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45660.805125000006</v>
      </c>
      <c r="O57" s="56">
        <f>O51*('🎛️ Premissas'!$B$14*('🎛️ Premissas'!$B$15*('🎛️ Premissas'!$G$9/1000000)+'🎛️ Premissas'!$B$16*('🎛️ Premissas'!$G$10/1000000))*(1-'🎛️ Premissas'!$B$12)*'🎛️ Premissas'!$B$9*'🎛️ Premissas'!$B$17)+O52*('🎛️ Premissas'!$B$18*('🎛️ Premissas'!$B$19*('🎛️ Premissas'!$B$10/1000000)+'🎛️ Premissas'!$B$20*('🎛️ Premissas'!$B$11/1000000))*(1-'🎛️ Premissas'!$B$12)*'🎛️ Premissas'!$B$9)+O53*(('🎛️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Premissas'!$B$9))+O54*(('🎛️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49706.699249999998</v>
      </c>
      <c r="P57" s="56">
        <f>P51*('🎛️ Premissas'!$B$14*('🎛️ Premissas'!$B$15*('🎛️ Premissas'!$G$9/1000000)+'🎛️ Premissas'!$B$16*('🎛️ Premissas'!$G$10/1000000))*(1-'🎛️ Premissas'!$B$12)*'🎛️ Premissas'!$B$9*'🎛️ Premissas'!$B$17)+P52*('🎛️ Premissas'!$B$18*('🎛️ Premissas'!$B$19*('🎛️ Premissas'!$B$10/1000000)+'🎛️ Premissas'!$B$20*('🎛️ Premissas'!$B$11/1000000))*(1-'🎛️ Premissas'!$B$12)*'🎛️ Premissas'!$B$9)+P53*(('🎛️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Premissas'!$B$9))+P54*(('🎛️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53752.593374999997</v>
      </c>
      <c r="Q57" s="56">
        <f>Q51*('🎛️ Premissas'!$B$14*('🎛️ Premissas'!$B$15*('🎛️ Premissas'!$G$9/1000000)+'🎛️ Premissas'!$B$16*('🎛️ Premissas'!$G$10/1000000))*(1-'🎛️ Premissas'!$B$12)*'🎛️ Premissas'!$B$9*'🎛️ Premissas'!$B$17)+Q52*('🎛️ Premissas'!$B$18*('🎛️ Premissas'!$B$19*('🎛️ Premissas'!$B$10/1000000)+'🎛️ Premissas'!$B$20*('🎛️ Premissas'!$B$11/1000000))*(1-'🎛️ Premissas'!$B$12)*'🎛️ Premissas'!$B$9)+Q53*(('🎛️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Premissas'!$B$9))+Q54*(('🎛️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72101.486730000004</v>
      </c>
      <c r="R57" s="56">
        <f>R51*('🎛️ Premissas'!$B$14*('🎛️ Premissas'!$B$15*('🎛️ Premissas'!$G$9/1000000)+'🎛️ Premissas'!$B$16*('🎛️ Premissas'!$G$10/1000000))*(1-'🎛️ Premissas'!$B$12)*'🎛️ Premissas'!$B$9*'🎛️ Premissas'!$B$17)+R52*('🎛️ Premissas'!$B$18*('🎛️ Premissas'!$B$19*('🎛️ Premissas'!$B$10/1000000)+'🎛️ Premissas'!$B$20*('🎛️ Premissas'!$B$11/1000000))*(1-'🎛️ Premissas'!$B$12)*'🎛️ Premissas'!$B$9)+R53*(('🎛️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Premissas'!$B$9))+R54*(('🎛️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90192.191115000023</v>
      </c>
      <c r="S57" s="56">
        <f>S51*('🎛️ Premissas'!$B$14*('🎛️ Premissas'!$B$15*('🎛️ Premissas'!$G$9/1000000)+'🎛️ Premissas'!$B$16*('🎛️ Premissas'!$G$10/1000000))*(1-'🎛️ Premissas'!$B$12)*'🎛️ Premissas'!$B$9*'🎛️ Premissas'!$B$17)+S52*('🎛️ Premissas'!$B$18*('🎛️ Premissas'!$B$19*('🎛️ Premissas'!$B$10/1000000)+'🎛️ Premissas'!$B$20*('🎛️ Premissas'!$B$11/1000000))*(1-'🎛️ Premissas'!$B$12)*'🎛️ Premissas'!$B$9)+S53*(('🎛️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Premissas'!$B$9))+S54*(('🎛️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108076.36086</v>
      </c>
      <c r="T57" s="56">
        <f>T51*('🎛️ Premissas'!$B$14*('🎛️ Premissas'!$B$15*('🎛️ Premissas'!$G$9/1000000)+'🎛️ Premissas'!$B$16*('🎛️ Premissas'!$G$10/1000000))*(1-'🎛️ Premissas'!$B$12)*'🎛️ Premissas'!$B$9*'🎛️ Premissas'!$B$17)+T52*('🎛️ Premissas'!$B$18*('🎛️ Premissas'!$B$19*('🎛️ Premissas'!$B$10/1000000)+'🎛️ Premissas'!$B$20*('🎛️ Premissas'!$B$11/1000000))*(1-'🎛️ Premissas'!$B$12)*'🎛️ Premissas'!$B$9)+T53*(('🎛️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Premissas'!$B$9))+T54*(('🎛️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125739.09289499999</v>
      </c>
      <c r="U57" s="56">
        <f>U51*('🎛️ Premissas'!$B$14*('🎛️ Premissas'!$B$15*('🎛️ Premissas'!$G$9/1000000)+'🎛️ Premissas'!$B$16*('🎛️ Premissas'!$G$10/1000000))*(1-'🎛️ Premissas'!$B$12)*'🎛️ Premissas'!$B$9*'🎛️ Premissas'!$B$17)+U52*('🎛️ Premissas'!$B$18*('🎛️ Premissas'!$B$19*('🎛️ Premissas'!$B$10/1000000)+'🎛️ Premissas'!$B$20*('🎛️ Premissas'!$B$11/1000000))*(1-'🎛️ Premissas'!$B$12)*'🎛️ Premissas'!$B$9)+U53*(('🎛️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Premissas'!$B$9))+U54*(('🎛️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143216.24967000002</v>
      </c>
      <c r="V57" s="56">
        <f>V51*('🎛️ Premissas'!$B$14*('🎛️ Premissas'!$B$15*('🎛️ Premissas'!$G$9/1000000)+'🎛️ Premissas'!$B$16*('🎛️ Premissas'!$G$10/1000000))*(1-'🎛️ Premissas'!$B$12)*'🎛️ Premissas'!$B$9*'🎛️ Premissas'!$B$17)+V52*('🎛️ Premissas'!$B$18*('🎛️ Premissas'!$B$19*('🎛️ Premissas'!$B$10/1000000)+'🎛️ Premissas'!$B$20*('🎛️ Premissas'!$B$11/1000000))*(1-'🎛️ Premissas'!$B$12)*'🎛️ Premissas'!$B$9)+V53*(('🎛️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Premissas'!$B$9))+V54*(('🎛️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160511.96518500001</v>
      </c>
      <c r="W57" s="56">
        <f>W51*('🎛️ Premissas'!$B$14*('🎛️ Premissas'!$B$15*('🎛️ Premissas'!$G$9/1000000)+'🎛️ Premissas'!$B$16*('🎛️ Premissas'!$G$10/1000000))*(1-'🎛️ Premissas'!$B$12)*'🎛️ Premissas'!$B$9*'🎛️ Premissas'!$B$17)+W52*('🎛️ Premissas'!$B$18*('🎛️ Premissas'!$B$19*('🎛️ Premissas'!$B$10/1000000)+'🎛️ Premissas'!$B$20*('🎛️ Premissas'!$B$11/1000000))*(1-'🎛️ Premissas'!$B$12)*'🎛️ Premissas'!$B$9)+W53*(('🎛️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Premissas'!$B$9))+W54*(('🎛️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177660.55164000002</v>
      </c>
      <c r="X57" s="56">
        <f>X51*('🎛️ Premissas'!$B$14*('🎛️ Premissas'!$B$15*('🎛️ Premissas'!$G$9/1000000)+'🎛️ Premissas'!$B$16*('🎛️ Premissas'!$G$10/1000000))*(1-'🎛️ Premissas'!$B$12)*'🎛️ Premissas'!$B$9*'🎛️ Premissas'!$B$17)+X52*('🎛️ Premissas'!$B$18*('🎛️ Premissas'!$B$19*('🎛️ Premissas'!$B$10/1000000)+'🎛️ Premissas'!$B$20*('🎛️ Premissas'!$B$11/1000000))*(1-'🎛️ Premissas'!$B$12)*'🎛️ Premissas'!$B$9)+X53*(('🎛️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Premissas'!$B$9))+X54*(('🎛️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194656.69684500003</v>
      </c>
      <c r="Y57" s="56">
        <f>Y51*('🎛️ Premissas'!$B$14*('🎛️ Premissas'!$B$15*('🎛️ Premissas'!$G$9/1000000)+'🎛️ Premissas'!$B$16*('🎛️ Premissas'!$G$10/1000000))*(1-'🎛️ Premissas'!$B$12)*'🎛️ Premissas'!$B$9*'🎛️ Premissas'!$B$17)+Y52*('🎛️ Premissas'!$B$18*('🎛️ Premissas'!$B$19*('🎛️ Premissas'!$B$10/1000000)+'🎛️ Premissas'!$B$20*('🎛️ Premissas'!$B$11/1000000))*(1-'🎛️ Premissas'!$B$12)*'🎛️ Premissas'!$B$9)+Y53*(('🎛️ Premissas'!$B$21*('🎛️ Premissas'!$B$19*('🎛️ Premissas'!$B$10/1000000)+'🎛️ Premissas'!$B$20*('🎛️ Premissas'!$B$11/1000000))*(1-'🎛️ Premissas'!$B$12)*'🎛️ Premissas'!$B$9)+('🎛️ Premissas'!$B$22*('🎛️ Premissas'!$B$23*('🎛️ Premissas'!$B$10/1000000)+'🎛️ Premissas'!$B$24*('🎛️ Premissas'!$B$11/1000000))*(1-'🎛️ Premissas'!$B$12)*'🎛️ Premissas'!$B$9))+Y54*(('🎛️ Premissas'!$B$25*('🎛️ Premissas'!$B$19*('🎛️ Premissas'!$B$10/1000000)+'🎛️ Premissas'!$B$20*('🎛️ Premissas'!$B$11/1000000))*(1-'🎛️ Premissas'!$B$12)*'🎛️ Premissas'!$B$9)+('🎛️ Premissas'!$B$26*('🎛️ Premissas'!$B$23*('🎛️ Premissas'!$B$10/1000000)+'🎛️ Premissas'!$B$24*('🎛️ Premissas'!$B$11/1000000))*(1-'🎛️ Premissas'!$B$12)*'🎛️ Premissas'!$B$9))</f>
        <v>211523.05512</v>
      </c>
      <c r="Z57" s="56"/>
    </row>
    <row r="58" spans="1:26" hidden="1" outlineLevel="2" x14ac:dyDescent="0.2">
      <c r="A58" s="72" t="s">
        <v>251</v>
      </c>
      <c r="B58" s="56">
        <f>'🎛️ Premissas'!$B$37+'🎛️ Premissas'!$B$39+'🎛️ Premissas'!$B$41+'🎛️ Premissas'!$B$43</f>
        <v>55000</v>
      </c>
      <c r="C58" s="56">
        <f>'🎛️ Premissas'!$B$37+'🎛️ Premissas'!$B$39+'🎛️ Premissas'!$B$41+'🎛️ Premissas'!$B$43</f>
        <v>55000</v>
      </c>
      <c r="D58" s="56">
        <f>'🎛️ Premissas'!$B$37+'🎛️ Premissas'!$B$39+'🎛️ Premissas'!$B$41+'🎛️ Premissas'!$B$43</f>
        <v>55000</v>
      </c>
      <c r="E58" s="56">
        <f>'🎛️ Premissas'!$B$37+'🎛️ Premissas'!$B$39+'🎛️ Premissas'!$B$41+'🎛️ Premissas'!$B$43</f>
        <v>55000</v>
      </c>
      <c r="F58" s="56">
        <f>'🎛️ Premissas'!$B$37+'🎛️ Premissas'!$B$39+'🎛️ Premissas'!$B$41+'🎛️ Premissas'!$B$43</f>
        <v>55000</v>
      </c>
      <c r="G58" s="56">
        <f>'🎛️ Premissas'!$B$37+'🎛️ Premissas'!$B$39+'🎛️ Premissas'!$B$41+'🎛️ Premissas'!$B$43</f>
        <v>55000</v>
      </c>
      <c r="H58" s="56">
        <f>'🎛️ Premissas'!$B$37+'🎛️ Premissas'!$B$39+'🎛️ Premissas'!$B$41+'🎛️ Premissas'!$B$43</f>
        <v>55000</v>
      </c>
      <c r="I58" s="56">
        <f>'🎛️ Premissas'!$B$37+'🎛️ Premissas'!$B$39+'🎛️ Premissas'!$B$41+'🎛️ Premissas'!$B$43</f>
        <v>55000</v>
      </c>
      <c r="J58" s="56">
        <f>'🎛️ Premissas'!$B$37+'🎛️ Premissas'!$B$39+'🎛️ Premissas'!$B$41+'🎛️ Premissas'!$B$43</f>
        <v>55000</v>
      </c>
      <c r="K58" s="56">
        <f>'🎛️ Premissas'!$B$37+'🎛️ Premissas'!$B$39+'🎛️ Premissas'!$B$41+'🎛️ Premissas'!$B$43</f>
        <v>55000</v>
      </c>
      <c r="L58" s="56">
        <f>'🎛️ Premissas'!$B$37+'🎛️ Premissas'!$B$39+'🎛️ Premissas'!$B$41+'🎛️ Premissas'!$B$43</f>
        <v>55000</v>
      </c>
      <c r="M58" s="56">
        <f>'🎛️ Premissas'!$B$37+'🎛️ Premissas'!$B$39+'🎛️ Premissas'!$B$41+'🎛️ Premissas'!$B$43</f>
        <v>55000</v>
      </c>
      <c r="N58" s="56">
        <f>'🎛️ Premissas'!$B$38+'🎛️ Premissas'!$B$40+'🎛️ Premissas'!$B$42+'🎛️ Premissas'!$B$43</f>
        <v>70000</v>
      </c>
      <c r="O58" s="56">
        <f>'🎛️ Premissas'!$B$38+'🎛️ Premissas'!$B$40+'🎛️ Premissas'!$B$42+'🎛️ Premissas'!$B$43</f>
        <v>70000</v>
      </c>
      <c r="P58" s="56">
        <f>'🎛️ Premissas'!$B$38+'🎛️ Premissas'!$B$40+'🎛️ Premissas'!$B$42+'🎛️ Premissas'!$B$43</f>
        <v>70000</v>
      </c>
      <c r="Q58" s="56">
        <f>'🎛️ Premissas'!$B$38+'🎛️ Premissas'!$B$40+'🎛️ Premissas'!$B$42+'🎛️ Premissas'!$B$43</f>
        <v>70000</v>
      </c>
      <c r="R58" s="56">
        <f>'🎛️ Premissas'!$B$38+'🎛️ Premissas'!$B$40+'🎛️ Premissas'!$B$42+'🎛️ Premissas'!$B$43</f>
        <v>70000</v>
      </c>
      <c r="S58" s="56">
        <f>'🎛️ Premissas'!$B$38+'🎛️ Premissas'!$B$40+'🎛️ Premissas'!$B$42+'🎛️ Premissas'!$B$43</f>
        <v>70000</v>
      </c>
      <c r="T58" s="56">
        <f>'🎛️ Premissas'!$B$38+'🎛️ Premissas'!$B$40+'🎛️ Premissas'!$B$42+'🎛️ Premissas'!$B$43</f>
        <v>70000</v>
      </c>
      <c r="U58" s="56">
        <f>'🎛️ Premissas'!$B$38+'🎛️ Premissas'!$B$40+'🎛️ Premissas'!$B$42+'🎛️ Premissas'!$B$43</f>
        <v>70000</v>
      </c>
      <c r="V58" s="56">
        <f>'🎛️ Premissas'!$B$38+'🎛️ Premissas'!$B$40+'🎛️ Premissas'!$B$42+'🎛️ Premissas'!$B$43</f>
        <v>70000</v>
      </c>
      <c r="W58" s="56">
        <f>'🎛️ Premissas'!$B$38+'🎛️ Premissas'!$B$40+'🎛️ Premissas'!$B$42+'🎛️ Premissas'!$B$43</f>
        <v>70000</v>
      </c>
      <c r="X58" s="56">
        <f>'🎛️ Premissas'!$B$38+'🎛️ Premissas'!$B$40+'🎛️ Premissas'!$B$42+'🎛️ Premissas'!$B$43</f>
        <v>70000</v>
      </c>
      <c r="Y58" s="56">
        <f>'🎛️ Premissas'!$B$38+'🎛️ Premissas'!$B$40+'🎛️ Premissas'!$B$42+'🎛️ Premissas'!$B$43</f>
        <v>70000</v>
      </c>
      <c r="Z58" s="56"/>
    </row>
    <row r="59" spans="1:26" hidden="1" outlineLevel="2" x14ac:dyDescent="0.2">
      <c r="A59" s="72" t="s">
        <v>352</v>
      </c>
      <c r="B59" s="56">
        <f>B56*'🎛️ Premissas'!$B$67</f>
        <v>1940.04</v>
      </c>
      <c r="C59" s="299">
        <f>C56*'🎛️ Premissas'!$B$67</f>
        <v>3880.08</v>
      </c>
      <c r="D59" s="299">
        <f>D56*'🎛️ Premissas'!$B$67</f>
        <v>5820.12</v>
      </c>
      <c r="E59" s="299">
        <f>E56*'🎛️ Premissas'!$B$67</f>
        <v>7760.16</v>
      </c>
      <c r="F59" s="299">
        <f>F56*'🎛️ Premissas'!$B$67</f>
        <v>9700.1999999999989</v>
      </c>
      <c r="G59" s="299">
        <f>G56*'🎛️ Premissas'!$B$67</f>
        <v>11640.24</v>
      </c>
      <c r="H59" s="299">
        <f>H56*'🎛️ Premissas'!$B$67</f>
        <v>13580.279999999999</v>
      </c>
      <c r="I59" s="299">
        <f>I56*'🎛️ Premissas'!$B$67</f>
        <v>15520.32</v>
      </c>
      <c r="J59" s="299">
        <f>J56*'🎛️ Premissas'!$B$67</f>
        <v>17460.36</v>
      </c>
      <c r="K59" s="299">
        <f>K56*'🎛️ Premissas'!$B$67</f>
        <v>19400.399999999998</v>
      </c>
      <c r="L59" s="299">
        <f>L56*'🎛️ Premissas'!$B$67</f>
        <v>21340.44</v>
      </c>
      <c r="M59" s="299">
        <f>M56*'🎛️ Premissas'!$B$67</f>
        <v>23280.48</v>
      </c>
      <c r="N59" s="299">
        <f>N56*'🎛️ Premissas'!$B$67</f>
        <v>25543.86</v>
      </c>
      <c r="O59" s="299">
        <f>O56*'🎛️ Premissas'!$B$67</f>
        <v>27807.239999999998</v>
      </c>
      <c r="P59" s="299">
        <f>P56*'🎛️ Premissas'!$B$67</f>
        <v>30070.62</v>
      </c>
      <c r="Q59" s="299">
        <f>Q56*'🎛️ Premissas'!$B$67</f>
        <v>44255.375999999997</v>
      </c>
      <c r="R59" s="299">
        <f>R56*'🎛️ Premissas'!$B$67</f>
        <v>58076.711999999992</v>
      </c>
      <c r="S59" s="299">
        <f>S56*'🎛️ Premissas'!$B$67</f>
        <v>71594.435999999987</v>
      </c>
      <c r="T59" s="299">
        <f>T56*'🎛️ Premissas'!$B$67</f>
        <v>84818.051999999996</v>
      </c>
      <c r="U59" s="299">
        <f>U56*'🎛️ Premissas'!$B$67</f>
        <v>97790.616000000009</v>
      </c>
      <c r="V59" s="299">
        <f>V56*'🎛️ Premissas'!$B$67</f>
        <v>110531.23199999997</v>
      </c>
      <c r="W59" s="299">
        <f>W56*'🎛️ Premissas'!$B$67</f>
        <v>123075.79199999997</v>
      </c>
      <c r="X59" s="299">
        <f>X56*'🎛️ Premissas'!$B$67</f>
        <v>135433.82399999999</v>
      </c>
      <c r="Y59" s="299">
        <f>Y56*'🎛️ Premissas'!$B$67</f>
        <v>147631.644</v>
      </c>
      <c r="Z59" s="56"/>
    </row>
    <row r="60" spans="1:26" hidden="1" outlineLevel="2" x14ac:dyDescent="0.2">
      <c r="A60" s="72" t="s">
        <v>273</v>
      </c>
      <c r="B60" s="56">
        <f t="shared" ref="B60:Y60" si="1">B56-B57-B58-B59</f>
        <v>-44240.949249999998</v>
      </c>
      <c r="C60" s="299">
        <f t="shared" si="1"/>
        <v>-33481.898500000003</v>
      </c>
      <c r="D60" s="299">
        <f t="shared" si="1"/>
        <v>-22722.847749999997</v>
      </c>
      <c r="E60" s="299">
        <f t="shared" si="1"/>
        <v>-11963.797000000002</v>
      </c>
      <c r="F60" s="299">
        <f t="shared" si="1"/>
        <v>-1204.7462499999983</v>
      </c>
      <c r="G60" s="299">
        <f t="shared" si="1"/>
        <v>9554.3045000000038</v>
      </c>
      <c r="H60" s="299">
        <f t="shared" si="1"/>
        <v>20313.355249999993</v>
      </c>
      <c r="I60" s="299">
        <f t="shared" si="1"/>
        <v>31072.405999999995</v>
      </c>
      <c r="J60" s="299">
        <f t="shared" si="1"/>
        <v>41831.456749999998</v>
      </c>
      <c r="K60" s="299">
        <f t="shared" si="1"/>
        <v>52590.507500000007</v>
      </c>
      <c r="L60" s="299">
        <f t="shared" si="1"/>
        <v>63349.558250000002</v>
      </c>
      <c r="M60" s="299">
        <f t="shared" si="1"/>
        <v>74108.609000000011</v>
      </c>
      <c r="N60" s="299">
        <f t="shared" si="1"/>
        <v>71660.834874999986</v>
      </c>
      <c r="O60" s="299">
        <f t="shared" si="1"/>
        <v>84213.060750000004</v>
      </c>
      <c r="P60" s="299">
        <f t="shared" si="1"/>
        <v>96765.286625000008</v>
      </c>
      <c r="Q60" s="299">
        <f t="shared" si="1"/>
        <v>182437.93726999999</v>
      </c>
      <c r="R60" s="299">
        <f t="shared" si="1"/>
        <v>265703.69688499992</v>
      </c>
      <c r="S60" s="299">
        <f t="shared" si="1"/>
        <v>346949.50313999993</v>
      </c>
      <c r="T60" s="299">
        <f t="shared" si="1"/>
        <v>426259.95510499994</v>
      </c>
      <c r="U60" s="299">
        <f t="shared" si="1"/>
        <v>503914.93432999996</v>
      </c>
      <c r="V60" s="299">
        <f t="shared" si="1"/>
        <v>580050.40281499992</v>
      </c>
      <c r="W60" s="299">
        <f t="shared" si="1"/>
        <v>654895.25635999988</v>
      </c>
      <c r="X60" s="299">
        <f t="shared" si="1"/>
        <v>728524.6791549999</v>
      </c>
      <c r="Y60" s="299">
        <f t="shared" si="1"/>
        <v>801109.00087999995</v>
      </c>
      <c r="Z60" s="56"/>
    </row>
    <row r="61" spans="1:26" hidden="1" outlineLevel="2" x14ac:dyDescent="0.2">
      <c r="A61" s="72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idden="1" outlineLevel="2" x14ac:dyDescent="0.2">
      <c r="A62" s="72" t="s">
        <v>354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idden="1" outlineLevel="2" x14ac:dyDescent="0.2">
      <c r="A63" s="72" t="s">
        <v>350</v>
      </c>
      <c r="B63" s="56">
        <f>'🎛️ Premissas'!$B$61</f>
        <v>3000</v>
      </c>
      <c r="C63" s="299">
        <f>B63+'🎛️ Premissas'!$C$28</f>
        <v>6500</v>
      </c>
      <c r="D63" s="299">
        <f>C63+'🎛️ Premissas'!$C$28</f>
        <v>10000</v>
      </c>
      <c r="E63" s="299">
        <f>D63+'🎛️ Premissas'!$C$28</f>
        <v>13500</v>
      </c>
      <c r="F63" s="299">
        <f>E63+'🎛️ Premissas'!$C$28</f>
        <v>17000</v>
      </c>
      <c r="G63" s="299">
        <f>F63+'🎛️ Premissas'!$C$28</f>
        <v>20500</v>
      </c>
      <c r="H63" s="299">
        <f>G63+'🎛️ Premissas'!$C$28</f>
        <v>24000</v>
      </c>
      <c r="I63" s="299">
        <f>H63+'🎛️ Premissas'!$C$28</f>
        <v>27500</v>
      </c>
      <c r="J63" s="299">
        <f>I63+'🎛️ Premissas'!$C$28</f>
        <v>31000</v>
      </c>
      <c r="K63" s="299">
        <f>J63+'🎛️ Premissas'!$C$28</f>
        <v>34500</v>
      </c>
      <c r="L63" s="299">
        <f>K63+'🎛️ Premissas'!$C$28</f>
        <v>38000</v>
      </c>
      <c r="M63" s="299">
        <f>L63+'🎛️ Premissas'!$C$28</f>
        <v>41500</v>
      </c>
      <c r="N63" s="299">
        <f>M63+'🎛️ Premissas'!$C$29</f>
        <v>45500</v>
      </c>
      <c r="O63" s="299">
        <f>N63+'🎛️ Premissas'!$C$29</f>
        <v>49500</v>
      </c>
      <c r="P63" s="299">
        <f>O63+'🎛️ Premissas'!$C$29</f>
        <v>53500</v>
      </c>
      <c r="Q63" s="299">
        <f>P63+'🎛️ Premissas'!$C$29</f>
        <v>57500</v>
      </c>
      <c r="R63" s="299">
        <f>Q63+'🎛️ Premissas'!$C$29</f>
        <v>61500</v>
      </c>
      <c r="S63" s="299">
        <f>R63+'🎛️ Premissas'!$C$29</f>
        <v>65500</v>
      </c>
      <c r="T63" s="299">
        <f>S63+'🎛️ Premissas'!$C$29</f>
        <v>69500</v>
      </c>
      <c r="U63" s="299">
        <f>T63+'🎛️ Premissas'!$C$29</f>
        <v>73500</v>
      </c>
      <c r="V63" s="299">
        <f>U63+'🎛️ Premissas'!$C$29</f>
        <v>77500</v>
      </c>
      <c r="W63" s="299">
        <f>V63+'🎛️ Premissas'!$C$29</f>
        <v>81500</v>
      </c>
      <c r="X63" s="299">
        <f>W63+'🎛️ Premissas'!$C$29</f>
        <v>85500</v>
      </c>
      <c r="Y63" s="299">
        <f>X63+'🎛️ Premissas'!$C$29</f>
        <v>89500</v>
      </c>
      <c r="Z63" s="56"/>
    </row>
    <row r="64" spans="1:26" hidden="1" outlineLevel="2" x14ac:dyDescent="0.2">
      <c r="A64" s="72" t="s">
        <v>247</v>
      </c>
      <c r="B64" s="56">
        <f>ROUND(B63*'🎛️ Premissas'!$C$30,0)</f>
        <v>240</v>
      </c>
      <c r="C64" s="56">
        <f>ROUND(C63*'🎛️ Premissas'!$C$30,0)</f>
        <v>520</v>
      </c>
      <c r="D64" s="56">
        <f>ROUND(D63*'🎛️ Premissas'!$C$30,0)</f>
        <v>800</v>
      </c>
      <c r="E64" s="56">
        <f>ROUND(E63*'🎛️ Premissas'!$C$30,0)</f>
        <v>1080</v>
      </c>
      <c r="F64" s="56">
        <f>ROUND(F63*'🎛️ Premissas'!$C$30,0)</f>
        <v>1360</v>
      </c>
      <c r="G64" s="56">
        <f>ROUND(G63*'🎛️ Premissas'!$C$30,0)</f>
        <v>1640</v>
      </c>
      <c r="H64" s="56">
        <f>ROUND(H63*'🎛️ Premissas'!$C$30,0)</f>
        <v>1920</v>
      </c>
      <c r="I64" s="56">
        <f>ROUND(I63*'🎛️ Premissas'!$C$30,0)</f>
        <v>2200</v>
      </c>
      <c r="J64" s="56">
        <f>ROUND(J63*'🎛️ Premissas'!$C$30,0)</f>
        <v>2480</v>
      </c>
      <c r="K64" s="56">
        <f>ROUND(K63*'🎛️ Premissas'!$C$30,0)</f>
        <v>2760</v>
      </c>
      <c r="L64" s="56">
        <f>ROUND(L63*'🎛️ Premissas'!$C$30,0)</f>
        <v>3040</v>
      </c>
      <c r="M64" s="56">
        <f>ROUND(M63*'🎛️ Premissas'!$C$30,0)</f>
        <v>3320</v>
      </c>
      <c r="N64" s="56">
        <f>ROUND(N63*'🎛️ Premissas'!$C$30,0)</f>
        <v>3640</v>
      </c>
      <c r="O64" s="56">
        <f>ROUND(O63*'🎛️ Premissas'!$C$30,0)</f>
        <v>3960</v>
      </c>
      <c r="P64" s="56">
        <f>ROUND(P63*'🎛️ Premissas'!$C$30,0)</f>
        <v>4280</v>
      </c>
      <c r="Q64" s="56">
        <f>ROUND(P64*(1-'🎛️ Premissas'!$C$33)+MAX(0,Q63-P67)*'🎛️ Premissas'!$C$30,0)</f>
        <v>7938</v>
      </c>
      <c r="R64" s="56">
        <f>ROUND(Q64*(1-'🎛️ Premissas'!$C$33)+MAX(0,R63-Q67)*'🎛️ Premissas'!$C$30,0)</f>
        <v>11325</v>
      </c>
      <c r="S64" s="56">
        <f>ROUND(R64*(1-'🎛️ Premissas'!$C$33)+MAX(0,S63-R67)*'🎛️ Premissas'!$C$30,0)</f>
        <v>14474</v>
      </c>
      <c r="T64" s="56">
        <f>ROUND(S64*(1-'🎛️ Premissas'!$C$33)+MAX(0,T63-S67)*'🎛️ Premissas'!$C$30,0)</f>
        <v>17413</v>
      </c>
      <c r="U64" s="56">
        <f>ROUND(T64*(1-'🎛️ Premissas'!$C$33)+MAX(0,U63-T67)*'🎛️ Premissas'!$C$30,0)</f>
        <v>20169</v>
      </c>
      <c r="V64" s="56">
        <f>ROUND(U64*(1-'🎛️ Premissas'!$C$33)+MAX(0,V63-U67)*'🎛️ Premissas'!$C$30,0)</f>
        <v>22764</v>
      </c>
      <c r="W64" s="56">
        <f>ROUND(V64*(1-'🎛️ Premissas'!$C$33)+MAX(0,W63-V67)*'🎛️ Premissas'!$C$30,0)</f>
        <v>25218</v>
      </c>
      <c r="X64" s="56">
        <f>ROUND(W64*(1-'🎛️ Premissas'!$C$33)+MAX(0,X63-W67)*'🎛️ Premissas'!$C$30,0)</f>
        <v>27549</v>
      </c>
      <c r="Y64" s="56">
        <f>ROUND(X64*(1-'🎛️ Premissas'!$C$33)+MAX(0,Y63-X67)*'🎛️ Premissas'!$C$30,0)</f>
        <v>29773</v>
      </c>
      <c r="Z64" s="56"/>
    </row>
    <row r="65" spans="1:26" hidden="1" outlineLevel="2" x14ac:dyDescent="0.2">
      <c r="A65" s="72" t="s">
        <v>248</v>
      </c>
      <c r="B65" s="56">
        <f>ROUND(B63*'🎛️ Premissas'!$C$31,0)</f>
        <v>120</v>
      </c>
      <c r="C65" s="56">
        <f>ROUND(C63*'🎛️ Premissas'!$C$31,0)</f>
        <v>260</v>
      </c>
      <c r="D65" s="56">
        <f>ROUND(D63*'🎛️ Premissas'!$C$31,0)</f>
        <v>400</v>
      </c>
      <c r="E65" s="56">
        <f>ROUND(E63*'🎛️ Premissas'!$C$31,0)</f>
        <v>540</v>
      </c>
      <c r="F65" s="56">
        <f>ROUND(F63*'🎛️ Premissas'!$C$31,0)</f>
        <v>680</v>
      </c>
      <c r="G65" s="56">
        <f>ROUND(G63*'🎛️ Premissas'!$C$31,0)</f>
        <v>820</v>
      </c>
      <c r="H65" s="56">
        <f>ROUND(H63*'🎛️ Premissas'!$C$31,0)</f>
        <v>960</v>
      </c>
      <c r="I65" s="56">
        <f>ROUND(I63*'🎛️ Premissas'!$C$31,0)</f>
        <v>1100</v>
      </c>
      <c r="J65" s="56">
        <f>ROUND(J63*'🎛️ Premissas'!$C$31,0)</f>
        <v>1240</v>
      </c>
      <c r="K65" s="56">
        <f>ROUND(K63*'🎛️ Premissas'!$C$31,0)</f>
        <v>1380</v>
      </c>
      <c r="L65" s="56">
        <f>ROUND(L63*'🎛️ Premissas'!$C$31,0)</f>
        <v>1520</v>
      </c>
      <c r="M65" s="56">
        <f>ROUND(M63*'🎛️ Premissas'!$C$31,0)</f>
        <v>1660</v>
      </c>
      <c r="N65" s="56">
        <f>ROUND(N63*'🎛️ Premissas'!$C$31,0)</f>
        <v>1820</v>
      </c>
      <c r="O65" s="56">
        <f>ROUND(O63*'🎛️ Premissas'!$C$31,0)</f>
        <v>1980</v>
      </c>
      <c r="P65" s="56">
        <f>ROUND(P63*'🎛️ Premissas'!$C$31,0)</f>
        <v>2140</v>
      </c>
      <c r="Q65" s="56">
        <f>ROUND(P65*(1-'🎛️ Premissas'!$C$34)+MAX(0,Q64-P65-P66)*'🎛️ Premissas'!$C$31,0)</f>
        <v>2222</v>
      </c>
      <c r="R65" s="56">
        <f>ROUND(Q65*(1-'🎛️ Premissas'!$C$34)+MAX(0,R64-Q65-Q66)*'🎛️ Premissas'!$C$31,0)</f>
        <v>2433</v>
      </c>
      <c r="S65" s="56">
        <f>ROUND(R65*(1-'🎛️ Premissas'!$C$34)+MAX(0,S64-R65-R66)*'🎛️ Premissas'!$C$31,0)</f>
        <v>2751</v>
      </c>
      <c r="T65" s="56">
        <f>ROUND(S65*(1-'🎛️ Premissas'!$C$34)+MAX(0,T64-S65-S66)*'🎛️ Premissas'!$C$31,0)</f>
        <v>3158</v>
      </c>
      <c r="U65" s="56">
        <f>ROUND(T65*(1-'🎛️ Premissas'!$C$34)+MAX(0,U64-T65-T66)*'🎛️ Premissas'!$C$31,0)</f>
        <v>3638</v>
      </c>
      <c r="V65" s="56">
        <f>ROUND(U65*(1-'🎛️ Premissas'!$C$34)+MAX(0,V64-U65-U66)*'🎛️ Premissas'!$C$31,0)</f>
        <v>4178</v>
      </c>
      <c r="W65" s="56">
        <f>ROUND(V65*(1-'🎛️ Premissas'!$C$34)+MAX(0,W64-V65-V66)*'🎛️ Premissas'!$C$31,0)</f>
        <v>4766</v>
      </c>
      <c r="X65" s="56">
        <f>ROUND(W65*(1-'🎛️ Premissas'!$C$34)+MAX(0,X64-W65-W66)*'🎛️ Premissas'!$C$31,0)</f>
        <v>5393</v>
      </c>
      <c r="Y65" s="56">
        <f>ROUND(X65*(1-'🎛️ Premissas'!$C$34)+MAX(0,Y64-X65-X66)*'🎛️ Premissas'!$C$31,0)</f>
        <v>6050</v>
      </c>
      <c r="Z65" s="56"/>
    </row>
    <row r="66" spans="1:26" hidden="1" outlineLevel="2" x14ac:dyDescent="0.2">
      <c r="A66" s="72" t="s">
        <v>249</v>
      </c>
      <c r="B66" s="56">
        <f>ROUND(B63*'🎛️ Premissas'!$C$32,0)</f>
        <v>60</v>
      </c>
      <c r="C66" s="56">
        <f>ROUND(C63*'🎛️ Premissas'!$C$32,0)</f>
        <v>130</v>
      </c>
      <c r="D66" s="56">
        <f>ROUND(D63*'🎛️ Premissas'!$C$32,0)</f>
        <v>200</v>
      </c>
      <c r="E66" s="56">
        <f>ROUND(E63*'🎛️ Premissas'!$C$32,0)</f>
        <v>270</v>
      </c>
      <c r="F66" s="56">
        <f>ROUND(F63*'🎛️ Premissas'!$C$32,0)</f>
        <v>340</v>
      </c>
      <c r="G66" s="56">
        <f>ROUND(G63*'🎛️ Premissas'!$C$32,0)</f>
        <v>410</v>
      </c>
      <c r="H66" s="56">
        <f>ROUND(H63*'🎛️ Premissas'!$C$32,0)</f>
        <v>480</v>
      </c>
      <c r="I66" s="56">
        <f>ROUND(I63*'🎛️ Premissas'!$C$32,0)</f>
        <v>550</v>
      </c>
      <c r="J66" s="56">
        <f>ROUND(J63*'🎛️ Premissas'!$C$32,0)</f>
        <v>620</v>
      </c>
      <c r="K66" s="56">
        <f>ROUND(K63*'🎛️ Premissas'!$C$32,0)</f>
        <v>690</v>
      </c>
      <c r="L66" s="56">
        <f>ROUND(L63*'🎛️ Premissas'!$C$32,0)</f>
        <v>760</v>
      </c>
      <c r="M66" s="56">
        <f>ROUND(M63*'🎛️ Premissas'!$C$32,0)</f>
        <v>830</v>
      </c>
      <c r="N66" s="56">
        <f>ROUND(N63*'🎛️ Premissas'!$C$32,0)</f>
        <v>910</v>
      </c>
      <c r="O66" s="56">
        <f>ROUND(O63*'🎛️ Premissas'!$C$32,0)</f>
        <v>990</v>
      </c>
      <c r="P66" s="56">
        <f>ROUND(P63*'🎛️ Premissas'!$C$32,0)</f>
        <v>1070</v>
      </c>
      <c r="Q66" s="56">
        <f>ROUND(P66*(1-'🎛️ Premissas'!$C$35)+MAX(0,Q65-P66)*'🎛️ Premissas'!$C$32,0)</f>
        <v>1061</v>
      </c>
      <c r="R66" s="56">
        <f>ROUND(Q66*(1-'🎛️ Premissas'!$C$35)+MAX(0,R65-Q66)*'🎛️ Premissas'!$C$32,0)</f>
        <v>1057</v>
      </c>
      <c r="S66" s="56">
        <f>ROUND(R66*(1-'🎛️ Premissas'!$C$35)+MAX(0,S65-R66)*'🎛️ Premissas'!$C$32,0)</f>
        <v>1059</v>
      </c>
      <c r="T66" s="56">
        <f>ROUND(S66*(1-'🎛️ Premissas'!$C$35)+MAX(0,T65-S66)*'🎛️ Premissas'!$C$32,0)</f>
        <v>1069</v>
      </c>
      <c r="U66" s="56">
        <f>ROUND(T66*(1-'🎛️ Premissas'!$C$35)+MAX(0,U65-T66)*'🎛️ Premissas'!$C$32,0)</f>
        <v>1088</v>
      </c>
      <c r="V66" s="56">
        <f>ROUND(U66*(1-'🎛️ Premissas'!$C$35)+MAX(0,V65-U66)*'🎛️ Premissas'!$C$32,0)</f>
        <v>1117</v>
      </c>
      <c r="W66" s="56">
        <f>ROUND(V66*(1-'🎛️ Premissas'!$C$35)+MAX(0,W65-V66)*'🎛️ Premissas'!$C$32,0)</f>
        <v>1156</v>
      </c>
      <c r="X66" s="56">
        <f>ROUND(W66*(1-'🎛️ Premissas'!$C$35)+MAX(0,X65-W66)*'🎛️ Premissas'!$C$32,0)</f>
        <v>1206</v>
      </c>
      <c r="Y66" s="56">
        <f>ROUND(X66*(1-'🎛️ Premissas'!$C$35)+MAX(0,Y65-X66)*'🎛️ Premissas'!$C$32,0)</f>
        <v>1267</v>
      </c>
      <c r="Z66" s="56"/>
    </row>
    <row r="67" spans="1:26" hidden="1" outlineLevel="2" x14ac:dyDescent="0.2">
      <c r="A67" s="72" t="s">
        <v>240</v>
      </c>
      <c r="B67" s="56">
        <f t="shared" ref="B67:Y67" si="2">SUM(B64:B66)</f>
        <v>420</v>
      </c>
      <c r="C67" s="299">
        <f t="shared" si="2"/>
        <v>910</v>
      </c>
      <c r="D67" s="299">
        <f t="shared" si="2"/>
        <v>1400</v>
      </c>
      <c r="E67" s="299">
        <f t="shared" si="2"/>
        <v>1890</v>
      </c>
      <c r="F67" s="299">
        <f t="shared" si="2"/>
        <v>2380</v>
      </c>
      <c r="G67" s="299">
        <f t="shared" si="2"/>
        <v>2870</v>
      </c>
      <c r="H67" s="299">
        <f t="shared" si="2"/>
        <v>3360</v>
      </c>
      <c r="I67" s="299">
        <f t="shared" si="2"/>
        <v>3850</v>
      </c>
      <c r="J67" s="299">
        <f t="shared" si="2"/>
        <v>4340</v>
      </c>
      <c r="K67" s="299">
        <f t="shared" si="2"/>
        <v>4830</v>
      </c>
      <c r="L67" s="299">
        <f t="shared" si="2"/>
        <v>5320</v>
      </c>
      <c r="M67" s="299">
        <f t="shared" si="2"/>
        <v>5810</v>
      </c>
      <c r="N67" s="299">
        <f t="shared" si="2"/>
        <v>6370</v>
      </c>
      <c r="O67" s="299">
        <f t="shared" si="2"/>
        <v>6930</v>
      </c>
      <c r="P67" s="299">
        <f t="shared" si="2"/>
        <v>7490</v>
      </c>
      <c r="Q67" s="299">
        <f t="shared" si="2"/>
        <v>11221</v>
      </c>
      <c r="R67" s="299">
        <f t="shared" si="2"/>
        <v>14815</v>
      </c>
      <c r="S67" s="299">
        <f t="shared" si="2"/>
        <v>18284</v>
      </c>
      <c r="T67" s="299">
        <f t="shared" si="2"/>
        <v>21640</v>
      </c>
      <c r="U67" s="299">
        <f t="shared" si="2"/>
        <v>24895</v>
      </c>
      <c r="V67" s="299">
        <f t="shared" si="2"/>
        <v>28059</v>
      </c>
      <c r="W67" s="299">
        <f t="shared" si="2"/>
        <v>31140</v>
      </c>
      <c r="X67" s="299">
        <f t="shared" si="2"/>
        <v>34148</v>
      </c>
      <c r="Y67" s="299">
        <f t="shared" si="2"/>
        <v>37090</v>
      </c>
      <c r="Z67" s="56"/>
    </row>
    <row r="68" spans="1:26" hidden="1" outlineLevel="2" x14ac:dyDescent="0.2">
      <c r="A68" s="72" t="s">
        <v>241</v>
      </c>
      <c r="B68" s="56">
        <f>B64*'🎛️ Premissas'!$C$5+B65*'🎛️ Premissas'!$C$6+B66*'🎛️ Premissas'!$C$7</f>
        <v>23958</v>
      </c>
      <c r="C68" s="299">
        <f>C64*'🎛️ Premissas'!$C$5+C65*'🎛️ Premissas'!$C$6+C66*'🎛️ Premissas'!$C$7</f>
        <v>51909</v>
      </c>
      <c r="D68" s="299">
        <f>D64*'🎛️ Premissas'!$C$5+D65*'🎛️ Premissas'!$C$6+D66*'🎛️ Premissas'!$C$7</f>
        <v>79860</v>
      </c>
      <c r="E68" s="299">
        <f>E64*'🎛️ Premissas'!$C$5+E65*'🎛️ Premissas'!$C$6+E66*'🎛️ Premissas'!$C$7</f>
        <v>107811</v>
      </c>
      <c r="F68" s="299">
        <f>F64*'🎛️ Premissas'!$C$5+F65*'🎛️ Premissas'!$C$6+F66*'🎛️ Premissas'!$C$7</f>
        <v>135762</v>
      </c>
      <c r="G68" s="299">
        <f>G64*'🎛️ Premissas'!$C$5+G65*'🎛️ Premissas'!$C$6+G66*'🎛️ Premissas'!$C$7</f>
        <v>163713</v>
      </c>
      <c r="H68" s="299">
        <f>H64*'🎛️ Premissas'!$C$5+H65*'🎛️ Premissas'!$C$6+H66*'🎛️ Premissas'!$C$7</f>
        <v>191664</v>
      </c>
      <c r="I68" s="299">
        <f>I64*'🎛️ Premissas'!$C$5+I65*'🎛️ Premissas'!$C$6+I66*'🎛️ Premissas'!$C$7</f>
        <v>219615</v>
      </c>
      <c r="J68" s="299">
        <f>J64*'🎛️ Premissas'!$C$5+J65*'🎛️ Premissas'!$C$6+J66*'🎛️ Premissas'!$C$7</f>
        <v>247566</v>
      </c>
      <c r="K68" s="299">
        <f>K64*'🎛️ Premissas'!$C$5+K65*'🎛️ Premissas'!$C$6+K66*'🎛️ Premissas'!$C$7</f>
        <v>275517</v>
      </c>
      <c r="L68" s="299">
        <f>L64*'🎛️ Premissas'!$C$5+L65*'🎛️ Premissas'!$C$6+L66*'🎛️ Premissas'!$C$7</f>
        <v>303468</v>
      </c>
      <c r="M68" s="299">
        <f>M64*'🎛️ Premissas'!$C$5+M65*'🎛️ Premissas'!$C$6+M66*'🎛️ Premissas'!$C$7</f>
        <v>331419</v>
      </c>
      <c r="N68" s="299">
        <f>N64*'🎛️ Premissas'!$C$5+N65*'🎛️ Premissas'!$C$6+N66*'🎛️ Premissas'!$C$7</f>
        <v>363363</v>
      </c>
      <c r="O68" s="299">
        <f>O64*'🎛️ Premissas'!$C$5+O65*'🎛️ Premissas'!$C$6+O66*'🎛️ Premissas'!$C$7</f>
        <v>395307</v>
      </c>
      <c r="P68" s="299">
        <f>P64*'🎛️ Premissas'!$C$5+P65*'🎛️ Premissas'!$C$6+P66*'🎛️ Premissas'!$C$7</f>
        <v>427251</v>
      </c>
      <c r="Q68" s="299">
        <f>Q64*'🎛️ Premissas'!$C$5+Q65*'🎛️ Premissas'!$C$6+Q66*'🎛️ Premissas'!$C$7</f>
        <v>613977.9</v>
      </c>
      <c r="R68" s="299">
        <f>R64*'🎛️ Premissas'!$C$5+R65*'🎛️ Premissas'!$C$6+R66*'🎛️ Premissas'!$C$7</f>
        <v>795308.5</v>
      </c>
      <c r="S68" s="299">
        <f>S64*'🎛️ Premissas'!$C$5+S65*'🎛️ Premissas'!$C$6+S66*'🎛️ Premissas'!$C$7</f>
        <v>971651.6</v>
      </c>
      <c r="T68" s="299">
        <f>T64*'🎛️ Premissas'!$C$5+T65*'🎛️ Premissas'!$C$6+T66*'🎛️ Premissas'!$C$7</f>
        <v>1143486</v>
      </c>
      <c r="U68" s="299">
        <f>U64*'🎛️ Premissas'!$C$5+U65*'🎛️ Premissas'!$C$6+U66*'🎛️ Premissas'!$C$7</f>
        <v>1311280.5</v>
      </c>
      <c r="V68" s="299">
        <f>V64*'🎛️ Premissas'!$C$5+V65*'🎛️ Premissas'!$C$6+V66*'🎛️ Premissas'!$C$7</f>
        <v>1475434.0999999999</v>
      </c>
      <c r="W68" s="299">
        <f>W64*'🎛️ Premissas'!$C$5+W65*'🎛️ Premissas'!$C$6+W66*'🎛️ Premissas'!$C$7</f>
        <v>1636225.9999999998</v>
      </c>
      <c r="X68" s="299">
        <f>X64*'🎛️ Premissas'!$C$5+X65*'🎛️ Premissas'!$C$6+X66*'🎛️ Premissas'!$C$7</f>
        <v>1794095.1999999997</v>
      </c>
      <c r="Y68" s="299">
        <f>Y64*'🎛️ Premissas'!$C$5+Y65*'🎛️ Premissas'!$C$6+Y66*'🎛️ Premissas'!$C$7</f>
        <v>1949301</v>
      </c>
      <c r="Z68" s="56"/>
    </row>
    <row r="69" spans="1:26" hidden="1" outlineLevel="2" x14ac:dyDescent="0.2">
      <c r="A69" s="72" t="s">
        <v>250</v>
      </c>
      <c r="B69" s="56">
        <f>B63*('🎛️ Premissas'!$C$14*('🎛️ Premissas'!$C$15*('🎛️ Premissas'!$G$9/1000000)+'🎛️ Premissas'!$C$16*('🎛️ Premissas'!$G$10/1000000))*(1-'🎛️ Premissas'!$C$12)*'🎛️ Premissas'!$C$9*'🎛️ Premissas'!$C$17)+B64*('🎛️ Premissas'!$C$18*('🎛️ Premissas'!$C$19*('🎛️ Premissas'!$C$10/1000000)+'🎛️ Premissas'!$C$20*('🎛️ Premissas'!$C$11/1000000))*(1-'🎛️ Premissas'!$C$12)*'🎛️ Premissas'!$C$9)+B65*(('🎛️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Premissas'!$C$9))+B66*(('🎛️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4667.6358</v>
      </c>
      <c r="C69" s="56">
        <f>C63*('🎛️ Premissas'!$C$14*('🎛️ Premissas'!$C$15*('🎛️ Premissas'!$G$9/1000000)+'🎛️ Premissas'!$C$16*('🎛️ Premissas'!$G$10/1000000))*(1-'🎛️ Premissas'!$C$12)*'🎛️ Premissas'!$C$9*'🎛️ Premissas'!$C$17)+C64*('🎛️ Premissas'!$C$18*('🎛️ Premissas'!$C$19*('🎛️ Premissas'!$C$10/1000000)+'🎛️ Premissas'!$C$20*('🎛️ Premissas'!$C$11/1000000))*(1-'🎛️ Premissas'!$C$12)*'🎛️ Premissas'!$C$9)+C65*(('🎛️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Premissas'!$C$9))+C66*(('🎛️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10113.210900000002</v>
      </c>
      <c r="D69" s="56">
        <f>D63*('🎛️ Premissas'!$C$14*('🎛️ Premissas'!$C$15*('🎛️ Premissas'!$G$9/1000000)+'🎛️ Premissas'!$C$16*('🎛️ Premissas'!$G$10/1000000))*(1-'🎛️ Premissas'!$C$12)*'🎛️ Premissas'!$C$9*'🎛️ Premissas'!$C$17)+D64*('🎛️ Premissas'!$C$18*('🎛️ Premissas'!$C$19*('🎛️ Premissas'!$C$10/1000000)+'🎛️ Premissas'!$C$20*('🎛️ Premissas'!$C$11/1000000))*(1-'🎛️ Premissas'!$C$12)*'🎛️ Premissas'!$C$9)+D65*(('🎛️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Premissas'!$C$9))+D66*(('🎛️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15558.786</v>
      </c>
      <c r="E69" s="56">
        <f>E63*('🎛️ Premissas'!$C$14*('🎛️ Premissas'!$C$15*('🎛️ Premissas'!$G$9/1000000)+'🎛️ Premissas'!$C$16*('🎛️ Premissas'!$G$10/1000000))*(1-'🎛️ Premissas'!$C$12)*'🎛️ Premissas'!$C$9*'🎛️ Premissas'!$C$17)+E64*('🎛️ Premissas'!$C$18*('🎛️ Premissas'!$C$19*('🎛️ Premissas'!$C$10/1000000)+'🎛️ Premissas'!$C$20*('🎛️ Premissas'!$C$11/1000000))*(1-'🎛️ Premissas'!$C$12)*'🎛️ Premissas'!$C$9)+E65*(('🎛️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Premissas'!$C$9))+E66*(('🎛️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21004.361100000002</v>
      </c>
      <c r="F69" s="56">
        <f>F63*('🎛️ Premissas'!$C$14*('🎛️ Premissas'!$C$15*('🎛️ Premissas'!$G$9/1000000)+'🎛️ Premissas'!$C$16*('🎛️ Premissas'!$G$10/1000000))*(1-'🎛️ Premissas'!$C$12)*'🎛️ Premissas'!$C$9*'🎛️ Premissas'!$C$17)+F64*('🎛️ Premissas'!$C$18*('🎛️ Premissas'!$C$19*('🎛️ Premissas'!$C$10/1000000)+'🎛️ Premissas'!$C$20*('🎛️ Premissas'!$C$11/1000000))*(1-'🎛️ Premissas'!$C$12)*'🎛️ Premissas'!$C$9)+F65*(('🎛️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Premissas'!$C$9))+F66*(('🎛️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26449.9362</v>
      </c>
      <c r="G69" s="56">
        <f>G63*('🎛️ Premissas'!$C$14*('🎛️ Premissas'!$C$15*('🎛️ Premissas'!$G$9/1000000)+'🎛️ Premissas'!$C$16*('🎛️ Premissas'!$G$10/1000000))*(1-'🎛️ Premissas'!$C$12)*'🎛️ Premissas'!$C$9*'🎛️ Premissas'!$C$17)+G64*('🎛️ Premissas'!$C$18*('🎛️ Premissas'!$C$19*('🎛️ Premissas'!$C$10/1000000)+'🎛️ Premissas'!$C$20*('🎛️ Premissas'!$C$11/1000000))*(1-'🎛️ Premissas'!$C$12)*'🎛️ Premissas'!$C$9)+G65*(('🎛️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Premissas'!$C$9))+G66*(('🎛️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31895.511300000006</v>
      </c>
      <c r="H69" s="56">
        <f>H63*('🎛️ Premissas'!$C$14*('🎛️ Premissas'!$C$15*('🎛️ Premissas'!$G$9/1000000)+'🎛️ Premissas'!$C$16*('🎛️ Premissas'!$G$10/1000000))*(1-'🎛️ Premissas'!$C$12)*'🎛️ Premissas'!$C$9*'🎛️ Premissas'!$C$17)+H64*('🎛️ Premissas'!$C$18*('🎛️ Premissas'!$C$19*('🎛️ Premissas'!$C$10/1000000)+'🎛️ Premissas'!$C$20*('🎛️ Premissas'!$C$11/1000000))*(1-'🎛️ Premissas'!$C$12)*'🎛️ Premissas'!$C$9)+H65*(('🎛️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Premissas'!$C$9))+H66*(('🎛️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37341.0864</v>
      </c>
      <c r="I69" s="56">
        <f>I63*('🎛️ Premissas'!$C$14*('🎛️ Premissas'!$C$15*('🎛️ Premissas'!$G$9/1000000)+'🎛️ Premissas'!$C$16*('🎛️ Premissas'!$G$10/1000000))*(1-'🎛️ Premissas'!$C$12)*'🎛️ Premissas'!$C$9*'🎛️ Premissas'!$C$17)+I64*('🎛️ Premissas'!$C$18*('🎛️ Premissas'!$C$19*('🎛️ Premissas'!$C$10/1000000)+'🎛️ Premissas'!$C$20*('🎛️ Premissas'!$C$11/1000000))*(1-'🎛️ Premissas'!$C$12)*'🎛️ Premissas'!$C$9)+I65*(('🎛️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Premissas'!$C$9))+I66*(('🎛️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42786.661500000002</v>
      </c>
      <c r="J69" s="56">
        <f>J63*('🎛️ Premissas'!$C$14*('🎛️ Premissas'!$C$15*('🎛️ Premissas'!$G$9/1000000)+'🎛️ Premissas'!$C$16*('🎛️ Premissas'!$G$10/1000000))*(1-'🎛️ Premissas'!$C$12)*'🎛️ Premissas'!$C$9*'🎛️ Premissas'!$C$17)+J64*('🎛️ Premissas'!$C$18*('🎛️ Premissas'!$C$19*('🎛️ Premissas'!$C$10/1000000)+'🎛️ Premissas'!$C$20*('🎛️ Premissas'!$C$11/1000000))*(1-'🎛️ Premissas'!$C$12)*'🎛️ Premissas'!$C$9)+J65*(('🎛️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Premissas'!$C$9))+J66*(('🎛️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48232.236600000004</v>
      </c>
      <c r="K69" s="56">
        <f>K63*('🎛️ Premissas'!$C$14*('🎛️ Premissas'!$C$15*('🎛️ Premissas'!$G$9/1000000)+'🎛️ Premissas'!$C$16*('🎛️ Premissas'!$G$10/1000000))*(1-'🎛️ Premissas'!$C$12)*'🎛️ Premissas'!$C$9*'🎛️ Premissas'!$C$17)+K64*('🎛️ Premissas'!$C$18*('🎛️ Premissas'!$C$19*('🎛️ Premissas'!$C$10/1000000)+'🎛️ Premissas'!$C$20*('🎛️ Premissas'!$C$11/1000000))*(1-'🎛️ Premissas'!$C$12)*'🎛️ Premissas'!$C$9)+K65*(('🎛️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Premissas'!$C$9))+K66*(('🎛️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53677.811700000006</v>
      </c>
      <c r="L69" s="56">
        <f>L63*('🎛️ Premissas'!$C$14*('🎛️ Premissas'!$C$15*('🎛️ Premissas'!$G$9/1000000)+'🎛️ Premissas'!$C$16*('🎛️ Premissas'!$G$10/1000000))*(1-'🎛️ Premissas'!$C$12)*'🎛️ Premissas'!$C$9*'🎛️ Premissas'!$C$17)+L64*('🎛️ Premissas'!$C$18*('🎛️ Premissas'!$C$19*('🎛️ Premissas'!$C$10/1000000)+'🎛️ Premissas'!$C$20*('🎛️ Premissas'!$C$11/1000000))*(1-'🎛️ Premissas'!$C$12)*'🎛️ Premissas'!$C$9)+L65*(('🎛️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Premissas'!$C$9))+L66*(('🎛️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59123.386800000007</v>
      </c>
      <c r="M69" s="56">
        <f>M63*('🎛️ Premissas'!$C$14*('🎛️ Premissas'!$C$15*('🎛️ Premissas'!$G$9/1000000)+'🎛️ Premissas'!$C$16*('🎛️ Premissas'!$G$10/1000000))*(1-'🎛️ Premissas'!$C$12)*'🎛️ Premissas'!$C$9*'🎛️ Premissas'!$C$17)+M64*('🎛️ Premissas'!$C$18*('🎛️ Premissas'!$C$19*('🎛️ Premissas'!$C$10/1000000)+'🎛️ Premissas'!$C$20*('🎛️ Premissas'!$C$11/1000000))*(1-'🎛️ Premissas'!$C$12)*'🎛️ Premissas'!$C$9)+M65*(('🎛️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Premissas'!$C$9))+M66*(('🎛️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64568.961900000009</v>
      </c>
      <c r="N69" s="56">
        <f>N63*('🎛️ Premissas'!$C$14*('🎛️ Premissas'!$C$15*('🎛️ Premissas'!$G$9/1000000)+'🎛️ Premissas'!$C$16*('🎛️ Premissas'!$G$10/1000000))*(1-'🎛️ Premissas'!$C$12)*'🎛️ Premissas'!$C$9*'🎛️ Premissas'!$C$17)+N64*('🎛️ Premissas'!$C$18*('🎛️ Premissas'!$C$19*('🎛️ Premissas'!$C$10/1000000)+'🎛️ Premissas'!$C$20*('🎛️ Premissas'!$C$11/1000000))*(1-'🎛️ Premissas'!$C$12)*'🎛️ Premissas'!$C$9)+N65*(('🎛️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Premissas'!$C$9))+N66*(('🎛️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70792.476300000009</v>
      </c>
      <c r="O69" s="56">
        <f>O63*('🎛️ Premissas'!$C$14*('🎛️ Premissas'!$C$15*('🎛️ Premissas'!$G$9/1000000)+'🎛️ Premissas'!$C$16*('🎛️ Premissas'!$G$10/1000000))*(1-'🎛️ Premissas'!$C$12)*'🎛️ Premissas'!$C$9*'🎛️ Premissas'!$C$17)+O64*('🎛️ Premissas'!$C$18*('🎛️ Premissas'!$C$19*('🎛️ Premissas'!$C$10/1000000)+'🎛️ Premissas'!$C$20*('🎛️ Premissas'!$C$11/1000000))*(1-'🎛️ Premissas'!$C$12)*'🎛️ Premissas'!$C$9)+O65*(('🎛️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Premissas'!$C$9))+O66*(('🎛️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77015.990700000009</v>
      </c>
      <c r="P69" s="56">
        <f>P63*('🎛️ Premissas'!$C$14*('🎛️ Premissas'!$C$15*('🎛️ Premissas'!$G$9/1000000)+'🎛️ Premissas'!$C$16*('🎛️ Premissas'!$G$10/1000000))*(1-'🎛️ Premissas'!$C$12)*'🎛️ Premissas'!$C$9*'🎛️ Premissas'!$C$17)+P64*('🎛️ Premissas'!$C$18*('🎛️ Premissas'!$C$19*('🎛️ Premissas'!$C$10/1000000)+'🎛️ Premissas'!$C$20*('🎛️ Premissas'!$C$11/1000000))*(1-'🎛️ Premissas'!$C$12)*'🎛️ Premissas'!$C$9)+P65*(('🎛️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Premissas'!$C$9))+P66*(('🎛️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83239.505100000009</v>
      </c>
      <c r="Q69" s="56">
        <f>Q63*('🎛️ Premissas'!$C$14*('🎛️ Premissas'!$C$15*('🎛️ Premissas'!$G$9/1000000)+'🎛️ Premissas'!$C$16*('🎛️ Premissas'!$G$10/1000000))*(1-'🎛️ Premissas'!$C$12)*'🎛️ Premissas'!$C$9*'🎛️ Premissas'!$C$17)+Q64*('🎛️ Premissas'!$C$18*('🎛️ Premissas'!$C$19*('🎛️ Premissas'!$C$10/1000000)+'🎛️ Premissas'!$C$20*('🎛️ Premissas'!$C$11/1000000))*(1-'🎛️ Premissas'!$C$12)*'🎛️ Premissas'!$C$9)+Q65*(('🎛️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Premissas'!$C$9))+Q66*(('🎛️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108998.51634</v>
      </c>
      <c r="R69" s="56">
        <f>R63*('🎛️ Premissas'!$C$14*('🎛️ Premissas'!$C$15*('🎛️ Premissas'!$G$9/1000000)+'🎛️ Premissas'!$C$16*('🎛️ Premissas'!$G$10/1000000))*(1-'🎛️ Premissas'!$C$12)*'🎛️ Premissas'!$C$9*'🎛️ Premissas'!$C$17)+R64*('🎛️ Premissas'!$C$18*('🎛️ Premissas'!$C$19*('🎛️ Premissas'!$C$10/1000000)+'🎛️ Premissas'!$C$20*('🎛️ Premissas'!$C$11/1000000))*(1-'🎛️ Premissas'!$C$12)*'🎛️ Premissas'!$C$9)+R65*(('🎛️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Premissas'!$C$9))+R66*(('🎛️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134571.28770000002</v>
      </c>
      <c r="S69" s="56">
        <f>S63*('🎛️ Premissas'!$C$14*('🎛️ Premissas'!$C$15*('🎛️ Premissas'!$G$9/1000000)+'🎛️ Premissas'!$C$16*('🎛️ Premissas'!$G$10/1000000))*(1-'🎛️ Premissas'!$C$12)*'🎛️ Premissas'!$C$9*'🎛️ Premissas'!$C$17)+S64*('🎛️ Premissas'!$C$18*('🎛️ Premissas'!$C$19*('🎛️ Premissas'!$C$10/1000000)+'🎛️ Premissas'!$C$20*('🎛️ Premissas'!$C$11/1000000))*(1-'🎛️ Premissas'!$C$12)*'🎛️ Premissas'!$C$9)+S65*(('🎛️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Premissas'!$C$9))+S66*(('🎛️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159932.17566000001</v>
      </c>
      <c r="T69" s="56">
        <f>T63*('🎛️ Premissas'!$C$14*('🎛️ Premissas'!$C$15*('🎛️ Premissas'!$G$9/1000000)+'🎛️ Premissas'!$C$16*('🎛️ Premissas'!$G$10/1000000))*(1-'🎛️ Premissas'!$C$12)*'🎛️ Premissas'!$C$9*'🎛️ Premissas'!$C$17)+T64*('🎛️ Premissas'!$C$18*('🎛️ Premissas'!$C$19*('🎛️ Premissas'!$C$10/1000000)+'🎛️ Premissas'!$C$20*('🎛️ Premissas'!$C$11/1000000))*(1-'🎛️ Premissas'!$C$12)*'🎛️ Premissas'!$C$9)+T65*(('🎛️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Premissas'!$C$9))+T66*(('🎛️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185085.3015</v>
      </c>
      <c r="U69" s="56">
        <f>U63*('🎛️ Premissas'!$C$14*('🎛️ Premissas'!$C$15*('🎛️ Premissas'!$G$9/1000000)+'🎛️ Premissas'!$C$16*('🎛️ Premissas'!$G$10/1000000))*(1-'🎛️ Premissas'!$C$12)*'🎛️ Premissas'!$C$9*'🎛️ Premissas'!$C$17)+U64*('🎛️ Premissas'!$C$18*('🎛️ Premissas'!$C$19*('🎛️ Premissas'!$C$10/1000000)+'🎛️ Premissas'!$C$20*('🎛️ Premissas'!$C$11/1000000))*(1-'🎛️ Premissas'!$C$12)*'🎛️ Premissas'!$C$9)+U65*(('🎛️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Premissas'!$C$9))+U66*(('🎛️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210035.9313</v>
      </c>
      <c r="V69" s="56">
        <f>V63*('🎛️ Premissas'!$C$14*('🎛️ Premissas'!$C$15*('🎛️ Premissas'!$G$9/1000000)+'🎛️ Premissas'!$C$16*('🎛️ Premissas'!$G$10/1000000))*(1-'🎛️ Premissas'!$C$12)*'🎛️ Premissas'!$C$9*'🎛️ Premissas'!$C$17)+V64*('🎛️ Premissas'!$C$18*('🎛️ Premissas'!$C$19*('🎛️ Premissas'!$C$10/1000000)+'🎛️ Premissas'!$C$20*('🎛️ Premissas'!$C$11/1000000))*(1-'🎛️ Premissas'!$C$12)*'🎛️ Premissas'!$C$9)+V65*(('🎛️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Premissas'!$C$9))+V66*(('🎛️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234791.69706000001</v>
      </c>
      <c r="W69" s="56">
        <f>W63*('🎛️ Premissas'!$C$14*('🎛️ Premissas'!$C$15*('🎛️ Premissas'!$G$9/1000000)+'🎛️ Premissas'!$C$16*('🎛️ Premissas'!$G$10/1000000))*(1-'🎛️ Premissas'!$C$12)*'🎛️ Premissas'!$C$9*'🎛️ Premissas'!$C$17)+W64*('🎛️ Premissas'!$C$18*('🎛️ Premissas'!$C$19*('🎛️ Premissas'!$C$10/1000000)+'🎛️ Premissas'!$C$20*('🎛️ Premissas'!$C$11/1000000))*(1-'🎛️ Premissas'!$C$12)*'🎛️ Premissas'!$C$9)+W65*(('🎛️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Premissas'!$C$9))+W66*(('🎛️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259343.13510000004</v>
      </c>
      <c r="X69" s="56">
        <f>X63*('🎛️ Premissas'!$C$14*('🎛️ Premissas'!$C$15*('🎛️ Premissas'!$G$9/1000000)+'🎛️ Premissas'!$C$16*('🎛️ Premissas'!$G$10/1000000))*(1-'🎛️ Premissas'!$C$12)*'🎛️ Premissas'!$C$9*'🎛️ Premissas'!$C$17)+X64*('🎛️ Premissas'!$C$18*('🎛️ Premissas'!$C$19*('🎛️ Premissas'!$C$10/1000000)+'🎛️ Premissas'!$C$20*('🎛️ Premissas'!$C$11/1000000))*(1-'🎛️ Premissas'!$C$12)*'🎛️ Premissas'!$C$9)+X65*(('🎛️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Premissas'!$C$9))+X66*(('🎛️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283718.48382000002</v>
      </c>
      <c r="Y69" s="56">
        <f>Y63*('🎛️ Premissas'!$C$14*('🎛️ Premissas'!$C$15*('🎛️ Premissas'!$G$9/1000000)+'🎛️ Premissas'!$C$16*('🎛️ Premissas'!$G$10/1000000))*(1-'🎛️ Premissas'!$C$12)*'🎛️ Premissas'!$C$9*'🎛️ Premissas'!$C$17)+Y64*('🎛️ Premissas'!$C$18*('🎛️ Premissas'!$C$19*('🎛️ Premissas'!$C$10/1000000)+'🎛️ Premissas'!$C$20*('🎛️ Premissas'!$C$11/1000000))*(1-'🎛️ Premissas'!$C$12)*'🎛️ Premissas'!$C$9)+Y65*(('🎛️ Premissas'!$C$21*('🎛️ Premissas'!$C$19*('🎛️ Premissas'!$C$10/1000000)+'🎛️ Premissas'!$C$20*('🎛️ Premissas'!$C$11/1000000))*(1-'🎛️ Premissas'!$C$12)*'🎛️ Premissas'!$C$9)+('🎛️ Premissas'!$C$22*('🎛️ Premissas'!$C$23*('🎛️ Premissas'!$C$10/1000000)+'🎛️ Premissas'!$C$24*('🎛️ Premissas'!$C$11/1000000))*(1-'🎛️ Premissas'!$C$12)*'🎛️ Premissas'!$C$9))+Y66*(('🎛️ Premissas'!$C$25*('🎛️ Premissas'!$C$19*('🎛️ Premissas'!$C$10/1000000)+'🎛️ Premissas'!$C$20*('🎛️ Premissas'!$C$11/1000000))*(1-'🎛️ Premissas'!$C$12)*'🎛️ Premissas'!$C$9)+('🎛️ Premissas'!$C$26*('🎛️ Premissas'!$C$23*('🎛️ Premissas'!$C$10/1000000)+'🎛️ Premissas'!$C$24*('🎛️ Premissas'!$C$11/1000000))*(1-'🎛️ Premissas'!$C$12)*'🎛️ Premissas'!$C$9))</f>
        <v>307917.18990000006</v>
      </c>
      <c r="Z69" s="56"/>
    </row>
    <row r="70" spans="1:26" hidden="1" outlineLevel="2" x14ac:dyDescent="0.2">
      <c r="A70" s="72" t="s">
        <v>251</v>
      </c>
      <c r="B70" s="56">
        <f>'🎛️ Premissas'!$C$37+'🎛️ Premissas'!$C$39+'🎛️ Premissas'!$C$41+'🎛️ Premissas'!$C$43</f>
        <v>63000</v>
      </c>
      <c r="C70" s="56">
        <f>'🎛️ Premissas'!$C$37+'🎛️ Premissas'!$C$39+'🎛️ Premissas'!$C$41+'🎛️ Premissas'!$C$43</f>
        <v>63000</v>
      </c>
      <c r="D70" s="56">
        <f>'🎛️ Premissas'!$C$37+'🎛️ Premissas'!$C$39+'🎛️ Premissas'!$C$41+'🎛️ Premissas'!$C$43</f>
        <v>63000</v>
      </c>
      <c r="E70" s="56">
        <f>'🎛️ Premissas'!$C$37+'🎛️ Premissas'!$C$39+'🎛️ Premissas'!$C$41+'🎛️ Premissas'!$C$43</f>
        <v>63000</v>
      </c>
      <c r="F70" s="56">
        <f>'🎛️ Premissas'!$C$37+'🎛️ Premissas'!$C$39+'🎛️ Premissas'!$C$41+'🎛️ Premissas'!$C$43</f>
        <v>63000</v>
      </c>
      <c r="G70" s="56">
        <f>'🎛️ Premissas'!$C$37+'🎛️ Premissas'!$C$39+'🎛️ Premissas'!$C$41+'🎛️ Premissas'!$C$43</f>
        <v>63000</v>
      </c>
      <c r="H70" s="56">
        <f>'🎛️ Premissas'!$C$37+'🎛️ Premissas'!$C$39+'🎛️ Premissas'!$C$41+'🎛️ Premissas'!$C$43</f>
        <v>63000</v>
      </c>
      <c r="I70" s="56">
        <f>'🎛️ Premissas'!$C$37+'🎛️ Premissas'!$C$39+'🎛️ Premissas'!$C$41+'🎛️ Premissas'!$C$43</f>
        <v>63000</v>
      </c>
      <c r="J70" s="56">
        <f>'🎛️ Premissas'!$C$37+'🎛️ Premissas'!$C$39+'🎛️ Premissas'!$C$41+'🎛️ Premissas'!$C$43</f>
        <v>63000</v>
      </c>
      <c r="K70" s="56">
        <f>'🎛️ Premissas'!$C$37+'🎛️ Premissas'!$C$39+'🎛️ Premissas'!$C$41+'🎛️ Premissas'!$C$43</f>
        <v>63000</v>
      </c>
      <c r="L70" s="56">
        <f>'🎛️ Premissas'!$C$37+'🎛️ Premissas'!$C$39+'🎛️ Premissas'!$C$41+'🎛️ Premissas'!$C$43</f>
        <v>63000</v>
      </c>
      <c r="M70" s="56">
        <f>'🎛️ Premissas'!$C$37+'🎛️ Premissas'!$C$39+'🎛️ Premissas'!$C$41+'🎛️ Premissas'!$C$43</f>
        <v>63000</v>
      </c>
      <c r="N70" s="56">
        <f>'🎛️ Premissas'!$C$38+'🎛️ Premissas'!$C$40+'🎛️ Premissas'!$C$42+'🎛️ Premissas'!$C$43</f>
        <v>84000</v>
      </c>
      <c r="O70" s="56">
        <f>'🎛️ Premissas'!$C$38+'🎛️ Premissas'!$C$40+'🎛️ Premissas'!$C$42+'🎛️ Premissas'!$C$43</f>
        <v>84000</v>
      </c>
      <c r="P70" s="56">
        <f>'🎛️ Premissas'!$C$38+'🎛️ Premissas'!$C$40+'🎛️ Premissas'!$C$42+'🎛️ Premissas'!$C$43</f>
        <v>84000</v>
      </c>
      <c r="Q70" s="56">
        <f>'🎛️ Premissas'!$C$38+'🎛️ Premissas'!$C$40+'🎛️ Premissas'!$C$42+'🎛️ Premissas'!$C$43</f>
        <v>84000</v>
      </c>
      <c r="R70" s="56">
        <f>'🎛️ Premissas'!$C$38+'🎛️ Premissas'!$C$40+'🎛️ Premissas'!$C$42+'🎛️ Premissas'!$C$43</f>
        <v>84000</v>
      </c>
      <c r="S70" s="56">
        <f>'🎛️ Premissas'!$C$38+'🎛️ Premissas'!$C$40+'🎛️ Premissas'!$C$42+'🎛️ Premissas'!$C$43</f>
        <v>84000</v>
      </c>
      <c r="T70" s="56">
        <f>'🎛️ Premissas'!$C$38+'🎛️ Premissas'!$C$40+'🎛️ Premissas'!$C$42+'🎛️ Premissas'!$C$43</f>
        <v>84000</v>
      </c>
      <c r="U70" s="56">
        <f>'🎛️ Premissas'!$C$38+'🎛️ Premissas'!$C$40+'🎛️ Premissas'!$C$42+'🎛️ Premissas'!$C$43</f>
        <v>84000</v>
      </c>
      <c r="V70" s="56">
        <f>'🎛️ Premissas'!$C$38+'🎛️ Premissas'!$C$40+'🎛️ Premissas'!$C$42+'🎛️ Premissas'!$C$43</f>
        <v>84000</v>
      </c>
      <c r="W70" s="56">
        <f>'🎛️ Premissas'!$C$38+'🎛️ Premissas'!$C$40+'🎛️ Premissas'!$C$42+'🎛️ Premissas'!$C$43</f>
        <v>84000</v>
      </c>
      <c r="X70" s="56">
        <f>'🎛️ Premissas'!$C$38+'🎛️ Premissas'!$C$40+'🎛️ Premissas'!$C$42+'🎛️ Premissas'!$C$43</f>
        <v>84000</v>
      </c>
      <c r="Y70" s="56">
        <f>'🎛️ Premissas'!$C$38+'🎛️ Premissas'!$C$40+'🎛️ Premissas'!$C$42+'🎛️ Premissas'!$C$43</f>
        <v>84000</v>
      </c>
      <c r="Z70" s="56"/>
    </row>
    <row r="71" spans="1:26" hidden="1" outlineLevel="2" x14ac:dyDescent="0.2">
      <c r="A71" s="72" t="s">
        <v>352</v>
      </c>
      <c r="B71" s="56">
        <f>B68*'🎛️ Premissas'!$C$67</f>
        <v>2874.96</v>
      </c>
      <c r="C71" s="56">
        <f>C68*'🎛️ Premissas'!$C$67</f>
        <v>6229.08</v>
      </c>
      <c r="D71" s="56">
        <f>D68*'🎛️ Premissas'!$C$67</f>
        <v>9583.1999999999989</v>
      </c>
      <c r="E71" s="56">
        <f>E68*'🎛️ Premissas'!$C$67</f>
        <v>12937.32</v>
      </c>
      <c r="F71" s="56">
        <f>F68*'🎛️ Premissas'!$C$67</f>
        <v>16291.439999999999</v>
      </c>
      <c r="G71" s="56">
        <f>G68*'🎛️ Premissas'!$C$67</f>
        <v>19645.559999999998</v>
      </c>
      <c r="H71" s="56">
        <f>H68*'🎛️ Premissas'!$C$67</f>
        <v>22999.68</v>
      </c>
      <c r="I71" s="56">
        <f>I68*'🎛️ Premissas'!$C$67</f>
        <v>26353.8</v>
      </c>
      <c r="J71" s="56">
        <f>J68*'🎛️ Premissas'!$C$67</f>
        <v>29707.919999999998</v>
      </c>
      <c r="K71" s="56">
        <f>K68*'🎛️ Premissas'!$C$67</f>
        <v>33062.04</v>
      </c>
      <c r="L71" s="56">
        <f>L68*'🎛️ Premissas'!$C$67</f>
        <v>36416.159999999996</v>
      </c>
      <c r="M71" s="56">
        <f>M68*'🎛️ Premissas'!$C$67</f>
        <v>39770.28</v>
      </c>
      <c r="N71" s="56">
        <f>N68*'🎛️ Premissas'!$C$67</f>
        <v>43603.56</v>
      </c>
      <c r="O71" s="56">
        <f>O68*'🎛️ Premissas'!$C$67</f>
        <v>47436.84</v>
      </c>
      <c r="P71" s="56">
        <f>P68*'🎛️ Premissas'!$C$67</f>
        <v>51270.119999999995</v>
      </c>
      <c r="Q71" s="56">
        <f>Q68*'🎛️ Premissas'!$C$67</f>
        <v>73677.347999999998</v>
      </c>
      <c r="R71" s="56">
        <f>R68*'🎛️ Premissas'!$C$67</f>
        <v>95437.01999999999</v>
      </c>
      <c r="S71" s="56">
        <f>S68*'🎛️ Premissas'!$C$67</f>
        <v>116598.192</v>
      </c>
      <c r="T71" s="56">
        <f>T68*'🎛️ Premissas'!$C$67</f>
        <v>137218.32</v>
      </c>
      <c r="U71" s="56">
        <f>U68*'🎛️ Premissas'!$C$67</f>
        <v>157353.66</v>
      </c>
      <c r="V71" s="56">
        <f>V68*'🎛️ Premissas'!$C$67</f>
        <v>177052.09199999998</v>
      </c>
      <c r="W71" s="56">
        <f>W68*'🎛️ Premissas'!$C$67</f>
        <v>196347.11999999997</v>
      </c>
      <c r="X71" s="56">
        <f>X68*'🎛️ Premissas'!$C$67</f>
        <v>215291.42399999997</v>
      </c>
      <c r="Y71" s="56">
        <f>Y68*'🎛️ Premissas'!$C$67</f>
        <v>233916.12</v>
      </c>
      <c r="Z71" s="56"/>
    </row>
    <row r="72" spans="1:26" hidden="1" outlineLevel="2" x14ac:dyDescent="0.2">
      <c r="A72" s="72" t="s">
        <v>273</v>
      </c>
      <c r="B72" s="56">
        <f t="shared" ref="B72:Y72" si="3">B68-B69-B70-B71</f>
        <v>-46584.595800000003</v>
      </c>
      <c r="C72" s="299">
        <f t="shared" si="3"/>
        <v>-27433.290900000007</v>
      </c>
      <c r="D72" s="299">
        <f t="shared" si="3"/>
        <v>-8281.985999999999</v>
      </c>
      <c r="E72" s="299">
        <f t="shared" si="3"/>
        <v>10869.318899999991</v>
      </c>
      <c r="F72" s="299">
        <f t="shared" si="3"/>
        <v>30020.623800000005</v>
      </c>
      <c r="G72" s="299">
        <f t="shared" si="3"/>
        <v>49171.928699999989</v>
      </c>
      <c r="H72" s="299">
        <f t="shared" si="3"/>
        <v>68323.233600000007</v>
      </c>
      <c r="I72" s="299">
        <f t="shared" si="3"/>
        <v>87474.53850000001</v>
      </c>
      <c r="J72" s="299">
        <f t="shared" si="3"/>
        <v>106625.8434</v>
      </c>
      <c r="K72" s="299">
        <f t="shared" si="3"/>
        <v>125777.14829999997</v>
      </c>
      <c r="L72" s="299">
        <f t="shared" si="3"/>
        <v>144928.45319999999</v>
      </c>
      <c r="M72" s="299">
        <f t="shared" si="3"/>
        <v>164079.75810000001</v>
      </c>
      <c r="N72" s="299">
        <f t="shared" si="3"/>
        <v>164966.96370000002</v>
      </c>
      <c r="O72" s="299">
        <f t="shared" si="3"/>
        <v>186854.16929999998</v>
      </c>
      <c r="P72" s="299">
        <f t="shared" si="3"/>
        <v>208741.3749</v>
      </c>
      <c r="Q72" s="299">
        <f t="shared" si="3"/>
        <v>347302.03566000005</v>
      </c>
      <c r="R72" s="299">
        <f t="shared" si="3"/>
        <v>481300.1923</v>
      </c>
      <c r="S72" s="299">
        <f t="shared" si="3"/>
        <v>611121.23233999987</v>
      </c>
      <c r="T72" s="299">
        <f t="shared" si="3"/>
        <v>737182.37849999988</v>
      </c>
      <c r="U72" s="299">
        <f t="shared" si="3"/>
        <v>859890.90869999991</v>
      </c>
      <c r="V72" s="299">
        <f t="shared" si="3"/>
        <v>979590.31094</v>
      </c>
      <c r="W72" s="299">
        <f t="shared" si="3"/>
        <v>1096535.7448999998</v>
      </c>
      <c r="X72" s="299">
        <f t="shared" si="3"/>
        <v>1211085.2921799999</v>
      </c>
      <c r="Y72" s="299">
        <f t="shared" si="3"/>
        <v>1323467.6900999998</v>
      </c>
      <c r="Z72" s="56"/>
    </row>
    <row r="73" spans="1:26" hidden="1" outlineLevel="1" collapsed="1" x14ac:dyDescent="0.2">
      <c r="A73" s="72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idden="1" outlineLevel="1" x14ac:dyDescent="0.2">
      <c r="A74" s="72" t="s">
        <v>355</v>
      </c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idden="1" outlineLevel="1" x14ac:dyDescent="0.2">
      <c r="A75" s="72" t="s">
        <v>350</v>
      </c>
      <c r="B75" s="56">
        <f>'🎛️ Premissas'!$B$61</f>
        <v>3000</v>
      </c>
      <c r="C75" s="299">
        <f>B75+'🎛️ Premissas'!$D$28</f>
        <v>7000</v>
      </c>
      <c r="D75" s="299">
        <f>C75+'🎛️ Premissas'!$D$28</f>
        <v>11000</v>
      </c>
      <c r="E75" s="299">
        <f>D75+'🎛️ Premissas'!$D$28</f>
        <v>15000</v>
      </c>
      <c r="F75" s="299">
        <f>E75+'🎛️ Premissas'!$D$28</f>
        <v>19000</v>
      </c>
      <c r="G75" s="299">
        <f>F75+'🎛️ Premissas'!$D$28</f>
        <v>23000</v>
      </c>
      <c r="H75" s="299">
        <f>G75+'🎛️ Premissas'!$D$28</f>
        <v>27000</v>
      </c>
      <c r="I75" s="299">
        <f>H75+'🎛️ Premissas'!$D$28</f>
        <v>31000</v>
      </c>
      <c r="J75" s="299">
        <f>I75+'🎛️ Premissas'!$D$28</f>
        <v>35000</v>
      </c>
      <c r="K75" s="299">
        <f>J75+'🎛️ Premissas'!$D$28</f>
        <v>39000</v>
      </c>
      <c r="L75" s="299">
        <f>K75+'🎛️ Premissas'!$D$28</f>
        <v>43000</v>
      </c>
      <c r="M75" s="299">
        <f>L75+'🎛️ Premissas'!$D$28</f>
        <v>47000</v>
      </c>
      <c r="N75" s="299">
        <f>M75+'🎛️ Premissas'!$D$29</f>
        <v>51500</v>
      </c>
      <c r="O75" s="299">
        <f>N75+'🎛️ Premissas'!$D$29</f>
        <v>56000</v>
      </c>
      <c r="P75" s="299">
        <f>O75+'🎛️ Premissas'!$D$29</f>
        <v>60500</v>
      </c>
      <c r="Q75" s="299">
        <f>P75+'🎛️ Premissas'!$D$29</f>
        <v>65000</v>
      </c>
      <c r="R75" s="299">
        <f>Q75+'🎛️ Premissas'!$D$29</f>
        <v>69500</v>
      </c>
      <c r="S75" s="299">
        <f>R75+'🎛️ Premissas'!$D$29</f>
        <v>74000</v>
      </c>
      <c r="T75" s="299">
        <f>S75+'🎛️ Premissas'!$D$29</f>
        <v>78500</v>
      </c>
      <c r="U75" s="299">
        <f>T75+'🎛️ Premissas'!$D$29</f>
        <v>83000</v>
      </c>
      <c r="V75" s="299">
        <f>U75+'🎛️ Premissas'!$D$29</f>
        <v>87500</v>
      </c>
      <c r="W75" s="299">
        <f>V75+'🎛️ Premissas'!$D$29</f>
        <v>92000</v>
      </c>
      <c r="X75" s="299">
        <f>W75+'🎛️ Premissas'!$D$29</f>
        <v>96500</v>
      </c>
      <c r="Y75" s="299">
        <f>X75+'🎛️ Premissas'!$D$29</f>
        <v>101000</v>
      </c>
      <c r="Z75" s="56"/>
    </row>
    <row r="76" spans="1:26" hidden="1" outlineLevel="1" x14ac:dyDescent="0.2">
      <c r="A76" s="72" t="s">
        <v>247</v>
      </c>
      <c r="B76" s="56">
        <f>ROUND(B75*'🎛️ Premissas'!$D$30,0)</f>
        <v>300</v>
      </c>
      <c r="C76" s="56">
        <f>ROUND(C75*'🎛️ Premissas'!$D$30,0)</f>
        <v>700</v>
      </c>
      <c r="D76" s="56">
        <f>ROUND(D75*'🎛️ Premissas'!$D$30,0)</f>
        <v>1100</v>
      </c>
      <c r="E76" s="56">
        <f>ROUND(E75*'🎛️ Premissas'!$D$30,0)</f>
        <v>1500</v>
      </c>
      <c r="F76" s="56">
        <f>ROUND(F75*'🎛️ Premissas'!$D$30,0)</f>
        <v>1900</v>
      </c>
      <c r="G76" s="56">
        <f>ROUND(G75*'🎛️ Premissas'!$D$30,0)</f>
        <v>2300</v>
      </c>
      <c r="H76" s="56">
        <f>ROUND(H75*'🎛️ Premissas'!$D$30,0)</f>
        <v>2700</v>
      </c>
      <c r="I76" s="56">
        <f>ROUND(I75*'🎛️ Premissas'!$D$30,0)</f>
        <v>3100</v>
      </c>
      <c r="J76" s="56">
        <f>ROUND(J75*'🎛️ Premissas'!$D$30,0)</f>
        <v>3500</v>
      </c>
      <c r="K76" s="56">
        <f>ROUND(K75*'🎛️ Premissas'!$D$30,0)</f>
        <v>3900</v>
      </c>
      <c r="L76" s="56">
        <f>ROUND(L75*'🎛️ Premissas'!$D$30,0)</f>
        <v>4300</v>
      </c>
      <c r="M76" s="56">
        <f>ROUND(M75*'🎛️ Premissas'!$D$30,0)</f>
        <v>4700</v>
      </c>
      <c r="N76" s="56">
        <f>ROUND(N75*'🎛️ Premissas'!$D$30,0)</f>
        <v>5150</v>
      </c>
      <c r="O76" s="56">
        <f>ROUND(O75*'🎛️ Premissas'!$D$30,0)</f>
        <v>5600</v>
      </c>
      <c r="P76" s="56">
        <f>ROUND(P75*'🎛️ Premissas'!$D$30,0)</f>
        <v>6050</v>
      </c>
      <c r="Q76" s="56">
        <f>ROUND(P76*(1-'🎛️ Premissas'!$D$33)+MAX(0,Q75-P79)*'🎛️ Premissas'!$D$30,0)</f>
        <v>10977</v>
      </c>
      <c r="R76" s="56">
        <f>ROUND(Q76*(1-'🎛️ Premissas'!$D$33)+MAX(0,R75-Q79)*'🎛️ Premissas'!$D$30,0)</f>
        <v>15453</v>
      </c>
      <c r="S76" s="56">
        <f>ROUND(R76*(1-'🎛️ Premissas'!$D$33)+MAX(0,S75-R79)*'🎛️ Premissas'!$D$30,0)</f>
        <v>19537</v>
      </c>
      <c r="T76" s="56">
        <f>ROUND(S76*(1-'🎛️ Premissas'!$D$33)+MAX(0,T75-S79)*'🎛️ Premissas'!$D$30,0)</f>
        <v>23281</v>
      </c>
      <c r="U76" s="56">
        <f>ROUND(T76*(1-'🎛️ Premissas'!$D$33)+MAX(0,U75-T79)*'🎛️ Premissas'!$D$30,0)</f>
        <v>26731</v>
      </c>
      <c r="V76" s="56">
        <f>ROUND(U76*(1-'🎛️ Premissas'!$D$33)+MAX(0,V75-U79)*'🎛️ Premissas'!$D$30,0)</f>
        <v>29928</v>
      </c>
      <c r="W76" s="56">
        <f>ROUND(V76*(1-'🎛️ Premissas'!$D$33)+MAX(0,W75-V79)*'🎛️ Premissas'!$D$30,0)</f>
        <v>32907</v>
      </c>
      <c r="X76" s="56">
        <f>ROUND(W76*(1-'🎛️ Premissas'!$D$33)+MAX(0,X75-W79)*'🎛️ Premissas'!$D$30,0)</f>
        <v>35699</v>
      </c>
      <c r="Y76" s="56">
        <f>ROUND(X76*(1-'🎛️ Premissas'!$D$33)+MAX(0,Y75-X79)*'🎛️ Premissas'!$D$30,0)</f>
        <v>38330</v>
      </c>
      <c r="Z76" s="56"/>
    </row>
    <row r="77" spans="1:26" hidden="1" outlineLevel="1" x14ac:dyDescent="0.2">
      <c r="A77" s="72" t="s">
        <v>248</v>
      </c>
      <c r="B77" s="56">
        <f>ROUND(B75*'🎛️ Premissas'!$D$31,0)</f>
        <v>150</v>
      </c>
      <c r="C77" s="56">
        <f>ROUND(C75*'🎛️ Premissas'!$D$31,0)</f>
        <v>350</v>
      </c>
      <c r="D77" s="56">
        <f>ROUND(D75*'🎛️ Premissas'!$D$31,0)</f>
        <v>550</v>
      </c>
      <c r="E77" s="56">
        <f>ROUND(E75*'🎛️ Premissas'!$D$31,0)</f>
        <v>750</v>
      </c>
      <c r="F77" s="56">
        <f>ROUND(F75*'🎛️ Premissas'!$D$31,0)</f>
        <v>950</v>
      </c>
      <c r="G77" s="56">
        <f>ROUND(G75*'🎛️ Premissas'!$D$31,0)</f>
        <v>1150</v>
      </c>
      <c r="H77" s="56">
        <f>ROUND(H75*'🎛️ Premissas'!$D$31,0)</f>
        <v>1350</v>
      </c>
      <c r="I77" s="56">
        <f>ROUND(I75*'🎛️ Premissas'!$D$31,0)</f>
        <v>1550</v>
      </c>
      <c r="J77" s="56">
        <f>ROUND(J75*'🎛️ Premissas'!$D$31,0)</f>
        <v>1750</v>
      </c>
      <c r="K77" s="56">
        <f>ROUND(K75*'🎛️ Premissas'!$D$31,0)</f>
        <v>1950</v>
      </c>
      <c r="L77" s="56">
        <f>ROUND(L75*'🎛️ Premissas'!$D$31,0)</f>
        <v>2150</v>
      </c>
      <c r="M77" s="56">
        <f>ROUND(M75*'🎛️ Premissas'!$D$31,0)</f>
        <v>2350</v>
      </c>
      <c r="N77" s="56">
        <f>ROUND(N75*'🎛️ Premissas'!$D$31,0)</f>
        <v>2575</v>
      </c>
      <c r="O77" s="56">
        <f>ROUND(O75*'🎛️ Premissas'!$D$31,0)</f>
        <v>2800</v>
      </c>
      <c r="P77" s="56">
        <f>ROUND(P75*'🎛️ Premissas'!$D$31,0)</f>
        <v>3025</v>
      </c>
      <c r="Q77" s="56">
        <f>ROUND(P77*(1-'🎛️ Premissas'!$D$34)+MAX(0,Q76-P77-P78)*'🎛️ Premissas'!$D$31,0)</f>
        <v>3181</v>
      </c>
      <c r="R77" s="56">
        <f>ROUND(Q77*(1-'🎛️ Premissas'!$D$34)+MAX(0,R76-Q77-Q78)*'🎛️ Premissas'!$D$31,0)</f>
        <v>3545</v>
      </c>
      <c r="S77" s="56">
        <f>ROUND(R77*(1-'🎛️ Premissas'!$D$34)+MAX(0,S76-R77-R78)*'🎛️ Premissas'!$D$31,0)</f>
        <v>4077</v>
      </c>
      <c r="T77" s="56">
        <f>ROUND(S77*(1-'🎛️ Premissas'!$D$34)+MAX(0,T76-S77-S78)*'🎛️ Premissas'!$D$31,0)</f>
        <v>4743</v>
      </c>
      <c r="U77" s="56">
        <f>ROUND(T77*(1-'🎛️ Premissas'!$D$34)+MAX(0,U76-T77-T78)*'🎛️ Premissas'!$D$31,0)</f>
        <v>5513</v>
      </c>
      <c r="V77" s="56">
        <f>ROUND(U77*(1-'🎛️ Premissas'!$D$34)+MAX(0,V76-U77-U78)*'🎛️ Premissas'!$D$31,0)</f>
        <v>6363</v>
      </c>
      <c r="W77" s="56">
        <f>ROUND(V77*(1-'🎛️ Premissas'!$D$34)+MAX(0,W76-V77-V78)*'🎛️ Premissas'!$D$31,0)</f>
        <v>7273</v>
      </c>
      <c r="X77" s="56">
        <f>ROUND(W77*(1-'🎛️ Premissas'!$D$34)+MAX(0,X76-W77-W78)*'🎛️ Premissas'!$D$31,0)</f>
        <v>8227</v>
      </c>
      <c r="Y77" s="56">
        <f>ROUND(X77*(1-'🎛️ Premissas'!$D$34)+MAX(0,Y76-X77-X78)*'🎛️ Premissas'!$D$31,0)</f>
        <v>9211</v>
      </c>
      <c r="Z77" s="56"/>
    </row>
    <row r="78" spans="1:26" hidden="1" outlineLevel="1" x14ac:dyDescent="0.2">
      <c r="A78" s="72" t="s">
        <v>249</v>
      </c>
      <c r="B78" s="56">
        <f>ROUND(B75*'🎛️ Premissas'!$D$32,0)</f>
        <v>90</v>
      </c>
      <c r="C78" s="56">
        <f>ROUND(C75*'🎛️ Premissas'!$D$32,0)</f>
        <v>210</v>
      </c>
      <c r="D78" s="56">
        <f>ROUND(D75*'🎛️ Premissas'!$D$32,0)</f>
        <v>330</v>
      </c>
      <c r="E78" s="56">
        <f>ROUND(E75*'🎛️ Premissas'!$D$32,0)</f>
        <v>450</v>
      </c>
      <c r="F78" s="56">
        <f>ROUND(F75*'🎛️ Premissas'!$D$32,0)</f>
        <v>570</v>
      </c>
      <c r="G78" s="56">
        <f>ROUND(G75*'🎛️ Premissas'!$D$32,0)</f>
        <v>690</v>
      </c>
      <c r="H78" s="56">
        <f>ROUND(H75*'🎛️ Premissas'!$D$32,0)</f>
        <v>810</v>
      </c>
      <c r="I78" s="56">
        <f>ROUND(I75*'🎛️ Premissas'!$D$32,0)</f>
        <v>930</v>
      </c>
      <c r="J78" s="56">
        <f>ROUND(J75*'🎛️ Premissas'!$D$32,0)</f>
        <v>1050</v>
      </c>
      <c r="K78" s="56">
        <f>ROUND(K75*'🎛️ Premissas'!$D$32,0)</f>
        <v>1170</v>
      </c>
      <c r="L78" s="56">
        <f>ROUND(L75*'🎛️ Premissas'!$D$32,0)</f>
        <v>1290</v>
      </c>
      <c r="M78" s="56">
        <f>ROUND(M75*'🎛️ Premissas'!$D$32,0)</f>
        <v>1410</v>
      </c>
      <c r="N78" s="56">
        <f>ROUND(N75*'🎛️ Premissas'!$D$32,0)</f>
        <v>1545</v>
      </c>
      <c r="O78" s="56">
        <f>ROUND(O75*'🎛️ Premissas'!$D$32,0)</f>
        <v>1680</v>
      </c>
      <c r="P78" s="56">
        <f>ROUND(P75*'🎛️ Premissas'!$D$32,0)</f>
        <v>1815</v>
      </c>
      <c r="Q78" s="56">
        <f>ROUND(P78*(1-'🎛️ Premissas'!$D$35)+MAX(0,Q77-P78)*'🎛️ Premissas'!$D$32,0)</f>
        <v>1802</v>
      </c>
      <c r="R78" s="56">
        <f>ROUND(Q78*(1-'🎛️ Premissas'!$D$35)+MAX(0,R77-Q78)*'🎛️ Premissas'!$D$32,0)</f>
        <v>1800</v>
      </c>
      <c r="S78" s="56">
        <f>ROUND(R78*(1-'🎛️ Premissas'!$D$35)+MAX(0,S77-R78)*'🎛️ Premissas'!$D$32,0)</f>
        <v>1814</v>
      </c>
      <c r="T78" s="56">
        <f>ROUND(S78*(1-'🎛️ Premissas'!$D$35)+MAX(0,T77-S78)*'🎛️ Premissas'!$D$32,0)</f>
        <v>1847</v>
      </c>
      <c r="U78" s="56">
        <f>ROUND(T78*(1-'🎛️ Premissas'!$D$35)+MAX(0,U77-T78)*'🎛️ Premissas'!$D$32,0)</f>
        <v>1902</v>
      </c>
      <c r="V78" s="56">
        <f>ROUND(U78*(1-'🎛️ Premissas'!$D$35)+MAX(0,V77-U78)*'🎛️ Premissas'!$D$32,0)</f>
        <v>1979</v>
      </c>
      <c r="W78" s="56">
        <f>ROUND(V78*(1-'🎛️ Premissas'!$D$35)+MAX(0,W77-V78)*'🎛️ Premissas'!$D$32,0)</f>
        <v>2078</v>
      </c>
      <c r="X78" s="56">
        <f>ROUND(W78*(1-'🎛️ Premissas'!$D$35)+MAX(0,X77-W78)*'🎛️ Premissas'!$D$32,0)</f>
        <v>2200</v>
      </c>
      <c r="Y78" s="56">
        <f>ROUND(X78*(1-'🎛️ Premissas'!$D$35)+MAX(0,Y77-X78)*'🎛️ Premissas'!$D$32,0)</f>
        <v>2344</v>
      </c>
      <c r="Z78" s="56"/>
    </row>
    <row r="79" spans="1:26" hidden="1" outlineLevel="1" x14ac:dyDescent="0.2">
      <c r="A79" s="72" t="s">
        <v>240</v>
      </c>
      <c r="B79" s="56">
        <f t="shared" ref="B79:Y79" si="4">SUM(B76:B78)</f>
        <v>540</v>
      </c>
      <c r="C79" s="56">
        <f t="shared" si="4"/>
        <v>1260</v>
      </c>
      <c r="D79" s="56">
        <f t="shared" si="4"/>
        <v>1980</v>
      </c>
      <c r="E79" s="56">
        <f t="shared" si="4"/>
        <v>2700</v>
      </c>
      <c r="F79" s="56">
        <f t="shared" si="4"/>
        <v>3420</v>
      </c>
      <c r="G79" s="56">
        <f t="shared" si="4"/>
        <v>4140</v>
      </c>
      <c r="H79" s="56">
        <f t="shared" si="4"/>
        <v>4860</v>
      </c>
      <c r="I79" s="56">
        <f t="shared" si="4"/>
        <v>5580</v>
      </c>
      <c r="J79" s="56">
        <f t="shared" si="4"/>
        <v>6300</v>
      </c>
      <c r="K79" s="56">
        <f t="shared" si="4"/>
        <v>7020</v>
      </c>
      <c r="L79" s="56">
        <f t="shared" si="4"/>
        <v>7740</v>
      </c>
      <c r="M79" s="56">
        <f t="shared" si="4"/>
        <v>8460</v>
      </c>
      <c r="N79" s="56">
        <f t="shared" si="4"/>
        <v>9270</v>
      </c>
      <c r="O79" s="56">
        <f t="shared" si="4"/>
        <v>10080</v>
      </c>
      <c r="P79" s="56">
        <f t="shared" si="4"/>
        <v>10890</v>
      </c>
      <c r="Q79" s="56">
        <f t="shared" si="4"/>
        <v>15960</v>
      </c>
      <c r="R79" s="56">
        <f t="shared" si="4"/>
        <v>20798</v>
      </c>
      <c r="S79" s="56">
        <f t="shared" si="4"/>
        <v>25428</v>
      </c>
      <c r="T79" s="56">
        <f t="shared" si="4"/>
        <v>29871</v>
      </c>
      <c r="U79" s="56">
        <f t="shared" si="4"/>
        <v>34146</v>
      </c>
      <c r="V79" s="56">
        <f t="shared" si="4"/>
        <v>38270</v>
      </c>
      <c r="W79" s="56">
        <f t="shared" si="4"/>
        <v>42258</v>
      </c>
      <c r="X79" s="56">
        <f t="shared" si="4"/>
        <v>46126</v>
      </c>
      <c r="Y79" s="56">
        <f t="shared" si="4"/>
        <v>49885</v>
      </c>
      <c r="Z79" s="56"/>
    </row>
    <row r="80" spans="1:26" hidden="1" outlineLevel="1" x14ac:dyDescent="0.2">
      <c r="A80" s="72" t="s">
        <v>241</v>
      </c>
      <c r="B80" s="56">
        <f>B76*'🎛️ Premissas'!$D$5+B77*'🎛️ Premissas'!$D$6+B78*'🎛️ Premissas'!$D$7</f>
        <v>31596</v>
      </c>
      <c r="C80" s="56">
        <f>C76*'🎛️ Premissas'!$D$5+C77*'🎛️ Premissas'!$D$6+C78*'🎛️ Premissas'!$D$7</f>
        <v>73724</v>
      </c>
      <c r="D80" s="56">
        <f>D76*'🎛️ Premissas'!$D$5+D77*'🎛️ Premissas'!$D$6+D78*'🎛️ Premissas'!$D$7</f>
        <v>115852</v>
      </c>
      <c r="E80" s="56">
        <f>E76*'🎛️ Premissas'!$D$5+E77*'🎛️ Premissas'!$D$6+E78*'🎛️ Premissas'!$D$7</f>
        <v>157980</v>
      </c>
      <c r="F80" s="56">
        <f>F76*'🎛️ Premissas'!$D$5+F77*'🎛️ Premissas'!$D$6+F78*'🎛️ Premissas'!$D$7</f>
        <v>200108</v>
      </c>
      <c r="G80" s="56">
        <f>G76*'🎛️ Premissas'!$D$5+G77*'🎛️ Premissas'!$D$6+G78*'🎛️ Premissas'!$D$7</f>
        <v>242236</v>
      </c>
      <c r="H80" s="56">
        <f>H76*'🎛️ Premissas'!$D$5+H77*'🎛️ Premissas'!$D$6+H78*'🎛️ Premissas'!$D$7</f>
        <v>284364</v>
      </c>
      <c r="I80" s="56">
        <f>I76*'🎛️ Premissas'!$D$5+I77*'🎛️ Premissas'!$D$6+I78*'🎛️ Premissas'!$D$7</f>
        <v>326492</v>
      </c>
      <c r="J80" s="56">
        <f>J76*'🎛️ Premissas'!$D$5+J77*'🎛️ Premissas'!$D$6+J78*'🎛️ Premissas'!$D$7</f>
        <v>368620</v>
      </c>
      <c r="K80" s="56">
        <f>K76*'🎛️ Premissas'!$D$5+K77*'🎛️ Premissas'!$D$6+K78*'🎛️ Premissas'!$D$7</f>
        <v>410748</v>
      </c>
      <c r="L80" s="56">
        <f>L76*'🎛️ Premissas'!$D$5+L77*'🎛️ Premissas'!$D$6+L78*'🎛️ Premissas'!$D$7</f>
        <v>452876</v>
      </c>
      <c r="M80" s="56">
        <f>M76*'🎛️ Premissas'!$D$5+M77*'🎛️ Premissas'!$D$6+M78*'🎛️ Premissas'!$D$7</f>
        <v>495004</v>
      </c>
      <c r="N80" s="56">
        <f>N76*'🎛️ Premissas'!$D$5+N77*'🎛️ Premissas'!$D$6+N78*'🎛️ Premissas'!$D$7</f>
        <v>542398</v>
      </c>
      <c r="O80" s="56">
        <f>O76*'🎛️ Premissas'!$D$5+O77*'🎛️ Premissas'!$D$6+O78*'🎛️ Premissas'!$D$7</f>
        <v>589792</v>
      </c>
      <c r="P80" s="56">
        <f>P76*'🎛️ Premissas'!$D$5+P77*'🎛️ Premissas'!$D$6+P78*'🎛️ Premissas'!$D$7</f>
        <v>637186</v>
      </c>
      <c r="Q80" s="56">
        <f>Q76*'🎛️ Premissas'!$D$5+Q77*'🎛️ Premissas'!$D$6+Q78*'🎛️ Premissas'!$D$7</f>
        <v>891817</v>
      </c>
      <c r="R80" s="56">
        <f>R76*'🎛️ Premissas'!$D$5+R77*'🎛️ Premissas'!$D$6+R78*'🎛️ Premissas'!$D$7</f>
        <v>1137905.2</v>
      </c>
      <c r="S80" s="56">
        <f>S76*'🎛️ Premissas'!$D$5+S77*'🎛️ Premissas'!$D$6+S78*'🎛️ Premissas'!$D$7</f>
        <v>1376278.2</v>
      </c>
      <c r="T80" s="56">
        <f>T76*'🎛️ Premissas'!$D$5+T77*'🎛️ Premissas'!$D$6+T78*'🎛️ Premissas'!$D$7</f>
        <v>1607631.9</v>
      </c>
      <c r="U80" s="56">
        <f>U76*'🎛️ Premissas'!$D$5+U77*'🎛️ Premissas'!$D$6+U78*'🎛️ Premissas'!$D$7</f>
        <v>1832614.4</v>
      </c>
      <c r="V80" s="56">
        <f>V76*'🎛️ Premissas'!$D$5+V77*'🎛️ Premissas'!$D$6+V78*'🎛️ Premissas'!$D$7</f>
        <v>2051762</v>
      </c>
      <c r="W80" s="56">
        <f>W76*'🎛️ Premissas'!$D$5+W77*'🎛️ Premissas'!$D$6+W78*'🎛️ Premissas'!$D$7</f>
        <v>2265563.2000000002</v>
      </c>
      <c r="X80" s="56">
        <f>X76*'🎛️ Premissas'!$D$5+X77*'🎛️ Premissas'!$D$6+X78*'🎛️ Premissas'!$D$7</f>
        <v>2474638.4</v>
      </c>
      <c r="Y80" s="56">
        <f>Y76*'🎛️ Premissas'!$D$5+Y77*'🎛️ Premissas'!$D$6+Y78*'🎛️ Premissas'!$D$7</f>
        <v>2679324.5</v>
      </c>
      <c r="Z80" s="56"/>
    </row>
    <row r="81" spans="1:26" hidden="1" outlineLevel="1" x14ac:dyDescent="0.2">
      <c r="A81" s="72" t="s">
        <v>250</v>
      </c>
      <c r="B81" s="56">
        <f>B75*('🎛️ Premissas'!$D$14*('🎛️ Premissas'!$D$15*('🎛️ Premissas'!$G$9/1000000)+'🎛️ Premissas'!$D$16*('🎛️ Premissas'!$G$10/1000000))*(1-'🎛️ Premissas'!$D$12)*'🎛️ Premissas'!$D$9*'🎛️ Premissas'!$D$17)+B76*('🎛️ Premissas'!$D$18*('🎛️ Premissas'!$D$19*('🎛️ Premissas'!$D$10/1000000)+'🎛️ Premissas'!$D$20*('🎛️ Premissas'!$D$11/1000000))*(1-'🎛️ Premissas'!$D$12)*'🎛️ Premissas'!$D$9)+B77*(('🎛️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Premissas'!$D$9))+B78*(('🎛️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6637.7173500000008</v>
      </c>
      <c r="C81" s="56">
        <f>C75*('🎛️ Premissas'!$D$14*('🎛️ Premissas'!$D$15*('🎛️ Premissas'!$G$9/1000000)+'🎛️ Premissas'!$D$16*('🎛️ Premissas'!$G$10/1000000))*(1-'🎛️ Premissas'!$D$12)*'🎛️ Premissas'!$D$9*'🎛️ Premissas'!$D$17)+C76*('🎛️ Premissas'!$D$18*('🎛️ Premissas'!$D$19*('🎛️ Premissas'!$D$10/1000000)+'🎛️ Premissas'!$D$20*('🎛️ Premissas'!$D$11/1000000))*(1-'🎛️ Premissas'!$D$12)*'🎛️ Premissas'!$D$9)+C77*(('🎛️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Premissas'!$D$9))+C78*(('🎛️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15488.007150000001</v>
      </c>
      <c r="D81" s="56">
        <f>D75*('🎛️ Premissas'!$D$14*('🎛️ Premissas'!$D$15*('🎛️ Premissas'!$G$9/1000000)+'🎛️ Premissas'!$D$16*('🎛️ Premissas'!$G$10/1000000))*(1-'🎛️ Premissas'!$D$12)*'🎛️ Premissas'!$D$9*'🎛️ Premissas'!$D$17)+D76*('🎛️ Premissas'!$D$18*('🎛️ Premissas'!$D$19*('🎛️ Premissas'!$D$10/1000000)+'🎛️ Premissas'!$D$20*('🎛️ Premissas'!$D$11/1000000))*(1-'🎛️ Premissas'!$D$12)*'🎛️ Premissas'!$D$9)+D77*(('🎛️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Premissas'!$D$9))+D78*(('🎛️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24338.29695</v>
      </c>
      <c r="E81" s="56">
        <f>E75*('🎛️ Premissas'!$D$14*('🎛️ Premissas'!$D$15*('🎛️ Premissas'!$G$9/1000000)+'🎛️ Premissas'!$D$16*('🎛️ Premissas'!$G$10/1000000))*(1-'🎛️ Premissas'!$D$12)*'🎛️ Premissas'!$D$9*'🎛️ Premissas'!$D$17)+E76*('🎛️ Premissas'!$D$18*('🎛️ Premissas'!$D$19*('🎛️ Premissas'!$D$10/1000000)+'🎛️ Premissas'!$D$20*('🎛️ Premissas'!$D$11/1000000))*(1-'🎛️ Premissas'!$D$12)*'🎛️ Premissas'!$D$9)+E77*(('🎛️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Premissas'!$D$9))+E78*(('🎛️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33188.586750000002</v>
      </c>
      <c r="F81" s="56">
        <f>F75*('🎛️ Premissas'!$D$14*('🎛️ Premissas'!$D$15*('🎛️ Premissas'!$G$9/1000000)+'🎛️ Premissas'!$D$16*('🎛️ Premissas'!$G$10/1000000))*(1-'🎛️ Premissas'!$D$12)*'🎛️ Premissas'!$D$9*'🎛️ Premissas'!$D$17)+F76*('🎛️ Premissas'!$D$18*('🎛️ Premissas'!$D$19*('🎛️ Premissas'!$D$10/1000000)+'🎛️ Premissas'!$D$20*('🎛️ Premissas'!$D$11/1000000))*(1-'🎛️ Premissas'!$D$12)*'🎛️ Premissas'!$D$9)+F77*(('🎛️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Premissas'!$D$9))+F78*(('🎛️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42038.876550000008</v>
      </c>
      <c r="G81" s="56">
        <f>G75*('🎛️ Premissas'!$D$14*('🎛️ Premissas'!$D$15*('🎛️ Premissas'!$G$9/1000000)+'🎛️ Premissas'!$D$16*('🎛️ Premissas'!$G$10/1000000))*(1-'🎛️ Premissas'!$D$12)*'🎛️ Premissas'!$D$9*'🎛️ Premissas'!$D$17)+G76*('🎛️ Premissas'!$D$18*('🎛️ Premissas'!$D$19*('🎛️ Premissas'!$D$10/1000000)+'🎛️ Premissas'!$D$20*('🎛️ Premissas'!$D$11/1000000))*(1-'🎛️ Premissas'!$D$12)*'🎛️ Premissas'!$D$9)+G77*(('🎛️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Premissas'!$D$9))+G78*(('🎛️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50889.166350000014</v>
      </c>
      <c r="H81" s="56">
        <f>H75*('🎛️ Premissas'!$D$14*('🎛️ Premissas'!$D$15*('🎛️ Premissas'!$G$9/1000000)+'🎛️ Premissas'!$D$16*('🎛️ Premissas'!$G$10/1000000))*(1-'🎛️ Premissas'!$D$12)*'🎛️ Premissas'!$D$9*'🎛️ Premissas'!$D$17)+H76*('🎛️ Premissas'!$D$18*('🎛️ Premissas'!$D$19*('🎛️ Premissas'!$D$10/1000000)+'🎛️ Premissas'!$D$20*('🎛️ Premissas'!$D$11/1000000))*(1-'🎛️ Premissas'!$D$12)*'🎛️ Premissas'!$D$9)+H77*(('🎛️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Premissas'!$D$9))+H78*(('🎛️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59739.456150000005</v>
      </c>
      <c r="I81" s="56">
        <f>I75*('🎛️ Premissas'!$D$14*('🎛️ Premissas'!$D$15*('🎛️ Premissas'!$G$9/1000000)+'🎛️ Premissas'!$D$16*('🎛️ Premissas'!$G$10/1000000))*(1-'🎛️ Premissas'!$D$12)*'🎛️ Premissas'!$D$9*'🎛️ Premissas'!$D$17)+I76*('🎛️ Premissas'!$D$18*('🎛️ Premissas'!$D$19*('🎛️ Premissas'!$D$10/1000000)+'🎛️ Premissas'!$D$20*('🎛️ Premissas'!$D$11/1000000))*(1-'🎛️ Premissas'!$D$12)*'🎛️ Premissas'!$D$9)+I77*(('🎛️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Premissas'!$D$9))+I78*(('🎛️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68589.745950000011</v>
      </c>
      <c r="J81" s="56">
        <f>J75*('🎛️ Premissas'!$D$14*('🎛️ Premissas'!$D$15*('🎛️ Premissas'!$G$9/1000000)+'🎛️ Premissas'!$D$16*('🎛️ Premissas'!$G$10/1000000))*(1-'🎛️ Premissas'!$D$12)*'🎛️ Premissas'!$D$9*'🎛️ Premissas'!$D$17)+J76*('🎛️ Premissas'!$D$18*('🎛️ Premissas'!$D$19*('🎛️ Premissas'!$D$10/1000000)+'🎛️ Premissas'!$D$20*('🎛️ Premissas'!$D$11/1000000))*(1-'🎛️ Premissas'!$D$12)*'🎛️ Premissas'!$D$9)+J77*(('🎛️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Premissas'!$D$9))+J78*(('🎛️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77440.03575000001</v>
      </c>
      <c r="K81" s="56">
        <f>K75*('🎛️ Premissas'!$D$14*('🎛️ Premissas'!$D$15*('🎛️ Premissas'!$G$9/1000000)+'🎛️ Premissas'!$D$16*('🎛️ Premissas'!$G$10/1000000))*(1-'🎛️ Premissas'!$D$12)*'🎛️ Premissas'!$D$9*'🎛️ Premissas'!$D$17)+K76*('🎛️ Premissas'!$D$18*('🎛️ Premissas'!$D$19*('🎛️ Premissas'!$D$10/1000000)+'🎛️ Premissas'!$D$20*('🎛️ Premissas'!$D$11/1000000))*(1-'🎛️ Premissas'!$D$12)*'🎛️ Premissas'!$D$9)+K77*(('🎛️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Premissas'!$D$9))+K78*(('🎛️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86290.325550000009</v>
      </c>
      <c r="L81" s="56">
        <f>L75*('🎛️ Premissas'!$D$14*('🎛️ Premissas'!$D$15*('🎛️ Premissas'!$G$9/1000000)+'🎛️ Premissas'!$D$16*('🎛️ Premissas'!$G$10/1000000))*(1-'🎛️ Premissas'!$D$12)*'🎛️ Premissas'!$D$9*'🎛️ Premissas'!$D$17)+L76*('🎛️ Premissas'!$D$18*('🎛️ Premissas'!$D$19*('🎛️ Premissas'!$D$10/1000000)+'🎛️ Premissas'!$D$20*('🎛️ Premissas'!$D$11/1000000))*(1-'🎛️ Premissas'!$D$12)*'🎛️ Premissas'!$D$9)+L77*(('🎛️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Premissas'!$D$9))+L78*(('🎛️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95140.615350000022</v>
      </c>
      <c r="M81" s="56">
        <f>M75*('🎛️ Premissas'!$D$14*('🎛️ Premissas'!$D$15*('🎛️ Premissas'!$G$9/1000000)+'🎛️ Premissas'!$D$16*('🎛️ Premissas'!$G$10/1000000))*(1-'🎛️ Premissas'!$D$12)*'🎛️ Premissas'!$D$9*'🎛️ Premissas'!$D$17)+M76*('🎛️ Premissas'!$D$18*('🎛️ Premissas'!$D$19*('🎛️ Premissas'!$D$10/1000000)+'🎛️ Premissas'!$D$20*('🎛️ Premissas'!$D$11/1000000))*(1-'🎛️ Premissas'!$D$12)*'🎛️ Premissas'!$D$9)+M77*(('🎛️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Premissas'!$D$9))+M78*(('🎛️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103990.90515000002</v>
      </c>
      <c r="N81" s="56">
        <f>N75*('🎛️ Premissas'!$D$14*('🎛️ Premissas'!$D$15*('🎛️ Premissas'!$G$9/1000000)+'🎛️ Premissas'!$D$16*('🎛️ Premissas'!$G$10/1000000))*(1-'🎛️ Premissas'!$D$12)*'🎛️ Premissas'!$D$9*'🎛️ Premissas'!$D$17)+N76*('🎛️ Premissas'!$D$18*('🎛️ Premissas'!$D$19*('🎛️ Premissas'!$D$10/1000000)+'🎛️ Premissas'!$D$20*('🎛️ Premissas'!$D$11/1000000))*(1-'🎛️ Premissas'!$D$12)*'🎛️ Premissas'!$D$9)+N77*(('🎛️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Premissas'!$D$9))+N78*(('🎛️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113947.48117500002</v>
      </c>
      <c r="O81" s="56">
        <f>O75*('🎛️ Premissas'!$D$14*('🎛️ Premissas'!$D$15*('🎛️ Premissas'!$G$9/1000000)+'🎛️ Premissas'!$D$16*('🎛️ Premissas'!$G$10/1000000))*(1-'🎛️ Premissas'!$D$12)*'🎛️ Premissas'!$D$9*'🎛️ Premissas'!$D$17)+O76*('🎛️ Premissas'!$D$18*('🎛️ Premissas'!$D$19*('🎛️ Premissas'!$D$10/1000000)+'🎛️ Premissas'!$D$20*('🎛️ Premissas'!$D$11/1000000))*(1-'🎛️ Premissas'!$D$12)*'🎛️ Premissas'!$D$9)+O77*(('🎛️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Premissas'!$D$9))+O78*(('🎛️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123904.05720000001</v>
      </c>
      <c r="P81" s="56">
        <f>P75*('🎛️ Premissas'!$D$14*('🎛️ Premissas'!$D$15*('🎛️ Premissas'!$G$9/1000000)+'🎛️ Premissas'!$D$16*('🎛️ Premissas'!$G$10/1000000))*(1-'🎛️ Premissas'!$D$12)*'🎛️ Premissas'!$D$9*'🎛️ Premissas'!$D$17)+P76*('🎛️ Premissas'!$D$18*('🎛️ Premissas'!$D$19*('🎛️ Premissas'!$D$10/1000000)+'🎛️ Premissas'!$D$20*('🎛️ Premissas'!$D$11/1000000))*(1-'🎛️ Premissas'!$D$12)*'🎛️ Premissas'!$D$9)+P77*(('🎛️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Premissas'!$D$9))+P78*(('🎛️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133860.633225</v>
      </c>
      <c r="Q81" s="56">
        <f>Q75*('🎛️ Premissas'!$D$14*('🎛️ Premissas'!$D$15*('🎛️ Premissas'!$G$9/1000000)+'🎛️ Premissas'!$D$16*('🎛️ Premissas'!$G$10/1000000))*(1-'🎛️ Premissas'!$D$12)*'🎛️ Premissas'!$D$9*'🎛️ Premissas'!$D$17)+Q76*('🎛️ Premissas'!$D$18*('🎛️ Premissas'!$D$19*('🎛️ Premissas'!$D$10/1000000)+'🎛️ Premissas'!$D$20*('🎛️ Premissas'!$D$11/1000000))*(1-'🎛️ Premissas'!$D$12)*'🎛️ Premissas'!$D$9)+Q77*(('🎛️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Premissas'!$D$9))+Q78*(('🎛️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177771.98043</v>
      </c>
      <c r="R81" s="56">
        <f>R75*('🎛️ Premissas'!$D$14*('🎛️ Premissas'!$D$15*('🎛️ Premissas'!$G$9/1000000)+'🎛️ Premissas'!$D$16*('🎛️ Premissas'!$G$10/1000000))*(1-'🎛️ Premissas'!$D$12)*'🎛️ Premissas'!$D$9*'🎛️ Premissas'!$D$17)+R76*('🎛️ Premissas'!$D$18*('🎛️ Premissas'!$D$19*('🎛️ Premissas'!$D$10/1000000)+'🎛️ Premissas'!$D$20*('🎛️ Premissas'!$D$11/1000000))*(1-'🎛️ Premissas'!$D$12)*'🎛️ Premissas'!$D$9)+R77*(('🎛️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Premissas'!$D$9))+R78*(('🎛️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220766.88661500002</v>
      </c>
      <c r="S81" s="56">
        <f>S75*('🎛️ Premissas'!$D$14*('🎛️ Premissas'!$D$15*('🎛️ Premissas'!$G$9/1000000)+'🎛️ Premissas'!$D$16*('🎛️ Premissas'!$G$10/1000000))*(1-'🎛️ Premissas'!$D$12)*'🎛️ Premissas'!$D$9*'🎛️ Premissas'!$D$17)+S76*('🎛️ Premissas'!$D$18*('🎛️ Premissas'!$D$19*('🎛️ Premissas'!$D$10/1000000)+'🎛️ Premissas'!$D$20*('🎛️ Premissas'!$D$11/1000000))*(1-'🎛️ Premissas'!$D$12)*'🎛️ Premissas'!$D$9)+S77*(('🎛️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Premissas'!$D$9))+S78*(('🎛️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262911.07920000004</v>
      </c>
      <c r="T81" s="56">
        <f>T75*('🎛️ Premissas'!$D$14*('🎛️ Premissas'!$D$15*('🎛️ Premissas'!$G$9/1000000)+'🎛️ Premissas'!$D$16*('🎛️ Premissas'!$G$10/1000000))*(1-'🎛️ Premissas'!$D$12)*'🎛️ Premissas'!$D$9*'🎛️ Premissas'!$D$17)+T76*('🎛️ Premissas'!$D$18*('🎛️ Premissas'!$D$19*('🎛️ Premissas'!$D$10/1000000)+'🎛️ Premissas'!$D$20*('🎛️ Premissas'!$D$11/1000000))*(1-'🎛️ Premissas'!$D$12)*'🎛️ Premissas'!$D$9)+T77*(('🎛️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Premissas'!$D$9))+T78*(('🎛️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304254.63205500005</v>
      </c>
      <c r="U81" s="56">
        <f>U75*('🎛️ Premissas'!$D$14*('🎛️ Premissas'!$D$15*('🎛️ Premissas'!$G$9/1000000)+'🎛️ Premissas'!$D$16*('🎛️ Premissas'!$G$10/1000000))*(1-'🎛️ Premissas'!$D$12)*'🎛️ Premissas'!$D$9*'🎛️ Premissas'!$D$17)+U76*('🎛️ Premissas'!$D$18*('🎛️ Premissas'!$D$19*('🎛️ Premissas'!$D$10/1000000)+'🎛️ Premissas'!$D$20*('🎛️ Premissas'!$D$11/1000000))*(1-'🎛️ Premissas'!$D$12)*'🎛️ Premissas'!$D$9)+U77*(('🎛️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Premissas'!$D$9))+U78*(('🎛️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344848.70343000005</v>
      </c>
      <c r="V81" s="56">
        <f>V75*('🎛️ Premissas'!$D$14*('🎛️ Premissas'!$D$15*('🎛️ Premissas'!$G$9/1000000)+'🎛️ Premissas'!$D$16*('🎛️ Premissas'!$G$10/1000000))*(1-'🎛️ Premissas'!$D$12)*'🎛️ Premissas'!$D$9*'🎛️ Premissas'!$D$17)+V76*('🎛️ Premissas'!$D$18*('🎛️ Premissas'!$D$19*('🎛️ Premissas'!$D$10/1000000)+'🎛️ Premissas'!$D$20*('🎛️ Premissas'!$D$11/1000000))*(1-'🎛️ Premissas'!$D$12)*'🎛️ Premissas'!$D$9)+V77*(('🎛️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Premissas'!$D$9))+V78*(('🎛️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384728.50069500005</v>
      </c>
      <c r="W81" s="56">
        <f>W75*('🎛️ Premissas'!$D$14*('🎛️ Premissas'!$D$15*('🎛️ Premissas'!$G$9/1000000)+'🎛️ Premissas'!$D$16*('🎛️ Premissas'!$G$10/1000000))*(1-'🎛️ Premissas'!$D$12)*'🎛️ Premissas'!$D$9*'🎛️ Premissas'!$D$17)+W76*('🎛️ Premissas'!$D$18*('🎛️ Premissas'!$D$19*('🎛️ Premissas'!$D$10/1000000)+'🎛️ Premissas'!$D$20*('🎛️ Premissas'!$D$11/1000000))*(1-'🎛️ Premissas'!$D$12)*'🎛️ Premissas'!$D$9)+W77*(('🎛️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Premissas'!$D$9))+W78*(('🎛️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423930.31560000009</v>
      </c>
      <c r="X81" s="56">
        <f>X75*('🎛️ Premissas'!$D$14*('🎛️ Premissas'!$D$15*('🎛️ Premissas'!$G$9/1000000)+'🎛️ Premissas'!$D$16*('🎛️ Premissas'!$G$10/1000000))*(1-'🎛️ Premissas'!$D$12)*'🎛️ Premissas'!$D$9*'🎛️ Premissas'!$D$17)+X76*('🎛️ Premissas'!$D$18*('🎛️ Premissas'!$D$19*('🎛️ Premissas'!$D$10/1000000)+'🎛️ Premissas'!$D$20*('🎛️ Premissas'!$D$11/1000000))*(1-'🎛️ Premissas'!$D$12)*'🎛️ Premissas'!$D$9)+X77*(('🎛️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Premissas'!$D$9))+X78*(('🎛️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462525.19252500008</v>
      </c>
      <c r="Y81" s="56">
        <f>Y75*('🎛️ Premissas'!$D$14*('🎛️ Premissas'!$D$15*('🎛️ Premissas'!$G$9/1000000)+'🎛️ Premissas'!$D$16*('🎛️ Premissas'!$G$10/1000000))*(1-'🎛️ Premissas'!$D$12)*'🎛️ Premissas'!$D$9*'🎛️ Premissas'!$D$17)+Y76*('🎛️ Premissas'!$D$18*('🎛️ Premissas'!$D$19*('🎛️ Premissas'!$D$10/1000000)+'🎛️ Premissas'!$D$20*('🎛️ Premissas'!$D$11/1000000))*(1-'🎛️ Premissas'!$D$12)*'🎛️ Premissas'!$D$9)+Y77*(('🎛️ Premissas'!$D$21*('🎛️ Premissas'!$D$19*('🎛️ Premissas'!$D$10/1000000)+'🎛️ Premissas'!$D$20*('🎛️ Premissas'!$D$11/1000000))*(1-'🎛️ Premissas'!$D$12)*'🎛️ Premissas'!$D$9)+('🎛️ Premissas'!$D$22*('🎛️ Premissas'!$D$23*('🎛️ Premissas'!$D$10/1000000)+'🎛️ Premissas'!$D$24*('🎛️ Premissas'!$D$11/1000000))*(1-'🎛️ Premissas'!$D$12)*'🎛️ Premissas'!$D$9))+Y78*(('🎛️ Premissas'!$D$25*('🎛️ Premissas'!$D$19*('🎛️ Premissas'!$D$10/1000000)+'🎛️ Premissas'!$D$20*('🎛️ Premissas'!$D$11/1000000))*(1-'🎛️ Premissas'!$D$12)*'🎛️ Premissas'!$D$9)+('🎛️ Premissas'!$D$26*('🎛️ Premissas'!$D$23*('🎛️ Premissas'!$D$10/1000000)+'🎛️ Premissas'!$D$24*('🎛️ Premissas'!$D$11/1000000))*(1-'🎛️ Premissas'!$D$12)*'🎛️ Premissas'!$D$9))</f>
        <v>500534.0670000001</v>
      </c>
      <c r="Z81" s="56"/>
    </row>
    <row r="82" spans="1:26" hidden="1" outlineLevel="1" x14ac:dyDescent="0.2">
      <c r="A82" s="72" t="s">
        <v>251</v>
      </c>
      <c r="B82" s="56">
        <f>'🎛️ Premissas'!$D$37+'🎛️ Premissas'!$D$39+'🎛️ Premissas'!$D$41+'🎛️ Premissas'!$D$43</f>
        <v>74000</v>
      </c>
      <c r="C82" s="56">
        <f>'🎛️ Premissas'!$D$37+'🎛️ Premissas'!$D$39+'🎛️ Premissas'!$D$41+'🎛️ Premissas'!$D$43</f>
        <v>74000</v>
      </c>
      <c r="D82" s="56">
        <f>'🎛️ Premissas'!$D$37+'🎛️ Premissas'!$D$39+'🎛️ Premissas'!$D$41+'🎛️ Premissas'!$D$43</f>
        <v>74000</v>
      </c>
      <c r="E82" s="56">
        <f>'🎛️ Premissas'!$D$37+'🎛️ Premissas'!$D$39+'🎛️ Premissas'!$D$41+'🎛️ Premissas'!$D$43</f>
        <v>74000</v>
      </c>
      <c r="F82" s="56">
        <f>'🎛️ Premissas'!$D$37+'🎛️ Premissas'!$D$39+'🎛️ Premissas'!$D$41+'🎛️ Premissas'!$D$43</f>
        <v>74000</v>
      </c>
      <c r="G82" s="56">
        <f>'🎛️ Premissas'!$D$37+'🎛️ Premissas'!$D$39+'🎛️ Premissas'!$D$41+'🎛️ Premissas'!$D$43</f>
        <v>74000</v>
      </c>
      <c r="H82" s="56">
        <f>'🎛️ Premissas'!$D$37+'🎛️ Premissas'!$D$39+'🎛️ Premissas'!$D$41+'🎛️ Premissas'!$D$43</f>
        <v>74000</v>
      </c>
      <c r="I82" s="56">
        <f>'🎛️ Premissas'!$D$37+'🎛️ Premissas'!$D$39+'🎛️ Premissas'!$D$41+'🎛️ Premissas'!$D$43</f>
        <v>74000</v>
      </c>
      <c r="J82" s="56">
        <f>'🎛️ Premissas'!$D$37+'🎛️ Premissas'!$D$39+'🎛️ Premissas'!$D$41+'🎛️ Premissas'!$D$43</f>
        <v>74000</v>
      </c>
      <c r="K82" s="56">
        <f>'🎛️ Premissas'!$D$37+'🎛️ Premissas'!$D$39+'🎛️ Premissas'!$D$41+'🎛️ Premissas'!$D$43</f>
        <v>74000</v>
      </c>
      <c r="L82" s="56">
        <f>'🎛️ Premissas'!$D$37+'🎛️ Premissas'!$D$39+'🎛️ Premissas'!$D$41+'🎛️ Premissas'!$D$43</f>
        <v>74000</v>
      </c>
      <c r="M82" s="56">
        <f>'🎛️ Premissas'!$D$37+'🎛️ Premissas'!$D$39+'🎛️ Premissas'!$D$41+'🎛️ Premissas'!$D$43</f>
        <v>74000</v>
      </c>
      <c r="N82" s="56">
        <f>'🎛️ Premissas'!$D$38+'🎛️ Premissas'!$D$40+'🎛️ Premissas'!$D$42+'🎛️ Premissas'!$D$43</f>
        <v>103000</v>
      </c>
      <c r="O82" s="56">
        <f>'🎛️ Premissas'!$D$38+'🎛️ Premissas'!$D$40+'🎛️ Premissas'!$D$42+'🎛️ Premissas'!$D$43</f>
        <v>103000</v>
      </c>
      <c r="P82" s="56">
        <f>'🎛️ Premissas'!$D$38+'🎛️ Premissas'!$D$40+'🎛️ Premissas'!$D$42+'🎛️ Premissas'!$D$43</f>
        <v>103000</v>
      </c>
      <c r="Q82" s="56">
        <f>'🎛️ Premissas'!$D$38+'🎛️ Premissas'!$D$40+'🎛️ Premissas'!$D$42+'🎛️ Premissas'!$D$43</f>
        <v>103000</v>
      </c>
      <c r="R82" s="56">
        <f>'🎛️ Premissas'!$D$38+'🎛️ Premissas'!$D$40+'🎛️ Premissas'!$D$42+'🎛️ Premissas'!$D$43</f>
        <v>103000</v>
      </c>
      <c r="S82" s="56">
        <f>'🎛️ Premissas'!$D$38+'🎛️ Premissas'!$D$40+'🎛️ Premissas'!$D$42+'🎛️ Premissas'!$D$43</f>
        <v>103000</v>
      </c>
      <c r="T82" s="56">
        <f>'🎛️ Premissas'!$D$38+'🎛️ Premissas'!$D$40+'🎛️ Premissas'!$D$42+'🎛️ Premissas'!$D$43</f>
        <v>103000</v>
      </c>
      <c r="U82" s="56">
        <f>'🎛️ Premissas'!$D$38+'🎛️ Premissas'!$D$40+'🎛️ Premissas'!$D$42+'🎛️ Premissas'!$D$43</f>
        <v>103000</v>
      </c>
      <c r="V82" s="56">
        <f>'🎛️ Premissas'!$D$38+'🎛️ Premissas'!$D$40+'🎛️ Premissas'!$D$42+'🎛️ Premissas'!$D$43</f>
        <v>103000</v>
      </c>
      <c r="W82" s="56">
        <f>'🎛️ Premissas'!$D$38+'🎛️ Premissas'!$D$40+'🎛️ Premissas'!$D$42+'🎛️ Premissas'!$D$43</f>
        <v>103000</v>
      </c>
      <c r="X82" s="56">
        <f>'🎛️ Premissas'!$D$38+'🎛️ Premissas'!$D$40+'🎛️ Premissas'!$D$42+'🎛️ Premissas'!$D$43</f>
        <v>103000</v>
      </c>
      <c r="Y82" s="56">
        <f>'🎛️ Premissas'!$D$38+'🎛️ Premissas'!$D$40+'🎛️ Premissas'!$D$42+'🎛️ Premissas'!$D$43</f>
        <v>103000</v>
      </c>
      <c r="Z82" s="56"/>
    </row>
    <row r="83" spans="1:26" hidden="1" outlineLevel="1" x14ac:dyDescent="0.2">
      <c r="A83" s="72" t="s">
        <v>352</v>
      </c>
      <c r="B83" s="56">
        <f>B80*'🎛️ Premissas'!$D$67</f>
        <v>4739.3999999999996</v>
      </c>
      <c r="C83" s="56">
        <f>C80*'🎛️ Premissas'!$D$67</f>
        <v>11058.6</v>
      </c>
      <c r="D83" s="56">
        <f>D80*'🎛️ Premissas'!$D$67</f>
        <v>17377.8</v>
      </c>
      <c r="E83" s="56">
        <f>E80*'🎛️ Premissas'!$D$67</f>
        <v>23697</v>
      </c>
      <c r="F83" s="56">
        <f>F80*'🎛️ Premissas'!$D$67</f>
        <v>30016.199999999997</v>
      </c>
      <c r="G83" s="56">
        <f>G80*'🎛️ Premissas'!$D$67</f>
        <v>36335.4</v>
      </c>
      <c r="H83" s="56">
        <f>H80*'🎛️ Premissas'!$D$67</f>
        <v>42654.6</v>
      </c>
      <c r="I83" s="56">
        <f>I80*'🎛️ Premissas'!$D$67</f>
        <v>48973.799999999996</v>
      </c>
      <c r="J83" s="56">
        <f>J80*'🎛️ Premissas'!$D$67</f>
        <v>55293</v>
      </c>
      <c r="K83" s="56">
        <f>K80*'🎛️ Premissas'!$D$67</f>
        <v>61612.2</v>
      </c>
      <c r="L83" s="56">
        <f>L80*'🎛️ Premissas'!$D$67</f>
        <v>67931.399999999994</v>
      </c>
      <c r="M83" s="56">
        <f>M80*'🎛️ Premissas'!$D$67</f>
        <v>74250.599999999991</v>
      </c>
      <c r="N83" s="56">
        <f>N80*'🎛️ Premissas'!$D$67</f>
        <v>81359.7</v>
      </c>
      <c r="O83" s="56">
        <f>O80*'🎛️ Premissas'!$D$67</f>
        <v>88468.800000000003</v>
      </c>
      <c r="P83" s="56">
        <f>P80*'🎛️ Premissas'!$D$67</f>
        <v>95577.9</v>
      </c>
      <c r="Q83" s="56">
        <f>Q80*'🎛️ Premissas'!$D$67</f>
        <v>133772.54999999999</v>
      </c>
      <c r="R83" s="56">
        <f>R80*'🎛️ Premissas'!$D$67</f>
        <v>170685.78</v>
      </c>
      <c r="S83" s="56">
        <f>S80*'🎛️ Premissas'!$D$67</f>
        <v>206441.72999999998</v>
      </c>
      <c r="T83" s="56">
        <f>T80*'🎛️ Premissas'!$D$67</f>
        <v>241144.78499999997</v>
      </c>
      <c r="U83" s="56">
        <f>U80*'🎛️ Premissas'!$D$67</f>
        <v>274892.15999999997</v>
      </c>
      <c r="V83" s="56">
        <f>V80*'🎛️ Premissas'!$D$67</f>
        <v>307764.3</v>
      </c>
      <c r="W83" s="56">
        <f>W80*'🎛️ Premissas'!$D$67</f>
        <v>339834.48000000004</v>
      </c>
      <c r="X83" s="56">
        <f>X80*'🎛️ Premissas'!$D$67</f>
        <v>371195.75999999995</v>
      </c>
      <c r="Y83" s="56">
        <f>Y80*'🎛️ Premissas'!$D$67</f>
        <v>401898.67499999999</v>
      </c>
      <c r="Z83" s="56"/>
    </row>
    <row r="84" spans="1:26" hidden="1" outlineLevel="1" x14ac:dyDescent="0.2">
      <c r="A84" s="72" t="s">
        <v>273</v>
      </c>
      <c r="B84" s="56">
        <f t="shared" ref="B84:Y84" si="5">B80-B81-B82-B83</f>
        <v>-53781.11735</v>
      </c>
      <c r="C84" s="56">
        <f t="shared" si="5"/>
        <v>-26822.607150000003</v>
      </c>
      <c r="D84" s="56">
        <f t="shared" si="5"/>
        <v>135.90304999999717</v>
      </c>
      <c r="E84" s="56">
        <f t="shared" si="5"/>
        <v>27094.413249999998</v>
      </c>
      <c r="F84" s="56">
        <f t="shared" si="5"/>
        <v>54052.923449999987</v>
      </c>
      <c r="G84" s="56">
        <f t="shared" si="5"/>
        <v>81011.433649999992</v>
      </c>
      <c r="H84" s="56">
        <f t="shared" si="5"/>
        <v>107969.94384999998</v>
      </c>
      <c r="I84" s="56">
        <f t="shared" si="5"/>
        <v>134928.45405</v>
      </c>
      <c r="J84" s="56">
        <f t="shared" si="5"/>
        <v>161886.96424999996</v>
      </c>
      <c r="K84" s="56">
        <f t="shared" si="5"/>
        <v>188845.47444999998</v>
      </c>
      <c r="L84" s="56">
        <f t="shared" si="5"/>
        <v>215803.98464999997</v>
      </c>
      <c r="M84" s="56">
        <f t="shared" si="5"/>
        <v>242762.49485000002</v>
      </c>
      <c r="N84" s="56">
        <f t="shared" si="5"/>
        <v>244090.81882499997</v>
      </c>
      <c r="O84" s="56">
        <f t="shared" si="5"/>
        <v>274419.14279999997</v>
      </c>
      <c r="P84" s="56">
        <f t="shared" si="5"/>
        <v>304747.46677499998</v>
      </c>
      <c r="Q84" s="56">
        <f t="shared" si="5"/>
        <v>477272.46957000002</v>
      </c>
      <c r="R84" s="56">
        <f t="shared" si="5"/>
        <v>643452.53338499996</v>
      </c>
      <c r="S84" s="56">
        <f t="shared" si="5"/>
        <v>803925.39079999994</v>
      </c>
      <c r="T84" s="56">
        <f t="shared" si="5"/>
        <v>959232.48294500005</v>
      </c>
      <c r="U84" s="56">
        <f t="shared" si="5"/>
        <v>1109873.53657</v>
      </c>
      <c r="V84" s="56">
        <f t="shared" si="5"/>
        <v>1256269.199305</v>
      </c>
      <c r="W84" s="56">
        <f t="shared" si="5"/>
        <v>1398798.4044000001</v>
      </c>
      <c r="X84" s="56">
        <f t="shared" si="5"/>
        <v>1537917.4474749998</v>
      </c>
      <c r="Y84" s="56">
        <f t="shared" si="5"/>
        <v>1673891.7579999997</v>
      </c>
      <c r="Z84" s="56"/>
    </row>
    <row r="85" spans="1:26" collapsed="1" x14ac:dyDescent="0.2">
      <c r="A85" s="72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idden="1" outlineLevel="1" x14ac:dyDescent="0.2">
      <c r="A86" s="72" t="s">
        <v>361</v>
      </c>
      <c r="B86" s="56">
        <f>-'🎛️ Premissas'!$B$55</f>
        <v>-1000000</v>
      </c>
      <c r="C86" s="56">
        <f t="shared" ref="C86:Z86" si="6">B60</f>
        <v>-44240.949249999998</v>
      </c>
      <c r="D86" s="56">
        <f t="shared" si="6"/>
        <v>-33481.898500000003</v>
      </c>
      <c r="E86" s="56">
        <f t="shared" si="6"/>
        <v>-22722.847749999997</v>
      </c>
      <c r="F86" s="56">
        <f t="shared" si="6"/>
        <v>-11963.797000000002</v>
      </c>
      <c r="G86" s="56">
        <f t="shared" si="6"/>
        <v>-1204.7462499999983</v>
      </c>
      <c r="H86" s="56">
        <f t="shared" si="6"/>
        <v>9554.3045000000038</v>
      </c>
      <c r="I86" s="56">
        <f t="shared" si="6"/>
        <v>20313.355249999993</v>
      </c>
      <c r="J86" s="56">
        <f t="shared" si="6"/>
        <v>31072.405999999995</v>
      </c>
      <c r="K86" s="56">
        <f t="shared" si="6"/>
        <v>41831.456749999998</v>
      </c>
      <c r="L86" s="56">
        <f t="shared" si="6"/>
        <v>52590.507500000007</v>
      </c>
      <c r="M86" s="56">
        <f t="shared" si="6"/>
        <v>63349.558250000002</v>
      </c>
      <c r="N86" s="56">
        <f t="shared" si="6"/>
        <v>74108.609000000011</v>
      </c>
      <c r="O86" s="56">
        <f t="shared" si="6"/>
        <v>71660.834874999986</v>
      </c>
      <c r="P86" s="56">
        <f t="shared" si="6"/>
        <v>84213.060750000004</v>
      </c>
      <c r="Q86" s="56">
        <f t="shared" si="6"/>
        <v>96765.286625000008</v>
      </c>
      <c r="R86" s="56">
        <f t="shared" si="6"/>
        <v>182437.93726999999</v>
      </c>
      <c r="S86" s="56">
        <f t="shared" si="6"/>
        <v>265703.69688499992</v>
      </c>
      <c r="T86" s="56">
        <f t="shared" si="6"/>
        <v>346949.50313999993</v>
      </c>
      <c r="U86" s="56">
        <f t="shared" si="6"/>
        <v>426259.95510499994</v>
      </c>
      <c r="V86" s="56">
        <f t="shared" si="6"/>
        <v>503914.93432999996</v>
      </c>
      <c r="W86" s="56">
        <f t="shared" si="6"/>
        <v>580050.40281499992</v>
      </c>
      <c r="X86" s="56">
        <f t="shared" si="6"/>
        <v>654895.25635999988</v>
      </c>
      <c r="Y86" s="56">
        <f t="shared" si="6"/>
        <v>728524.6791549999</v>
      </c>
      <c r="Z86" s="56">
        <f t="shared" si="6"/>
        <v>801109.00087999995</v>
      </c>
    </row>
    <row r="87" spans="1:26" hidden="1" outlineLevel="1" x14ac:dyDescent="0.2">
      <c r="A87" s="72" t="s">
        <v>362</v>
      </c>
      <c r="B87" s="56">
        <f>-'🎛️ Premissas'!$B$55</f>
        <v>-1000000</v>
      </c>
      <c r="C87" s="56">
        <f t="shared" ref="C87:Z87" si="7">B72</f>
        <v>-46584.595800000003</v>
      </c>
      <c r="D87" s="56">
        <f t="shared" si="7"/>
        <v>-27433.290900000007</v>
      </c>
      <c r="E87" s="56">
        <f t="shared" si="7"/>
        <v>-8281.985999999999</v>
      </c>
      <c r="F87" s="56">
        <f t="shared" si="7"/>
        <v>10869.318899999991</v>
      </c>
      <c r="G87" s="56">
        <f t="shared" si="7"/>
        <v>30020.623800000005</v>
      </c>
      <c r="H87" s="56">
        <f t="shared" si="7"/>
        <v>49171.928699999989</v>
      </c>
      <c r="I87" s="56">
        <f t="shared" si="7"/>
        <v>68323.233600000007</v>
      </c>
      <c r="J87" s="56">
        <f t="shared" si="7"/>
        <v>87474.53850000001</v>
      </c>
      <c r="K87" s="56">
        <f t="shared" si="7"/>
        <v>106625.8434</v>
      </c>
      <c r="L87" s="56">
        <f t="shared" si="7"/>
        <v>125777.14829999997</v>
      </c>
      <c r="M87" s="56">
        <f t="shared" si="7"/>
        <v>144928.45319999999</v>
      </c>
      <c r="N87" s="56">
        <f t="shared" si="7"/>
        <v>164079.75810000001</v>
      </c>
      <c r="O87" s="56">
        <f t="shared" si="7"/>
        <v>164966.96370000002</v>
      </c>
      <c r="P87" s="56">
        <f t="shared" si="7"/>
        <v>186854.16929999998</v>
      </c>
      <c r="Q87" s="56">
        <f t="shared" si="7"/>
        <v>208741.3749</v>
      </c>
      <c r="R87" s="56">
        <f t="shared" si="7"/>
        <v>347302.03566000005</v>
      </c>
      <c r="S87" s="56">
        <f t="shared" si="7"/>
        <v>481300.1923</v>
      </c>
      <c r="T87" s="56">
        <f t="shared" si="7"/>
        <v>611121.23233999987</v>
      </c>
      <c r="U87" s="56">
        <f t="shared" si="7"/>
        <v>737182.37849999988</v>
      </c>
      <c r="V87" s="56">
        <f t="shared" si="7"/>
        <v>859890.90869999991</v>
      </c>
      <c r="W87" s="56">
        <f t="shared" si="7"/>
        <v>979590.31094</v>
      </c>
      <c r="X87" s="56">
        <f t="shared" si="7"/>
        <v>1096535.7448999998</v>
      </c>
      <c r="Y87" s="56">
        <f t="shared" si="7"/>
        <v>1211085.2921799999</v>
      </c>
      <c r="Z87" s="56">
        <f t="shared" si="7"/>
        <v>1323467.6900999998</v>
      </c>
    </row>
    <row r="88" spans="1:26" hidden="1" outlineLevel="1" x14ac:dyDescent="0.2">
      <c r="A88" s="72" t="s">
        <v>363</v>
      </c>
      <c r="B88" s="56">
        <f>-'🎛️ Premissas'!$B$55</f>
        <v>-1000000</v>
      </c>
      <c r="C88" s="56">
        <f t="shared" ref="C88:Z88" si="8">B84</f>
        <v>-53781.11735</v>
      </c>
      <c r="D88" s="56">
        <f t="shared" si="8"/>
        <v>-26822.607150000003</v>
      </c>
      <c r="E88" s="56">
        <f t="shared" si="8"/>
        <v>135.90304999999717</v>
      </c>
      <c r="F88" s="56">
        <f t="shared" si="8"/>
        <v>27094.413249999998</v>
      </c>
      <c r="G88" s="56">
        <f t="shared" si="8"/>
        <v>54052.923449999987</v>
      </c>
      <c r="H88" s="56">
        <f t="shared" si="8"/>
        <v>81011.433649999992</v>
      </c>
      <c r="I88" s="56">
        <f t="shared" si="8"/>
        <v>107969.94384999998</v>
      </c>
      <c r="J88" s="56">
        <f t="shared" si="8"/>
        <v>134928.45405</v>
      </c>
      <c r="K88" s="56">
        <f t="shared" si="8"/>
        <v>161886.96424999996</v>
      </c>
      <c r="L88" s="56">
        <f t="shared" si="8"/>
        <v>188845.47444999998</v>
      </c>
      <c r="M88" s="56">
        <f t="shared" si="8"/>
        <v>215803.98464999997</v>
      </c>
      <c r="N88" s="56">
        <f t="shared" si="8"/>
        <v>242762.49485000002</v>
      </c>
      <c r="O88" s="56">
        <f t="shared" si="8"/>
        <v>244090.81882499997</v>
      </c>
      <c r="P88" s="56">
        <f t="shared" si="8"/>
        <v>274419.14279999997</v>
      </c>
      <c r="Q88" s="56">
        <f t="shared" si="8"/>
        <v>304747.46677499998</v>
      </c>
      <c r="R88" s="56">
        <f t="shared" si="8"/>
        <v>477272.46957000002</v>
      </c>
      <c r="S88" s="56">
        <f t="shared" si="8"/>
        <v>643452.53338499996</v>
      </c>
      <c r="T88" s="56">
        <f t="shared" si="8"/>
        <v>803925.39079999994</v>
      </c>
      <c r="U88" s="56">
        <f t="shared" si="8"/>
        <v>959232.48294500005</v>
      </c>
      <c r="V88" s="56">
        <f t="shared" si="8"/>
        <v>1109873.53657</v>
      </c>
      <c r="W88" s="56">
        <f t="shared" si="8"/>
        <v>1256269.199305</v>
      </c>
      <c r="X88" s="56">
        <f t="shared" si="8"/>
        <v>1398798.4044000001</v>
      </c>
      <c r="Y88" s="56">
        <f t="shared" si="8"/>
        <v>1537917.4474749998</v>
      </c>
      <c r="Z88" s="56">
        <f t="shared" si="8"/>
        <v>1673891.7579999997</v>
      </c>
    </row>
    <row r="89" spans="1:26" collapsed="1" x14ac:dyDescent="0.2">
      <c r="A89" s="72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</sheetData>
  <mergeCells count="9">
    <mergeCell ref="A37:E38"/>
    <mergeCell ref="A24:E24"/>
    <mergeCell ref="A29:E29"/>
    <mergeCell ref="A34:E34"/>
    <mergeCell ref="A1:E1"/>
    <mergeCell ref="A2:E2"/>
    <mergeCell ref="A4:E4"/>
    <mergeCell ref="A11:E1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🚀 Dashboard Investidor</vt:lpstr>
      <vt:lpstr>💎 Resumo Anjo</vt:lpstr>
      <vt:lpstr>🔧 Cenário Ativo</vt:lpstr>
      <vt:lpstr>🎛️ Premissas</vt:lpstr>
      <vt:lpstr>📊 Base Mensal</vt:lpstr>
      <vt:lpstr>📊 Resumo Cenários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Luiz Claudio Angulski de Souza</cp:lastModifiedBy>
  <cp:revision>4</cp:revision>
  <dcterms:created xsi:type="dcterms:W3CDTF">2026-04-15T14:12:42Z</dcterms:created>
  <dcterms:modified xsi:type="dcterms:W3CDTF">2026-06-07T15:08:33Z</dcterms:modified>
  <dc:language>en-US</dc:language>
</cp:coreProperties>
</file>
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du 1/AUTONOMA/autonoma_investidor/autonoma/"/>
    </mc:Choice>
  </mc:AlternateContent>
  <xr:revisionPtr revIDLastSave="0" documentId="8_{602C7E39-D3F6-F64F-B451-BD33FB1DAD33}" xr6:coauthVersionLast="47" xr6:coauthVersionMax="47" xr10:uidLastSave="{00000000-0000-0000-0000-000000000000}"/>
  <bookViews>
    <workbookView xWindow="0" yWindow="0" windowWidth="33600" windowHeight="21000" xr2:uid="{AB7A4418-F14C-F442-A7C8-7297750B6308}"/>
  </bookViews>
  <sheets>
    <sheet name="Planilha1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87" i="1"/>
  <c r="B86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D20" i="1"/>
  <c r="C20" i="1"/>
  <c r="B20" i="1"/>
  <c r="D15" i="1"/>
  <c r="D16" i="1" s="1"/>
  <c r="C15" i="1"/>
  <c r="C16" i="1" s="1"/>
  <c r="D14" i="1"/>
  <c r="C14" i="1"/>
  <c r="B14" i="1"/>
  <c r="D13" i="1"/>
  <c r="C13" i="1"/>
  <c r="B13" i="1"/>
  <c r="B15" i="1" s="1"/>
  <c r="B16" i="1" s="1"/>
  <c r="D12" i="1"/>
  <c r="C12" i="1"/>
  <c r="B12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D17" i="1" s="1"/>
  <c r="C5" i="1"/>
  <c r="C17" i="1" s="1"/>
  <c r="B5" i="1"/>
  <c r="B17" i="1" s="1"/>
  <c r="B69" i="1" l="1"/>
  <c r="B52" i="1"/>
  <c r="B53" i="1"/>
  <c r="C53" i="1" s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B54" i="1"/>
  <c r="C54" i="1" s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B64" i="1"/>
  <c r="B65" i="1"/>
  <c r="C65" i="1" s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B66" i="1"/>
  <c r="C66" i="1" s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B76" i="1"/>
  <c r="B77" i="1"/>
  <c r="C77" i="1" s="1"/>
  <c r="D77" i="1" s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B78" i="1"/>
  <c r="C78" i="1" s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C76" i="1" l="1"/>
  <c r="B80" i="1"/>
  <c r="B79" i="1"/>
  <c r="C64" i="1"/>
  <c r="B68" i="1"/>
  <c r="B67" i="1"/>
  <c r="B57" i="1"/>
  <c r="B81" i="1"/>
  <c r="C52" i="1"/>
  <c r="B56" i="1"/>
  <c r="B55" i="1"/>
  <c r="B71" i="1" l="1"/>
  <c r="B72" i="1" s="1"/>
  <c r="B59" i="1"/>
  <c r="B60" i="1" s="1"/>
  <c r="B84" i="1"/>
  <c r="B83" i="1"/>
  <c r="D64" i="1"/>
  <c r="C68" i="1"/>
  <c r="C67" i="1"/>
  <c r="C69" i="1"/>
  <c r="D52" i="1"/>
  <c r="C56" i="1"/>
  <c r="C55" i="1"/>
  <c r="C57" i="1"/>
  <c r="D76" i="1"/>
  <c r="C80" i="1"/>
  <c r="C79" i="1"/>
  <c r="C81" i="1"/>
  <c r="C86" i="1" l="1"/>
  <c r="C87" i="1"/>
  <c r="C88" i="1"/>
  <c r="C59" i="1"/>
  <c r="C60" i="1" s="1"/>
  <c r="D56" i="1"/>
  <c r="D55" i="1"/>
  <c r="E52" i="1"/>
  <c r="D57" i="1"/>
  <c r="C83" i="1"/>
  <c r="C84" i="1" s="1"/>
  <c r="C72" i="1"/>
  <c r="D87" i="1" s="1"/>
  <c r="C71" i="1"/>
  <c r="D80" i="1"/>
  <c r="D79" i="1"/>
  <c r="E76" i="1"/>
  <c r="D81" i="1"/>
  <c r="D68" i="1"/>
  <c r="D67" i="1"/>
  <c r="E64" i="1"/>
  <c r="D69" i="1"/>
  <c r="D86" i="1" l="1"/>
  <c r="D88" i="1"/>
  <c r="D71" i="1"/>
  <c r="D72" i="1" s="1"/>
  <c r="D83" i="1"/>
  <c r="D84" i="1" s="1"/>
  <c r="E67" i="1"/>
  <c r="F64" i="1"/>
  <c r="E68" i="1"/>
  <c r="E69" i="1"/>
  <c r="E79" i="1"/>
  <c r="F76" i="1"/>
  <c r="E80" i="1"/>
  <c r="E81" i="1"/>
  <c r="E55" i="1"/>
  <c r="F52" i="1"/>
  <c r="E56" i="1"/>
  <c r="E57" i="1"/>
  <c r="D59" i="1"/>
  <c r="D60" i="1" s="1"/>
  <c r="E88" i="1" l="1"/>
  <c r="E87" i="1"/>
  <c r="E86" i="1"/>
  <c r="F57" i="1"/>
  <c r="G52" i="1"/>
  <c r="F56" i="1"/>
  <c r="F55" i="1"/>
  <c r="G64" i="1"/>
  <c r="F67" i="1"/>
  <c r="F68" i="1"/>
  <c r="F69" i="1"/>
  <c r="E83" i="1"/>
  <c r="E84" i="1"/>
  <c r="F88" i="1" s="1"/>
  <c r="G76" i="1"/>
  <c r="F79" i="1"/>
  <c r="F80" i="1"/>
  <c r="F81" i="1"/>
  <c r="E59" i="1"/>
  <c r="E60" i="1" s="1"/>
  <c r="E71" i="1"/>
  <c r="E72" i="1"/>
  <c r="F87" i="1" s="1"/>
  <c r="F86" i="1" l="1"/>
  <c r="H52" i="1"/>
  <c r="G55" i="1"/>
  <c r="G56" i="1"/>
  <c r="G57" i="1"/>
  <c r="F71" i="1"/>
  <c r="F72" i="1" s="1"/>
  <c r="H64" i="1"/>
  <c r="G68" i="1"/>
  <c r="G67" i="1"/>
  <c r="G69" i="1"/>
  <c r="F83" i="1"/>
  <c r="F84" i="1" s="1"/>
  <c r="H76" i="1"/>
  <c r="G80" i="1"/>
  <c r="G79" i="1"/>
  <c r="G81" i="1"/>
  <c r="F59" i="1"/>
  <c r="F60" i="1"/>
  <c r="G86" i="1" s="1"/>
  <c r="G88" i="1" l="1"/>
  <c r="G87" i="1"/>
  <c r="G71" i="1"/>
  <c r="G72" i="1" s="1"/>
  <c r="G60" i="1"/>
  <c r="H86" i="1" s="1"/>
  <c r="G59" i="1"/>
  <c r="I64" i="1"/>
  <c r="H68" i="1"/>
  <c r="H67" i="1"/>
  <c r="H69" i="1"/>
  <c r="G83" i="1"/>
  <c r="G84" i="1" s="1"/>
  <c r="H88" i="1" s="1"/>
  <c r="I76" i="1"/>
  <c r="H80" i="1"/>
  <c r="H79" i="1"/>
  <c r="H81" i="1"/>
  <c r="H56" i="1"/>
  <c r="H55" i="1"/>
  <c r="I52" i="1"/>
  <c r="H57" i="1"/>
  <c r="H87" i="1" l="1"/>
  <c r="H83" i="1"/>
  <c r="H84" i="1" s="1"/>
  <c r="I88" i="1" s="1"/>
  <c r="H71" i="1"/>
  <c r="H72" i="1" s="1"/>
  <c r="I87" i="1" s="1"/>
  <c r="H59" i="1"/>
  <c r="H60" i="1" s="1"/>
  <c r="I86" i="1" s="1"/>
  <c r="J76" i="1"/>
  <c r="I80" i="1"/>
  <c r="I79" i="1"/>
  <c r="I81" i="1"/>
  <c r="J64" i="1"/>
  <c r="I68" i="1"/>
  <c r="I67" i="1"/>
  <c r="I69" i="1"/>
  <c r="J52" i="1"/>
  <c r="I56" i="1"/>
  <c r="I55" i="1"/>
  <c r="I57" i="1"/>
  <c r="K64" i="1" l="1"/>
  <c r="J68" i="1"/>
  <c r="J67" i="1"/>
  <c r="J69" i="1"/>
  <c r="I60" i="1"/>
  <c r="J86" i="1" s="1"/>
  <c r="I59" i="1"/>
  <c r="I83" i="1"/>
  <c r="I84" i="1" s="1"/>
  <c r="J88" i="1" s="1"/>
  <c r="K52" i="1"/>
  <c r="J56" i="1"/>
  <c r="J55" i="1"/>
  <c r="J57" i="1"/>
  <c r="K76" i="1"/>
  <c r="J80" i="1"/>
  <c r="J79" i="1"/>
  <c r="J81" i="1"/>
  <c r="I72" i="1"/>
  <c r="J87" i="1" s="1"/>
  <c r="I71" i="1"/>
  <c r="L76" i="1" l="1"/>
  <c r="K80" i="1"/>
  <c r="K79" i="1"/>
  <c r="K81" i="1"/>
  <c r="J60" i="1"/>
  <c r="K86" i="1" s="1"/>
  <c r="J59" i="1"/>
  <c r="J71" i="1"/>
  <c r="J72" i="1" s="1"/>
  <c r="K87" i="1" s="1"/>
  <c r="L64" i="1"/>
  <c r="K68" i="1"/>
  <c r="K67" i="1"/>
  <c r="K69" i="1"/>
  <c r="L52" i="1"/>
  <c r="K56" i="1"/>
  <c r="K55" i="1"/>
  <c r="K57" i="1"/>
  <c r="J83" i="1"/>
  <c r="J84" i="1" s="1"/>
  <c r="K88" i="1" s="1"/>
  <c r="L56" i="1" l="1"/>
  <c r="L55" i="1"/>
  <c r="M52" i="1"/>
  <c r="L57" i="1"/>
  <c r="K83" i="1"/>
  <c r="K84" i="1" s="1"/>
  <c r="L88" i="1" s="1"/>
  <c r="K71" i="1"/>
  <c r="K72" i="1" s="1"/>
  <c r="L87" i="1" s="1"/>
  <c r="L68" i="1"/>
  <c r="L67" i="1"/>
  <c r="M64" i="1"/>
  <c r="L69" i="1"/>
  <c r="L80" i="1"/>
  <c r="L79" i="1"/>
  <c r="M76" i="1"/>
  <c r="L81" i="1"/>
  <c r="K59" i="1"/>
  <c r="K60" i="1" s="1"/>
  <c r="L86" i="1" s="1"/>
  <c r="M56" i="1" l="1"/>
  <c r="M57" i="1"/>
  <c r="M55" i="1"/>
  <c r="B28" i="1" s="1"/>
  <c r="N52" i="1"/>
  <c r="M79" i="1"/>
  <c r="D28" i="1" s="1"/>
  <c r="N76" i="1"/>
  <c r="M80" i="1"/>
  <c r="M81" i="1"/>
  <c r="L83" i="1"/>
  <c r="L84" i="1" s="1"/>
  <c r="M88" i="1" s="1"/>
  <c r="M67" i="1"/>
  <c r="C28" i="1" s="1"/>
  <c r="N64" i="1"/>
  <c r="M68" i="1"/>
  <c r="M69" i="1"/>
  <c r="L71" i="1"/>
  <c r="L72" i="1" s="1"/>
  <c r="M87" i="1" s="1"/>
  <c r="L59" i="1"/>
  <c r="L60" i="1" s="1"/>
  <c r="M86" i="1" s="1"/>
  <c r="D25" i="1" l="1"/>
  <c r="D26" i="1"/>
  <c r="M83" i="1"/>
  <c r="M84" i="1" s="1"/>
  <c r="M72" i="1"/>
  <c r="C25" i="1"/>
  <c r="C26" i="1"/>
  <c r="M71" i="1"/>
  <c r="O64" i="1"/>
  <c r="N68" i="1"/>
  <c r="N69" i="1"/>
  <c r="N67" i="1"/>
  <c r="N55" i="1"/>
  <c r="N57" i="1"/>
  <c r="O52" i="1"/>
  <c r="N56" i="1"/>
  <c r="O76" i="1"/>
  <c r="N80" i="1"/>
  <c r="N81" i="1"/>
  <c r="N79" i="1"/>
  <c r="B25" i="1"/>
  <c r="B26" i="1"/>
  <c r="M59" i="1"/>
  <c r="M60" i="1" s="1"/>
  <c r="N86" i="1" l="1"/>
  <c r="B27" i="1"/>
  <c r="N88" i="1"/>
  <c r="D27" i="1"/>
  <c r="N59" i="1"/>
  <c r="N60" i="1" s="1"/>
  <c r="P52" i="1"/>
  <c r="O55" i="1"/>
  <c r="O56" i="1"/>
  <c r="O57" i="1"/>
  <c r="N83" i="1"/>
  <c r="N84" i="1" s="1"/>
  <c r="N87" i="1"/>
  <c r="C27" i="1"/>
  <c r="N71" i="1"/>
  <c r="N72" i="1"/>
  <c r="P76" i="1"/>
  <c r="O80" i="1"/>
  <c r="O79" i="1"/>
  <c r="O81" i="1"/>
  <c r="P64" i="1"/>
  <c r="O68" i="1"/>
  <c r="O67" i="1"/>
  <c r="O69" i="1"/>
  <c r="O86" i="1" l="1"/>
  <c r="O88" i="1"/>
  <c r="O87" i="1"/>
  <c r="O71" i="1"/>
  <c r="O72" i="1" s="1"/>
  <c r="O83" i="1"/>
  <c r="O84" i="1" s="1"/>
  <c r="P56" i="1"/>
  <c r="P55" i="1"/>
  <c r="Q52" i="1"/>
  <c r="P57" i="1"/>
  <c r="Q64" i="1"/>
  <c r="P68" i="1"/>
  <c r="P67" i="1"/>
  <c r="P69" i="1"/>
  <c r="Q76" i="1"/>
  <c r="P80" i="1"/>
  <c r="P79" i="1"/>
  <c r="P81" i="1"/>
  <c r="O59" i="1"/>
  <c r="O60" i="1" s="1"/>
  <c r="P88" i="1" l="1"/>
  <c r="P87" i="1"/>
  <c r="P86" i="1"/>
  <c r="R52" i="1"/>
  <c r="Q56" i="1"/>
  <c r="Q55" i="1"/>
  <c r="Q57" i="1"/>
  <c r="P71" i="1"/>
  <c r="P72" i="1" s="1"/>
  <c r="P83" i="1"/>
  <c r="P84" i="1" s="1"/>
  <c r="R76" i="1"/>
  <c r="Q80" i="1"/>
  <c r="Q79" i="1"/>
  <c r="Q81" i="1"/>
  <c r="P59" i="1"/>
  <c r="P60" i="1" s="1"/>
  <c r="R64" i="1"/>
  <c r="Q68" i="1"/>
  <c r="Q67" i="1"/>
  <c r="Q69" i="1"/>
  <c r="Q86" i="1" l="1"/>
  <c r="Q87" i="1"/>
  <c r="Q88" i="1"/>
  <c r="Q59" i="1"/>
  <c r="Q60" i="1" s="1"/>
  <c r="S52" i="1"/>
  <c r="R56" i="1"/>
  <c r="R55" i="1"/>
  <c r="R57" i="1"/>
  <c r="S76" i="1"/>
  <c r="R80" i="1"/>
  <c r="R79" i="1"/>
  <c r="R81" i="1"/>
  <c r="Q71" i="1"/>
  <c r="Q72" i="1" s="1"/>
  <c r="S64" i="1"/>
  <c r="R68" i="1"/>
  <c r="R67" i="1"/>
  <c r="R69" i="1"/>
  <c r="Q83" i="1"/>
  <c r="Q84" i="1" s="1"/>
  <c r="R87" i="1" l="1"/>
  <c r="R86" i="1"/>
  <c r="R88" i="1"/>
  <c r="T64" i="1"/>
  <c r="S68" i="1"/>
  <c r="S67" i="1"/>
  <c r="S69" i="1"/>
  <c r="R83" i="1"/>
  <c r="R84" i="1" s="1"/>
  <c r="T76" i="1"/>
  <c r="S80" i="1"/>
  <c r="S79" i="1"/>
  <c r="S81" i="1"/>
  <c r="R71" i="1"/>
  <c r="R72" i="1" s="1"/>
  <c r="R59" i="1"/>
  <c r="R60" i="1" s="1"/>
  <c r="T52" i="1"/>
  <c r="S56" i="1"/>
  <c r="S55" i="1"/>
  <c r="S57" i="1"/>
  <c r="S88" i="1" l="1"/>
  <c r="S86" i="1"/>
  <c r="S87" i="1"/>
  <c r="S59" i="1"/>
  <c r="S60" i="1" s="1"/>
  <c r="T86" i="1" s="1"/>
  <c r="T56" i="1"/>
  <c r="T55" i="1"/>
  <c r="U52" i="1"/>
  <c r="T57" i="1"/>
  <c r="T68" i="1"/>
  <c r="T67" i="1"/>
  <c r="U64" i="1"/>
  <c r="T69" i="1"/>
  <c r="S84" i="1"/>
  <c r="T88" i="1" s="1"/>
  <c r="S83" i="1"/>
  <c r="S71" i="1"/>
  <c r="S72" i="1" s="1"/>
  <c r="T87" i="1" s="1"/>
  <c r="T80" i="1"/>
  <c r="T79" i="1"/>
  <c r="U76" i="1"/>
  <c r="T81" i="1"/>
  <c r="U68" i="1" l="1"/>
  <c r="U67" i="1"/>
  <c r="V64" i="1"/>
  <c r="U69" i="1"/>
  <c r="T71" i="1"/>
  <c r="T72" i="1" s="1"/>
  <c r="U87" i="1" s="1"/>
  <c r="U55" i="1"/>
  <c r="V52" i="1"/>
  <c r="U57" i="1"/>
  <c r="U56" i="1"/>
  <c r="U80" i="1"/>
  <c r="U79" i="1"/>
  <c r="V76" i="1"/>
  <c r="U81" i="1"/>
  <c r="T83" i="1"/>
  <c r="T84" i="1" s="1"/>
  <c r="U88" i="1" s="1"/>
  <c r="T59" i="1"/>
  <c r="T60" i="1" s="1"/>
  <c r="U86" i="1" s="1"/>
  <c r="W52" i="1" l="1"/>
  <c r="V57" i="1"/>
  <c r="V55" i="1"/>
  <c r="V56" i="1"/>
  <c r="W76" i="1"/>
  <c r="V81" i="1"/>
  <c r="V79" i="1"/>
  <c r="V80" i="1"/>
  <c r="U83" i="1"/>
  <c r="U84" i="1" s="1"/>
  <c r="V88" i="1" s="1"/>
  <c r="W64" i="1"/>
  <c r="V69" i="1"/>
  <c r="V67" i="1"/>
  <c r="V68" i="1"/>
  <c r="U59" i="1"/>
  <c r="U60" i="1"/>
  <c r="V86" i="1" s="1"/>
  <c r="U71" i="1"/>
  <c r="U72" i="1"/>
  <c r="V87" i="1" s="1"/>
  <c r="X76" i="1" l="1"/>
  <c r="W80" i="1"/>
  <c r="W79" i="1"/>
  <c r="W81" i="1"/>
  <c r="V59" i="1"/>
  <c r="V60" i="1"/>
  <c r="W86" i="1" s="1"/>
  <c r="X64" i="1"/>
  <c r="W68" i="1"/>
  <c r="W67" i="1"/>
  <c r="W69" i="1"/>
  <c r="V83" i="1"/>
  <c r="V84" i="1" s="1"/>
  <c r="W88" i="1" s="1"/>
  <c r="V71" i="1"/>
  <c r="V72" i="1"/>
  <c r="W87" i="1" s="1"/>
  <c r="X52" i="1"/>
  <c r="W55" i="1"/>
  <c r="W56" i="1"/>
  <c r="W57" i="1"/>
  <c r="W71" i="1" l="1"/>
  <c r="W72" i="1" s="1"/>
  <c r="X87" i="1" s="1"/>
  <c r="X56" i="1"/>
  <c r="X55" i="1"/>
  <c r="Y52" i="1"/>
  <c r="X57" i="1"/>
  <c r="Y64" i="1"/>
  <c r="X68" i="1"/>
  <c r="X67" i="1"/>
  <c r="X69" i="1"/>
  <c r="W84" i="1"/>
  <c r="X88" i="1" s="1"/>
  <c r="W83" i="1"/>
  <c r="W59" i="1"/>
  <c r="W60" i="1" s="1"/>
  <c r="X86" i="1" s="1"/>
  <c r="Y76" i="1"/>
  <c r="X80" i="1"/>
  <c r="X79" i="1"/>
  <c r="X81" i="1"/>
  <c r="X83" i="1" l="1"/>
  <c r="X84" i="1" s="1"/>
  <c r="Y88" i="1" s="1"/>
  <c r="Y68" i="1"/>
  <c r="Y67" i="1"/>
  <c r="C33" i="1" s="1"/>
  <c r="Y69" i="1"/>
  <c r="Y56" i="1"/>
  <c r="Y55" i="1"/>
  <c r="B33" i="1" s="1"/>
  <c r="Y57" i="1"/>
  <c r="X71" i="1"/>
  <c r="X72" i="1" s="1"/>
  <c r="Y87" i="1" s="1"/>
  <c r="Y80" i="1"/>
  <c r="Y79" i="1"/>
  <c r="D33" i="1" s="1"/>
  <c r="Y81" i="1"/>
  <c r="X59" i="1"/>
  <c r="X60" i="1" s="1"/>
  <c r="Y86" i="1" s="1"/>
  <c r="B31" i="1" l="1"/>
  <c r="Y60" i="1"/>
  <c r="Y59" i="1"/>
  <c r="B30" i="1"/>
  <c r="B19" i="1"/>
  <c r="B21" i="1" s="1"/>
  <c r="B22" i="1" s="1"/>
  <c r="B23" i="1" s="1"/>
  <c r="Y71" i="1"/>
  <c r="Y72" i="1" s="1"/>
  <c r="C30" i="1"/>
  <c r="C31" i="1"/>
  <c r="C19" i="1"/>
  <c r="C21" i="1" s="1"/>
  <c r="C22" i="1" s="1"/>
  <c r="C23" i="1" s="1"/>
  <c r="D30" i="1"/>
  <c r="Y83" i="1"/>
  <c r="Y84" i="1" s="1"/>
  <c r="D31" i="1"/>
  <c r="D19" i="1"/>
  <c r="D21" i="1" s="1"/>
  <c r="D22" i="1" s="1"/>
  <c r="D23" i="1" s="1"/>
  <c r="Z87" i="1" l="1"/>
  <c r="C32" i="1"/>
  <c r="Z88" i="1"/>
  <c r="D32" i="1"/>
  <c r="Z86" i="1"/>
  <c r="B32" i="1"/>
  <c r="D36" i="1" l="1"/>
  <c r="D35" i="1"/>
  <c r="B36" i="1"/>
  <c r="B35" i="1"/>
  <c r="C36" i="1"/>
  <c r="C35" i="1"/>
</calcChain>
</file>

<file path=xl/sharedStrings.xml><?xml version="1.0" encoding="utf-8"?>
<sst xmlns="http://schemas.openxmlformats.org/spreadsheetml/2006/main" count="129" uniqueCount="102">
  <si>
    <t>AutoNoma · Real Scenario Comparison · 3 Years · Dynamic Formulas</t>
  </si>
  <si>
    <t>Comparison of 3 scenarios · Assumptions / Unit Economics / Valuation / Operations · Independent</t>
  </si>
  <si>
    <t>INDICATOR</t>
  </si>
  <si>
    <t>Conservative</t>
  </si>
  <si>
    <t>Base (default)</t>
  </si>
  <si>
    <t>Optimistic</t>
  </si>
  <si>
    <t>UNIT</t>
  </si>
  <si>
    <t>DIFFERENTIATING ASSUMPTIONS BY SCENARIO</t>
  </si>
  <si>
    <t>Full-loaded CAC</t>
  </si>
  <si>
    <t>R$/subscriber</t>
  </si>
  <si>
    <t>Monthly Churn Essencial</t>
  </si>
  <si>
    <t>%/month</t>
  </si>
  <si>
    <t>Implied annual churn</t>
  </si>
  <si>
    <t>%/year</t>
  </si>
  <si>
    <t>Valuation multiple M24</t>
  </si>
  <si>
    <t>× ARR (SaaS LATAM)</t>
  </si>
  <si>
    <t>Free: % active users</t>
  </si>
  <si>
    <t>% of sign-ups</t>
  </si>
  <si>
    <t>Conversion Free→Essencial</t>
  </si>
  <si>
    <t>% Free base</t>
  </si>
  <si>
    <t>UNIT ECONOMICS (calculated from assumptions)</t>
  </si>
  <si>
    <t>API Cost Essencial/month</t>
  </si>
  <si>
    <t>R$/subscriber/month</t>
  </si>
  <si>
    <t>Unit Margin Essencial/month</t>
  </si>
  <si>
    <t>R$/month</t>
  </si>
  <si>
    <t>Avg. lifetime (months)</t>
  </si>
  <si>
    <t>1 ÷ churn</t>
  </si>
  <si>
    <t>LTV Essencial</t>
  </si>
  <si>
    <t>R$ lifetime value</t>
  </si>
  <si>
    <t>LTV / CAC</t>
  </si>
  <si>
    <t>≥3× ok · ≥8× top quartile</t>
  </si>
  <si>
    <t>CAC Payback (months)</t>
  </si>
  <si>
    <t>months</t>
  </si>
  <si>
    <t>VALUATION · MONTH 24 (Cumul. Revenue × multiple)</t>
  </si>
  <si>
    <t>Cumulative Revenue 24m (Z12)</t>
  </si>
  <si>
    <t>R$ cumulative 24m</t>
  </si>
  <si>
    <t>Applied multiple</t>
  </si>
  <si>
    <t>× Cumul. revenue</t>
  </si>
  <si>
    <t>SUGGESTED VALUATION M24</t>
  </si>
  <si>
    <t>R$</t>
  </si>
  <si>
    <t>Angel equity (% Assumptions)</t>
  </si>
  <si>
    <t>Return on investment (×)</t>
  </si>
  <si>
    <t>× on investment</t>
  </si>
  <si>
    <t>YEAR 1 · Results</t>
  </si>
  <si>
    <t>MRR December M12</t>
  </si>
  <si>
    <t>ARR Year 1 (MRR×12)</t>
  </si>
  <si>
    <t>R$/year</t>
  </si>
  <si>
    <t>Net Result for the Year</t>
  </si>
  <si>
    <t>Paying M12</t>
  </si>
  <si>
    <t>subscribers</t>
  </si>
  <si>
    <t>YEAR 2 · Results</t>
  </si>
  <si>
    <t>MRR December M24</t>
  </si>
  <si>
    <t>ARR Year 2 (MRR×12)</t>
  </si>
  <si>
    <t>Paying M24</t>
  </si>
  <si>
    <t>assinantes</t>
  </si>
  <si>
    <t>SUMMARY</t>
  </si>
  <si>
    <t>NPV (Net Present Value)</t>
  </si>
  <si>
    <t>R$ · taxa B66 mensal</t>
  </si>
  <si>
    <t>IRR (annualized)</t>
  </si>
  <si>
    <t>% a.a.</t>
  </si>
  <si>
    <t>✅ All indicators above are independently calculated per scenario. Simulation helpers hidden in rows 50–89.</t>
  </si>
  <si>
    <t>── HELPERS · 3 SCENARIOS · 24 MONTHS (hidden) ──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</si>
  <si>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</si>
  <si>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</si>
  <si>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</si>
  <si>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</si>
  <si>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</si>
  <si>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</si>
  <si>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</si>
  <si>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</si>
  <si>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</si>
  <si>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</si>
  <si>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</si>
  <si>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</si>
  <si>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</si>
  <si>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</si>
  <si>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</si>
  <si>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</si>
  <si>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</si>
  <si>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</si>
  <si>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</si>
  <si>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</si>
  <si>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</si>
  <si>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</si>
  <si>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</si>
  <si>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</si>
  <si>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CONSERVATIVE</t>
  </si>
  <si>
    <t>Free Sign-ups</t>
  </si>
  <si>
    <t>Essencial</t>
  </si>
  <si>
    <t>Autônoma</t>
  </si>
  <si>
    <t>Livre</t>
  </si>
  <si>
    <t>Total Paying</t>
  </si>
  <si>
    <t>MRR</t>
  </si>
  <si>
    <t>Total API</t>
  </si>
  <si>
    <t>Fixed Cost</t>
  </si>
  <si>
    <t>Taxes</t>
  </si>
  <si>
    <t>Monthly Result</t>
  </si>
  <si>
    <t>BASE</t>
  </si>
  <si>
    <t>OPTIMISTIC</t>
  </si>
  <si>
    <t>Cons CF (IRR helper)</t>
  </si>
  <si>
    <t>Base CF (IRR helper)</t>
  </si>
  <si>
    <t>Optim CF (IRR 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</si>
</sst>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&quot;#,##0"/>
    <numFmt numFmtId="165" formatCode="0.0%"/>
    <numFmt numFmtId="166" formatCode="0\×"/>
    <numFmt numFmtId="167" formatCode="&quot;R$&quot;#,##0.00"/>
    <numFmt numFmtId="168" formatCode="#,##0.0\m"/>
    <numFmt numFmtId="169" formatCode="0.0\×"/>
    <numFmt numFmtId="170" formatCode="0.0\m"/>
    <numFmt numFmtId="171" formatCode="&quot;R$&quot;\ #,##0"/>
  </numFmts>
  <fonts count="17" x14ac:knownFonts="1">
    <font>
      <sz val="12"/>
      <color theme="1"/>
      <name val="Aptos Narrow"/>
      <family val="2"/>
      <scheme val="minor"/>
    </font>
    <font>
      <b/>
      <sz val="13"/>
      <color rgb="FFE5B3BB"/>
      <name val="Calibri"/>
      <family val="2"/>
    </font>
    <font>
      <sz val="11"/>
      <color theme="1"/>
      <name val="Calibri"/>
      <family val="2"/>
    </font>
    <font>
      <i/>
      <sz val="9"/>
      <color rgb="FF654200"/>
      <name val="Calibri"/>
      <family val="2"/>
    </font>
    <font>
      <b/>
      <sz val="10"/>
      <color rgb="FFC08497"/>
      <name val="Calibri"/>
      <family val="2"/>
    </font>
    <font>
      <b/>
      <sz val="10"/>
      <color rgb="FF3D2A33"/>
      <name val="Calibri"/>
      <family val="2"/>
    </font>
    <font>
      <b/>
      <sz val="10"/>
      <color rgb="FFE5B3BB"/>
      <name val="Calibri"/>
      <family val="2"/>
    </font>
    <font>
      <sz val="10"/>
      <color rgb="FF000000"/>
      <name val="Calibri"/>
      <family val="2"/>
    </font>
    <font>
      <sz val="10"/>
      <color rgb="FFB8401A"/>
      <name val="Calibri"/>
      <family val="2"/>
    </font>
    <font>
      <b/>
      <sz val="10"/>
      <color rgb="FF7D4E5E"/>
      <name val="Calibri"/>
      <family val="2"/>
    </font>
    <font>
      <sz val="10"/>
      <color rgb="FF6E4B00"/>
      <name val="Calibri"/>
      <family val="2"/>
    </font>
    <font>
      <i/>
      <sz val="9"/>
      <color rgb="FF505050"/>
      <name val="Calibri"/>
      <family val="2"/>
    </font>
    <font>
      <sz val="11"/>
      <color rgb="FFC08497"/>
      <name val="Calibri"/>
      <family val="2"/>
    </font>
    <font>
      <b/>
      <sz val="10"/>
      <color rgb="FFB8401A"/>
      <name val="Calibri"/>
      <family val="2"/>
    </font>
    <font>
      <b/>
      <sz val="10"/>
      <color rgb="FF6E4B00"/>
      <name val="Calibri"/>
      <family val="2"/>
    </font>
    <font>
      <i/>
      <sz val="9"/>
      <color rgb="FF7D4E5E"/>
      <name val="Calibri"/>
      <family val="2"/>
    </font>
    <font>
      <b/>
      <i/>
      <sz val="9"/>
      <color rgb="FF7D4E5E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D2A33"/>
        <bgColor indexed="64"/>
      </patternFill>
    </fill>
    <fill>
      <patternFill patternType="solid">
        <fgColor theme="0" tint="-0.14999847407452621"/>
        <bgColor rgb="FFF5EAE5"/>
      </patternFill>
    </fill>
    <fill>
      <patternFill patternType="solid">
        <fgColor theme="2" tint="-0.89999084444715716"/>
        <bgColor rgb="FFF5EAE5"/>
      </patternFill>
    </fill>
    <fill>
      <patternFill patternType="solid">
        <fgColor rgb="FFF5EAE6"/>
        <bgColor rgb="FFF5F0E0"/>
      </patternFill>
    </fill>
    <fill>
      <patternFill patternType="solid">
        <fgColor rgb="FFF7EDF0"/>
        <bgColor indexed="64"/>
      </patternFill>
    </fill>
    <fill>
      <patternFill patternType="solid">
        <fgColor rgb="FFF5EAE6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rgb="FFC08497"/>
      </left>
      <right/>
      <top style="medium">
        <color rgb="FFC08497"/>
      </top>
      <bottom/>
      <diagonal/>
    </border>
    <border>
      <left/>
      <right/>
      <top style="medium">
        <color rgb="FFC08497"/>
      </top>
      <bottom/>
      <diagonal/>
    </border>
    <border>
      <left/>
      <right style="medium">
        <color rgb="FF92D050"/>
      </right>
      <top style="medium">
        <color rgb="FFC08497"/>
      </top>
      <bottom/>
      <diagonal/>
    </border>
    <border>
      <left style="medium">
        <color rgb="FFC08497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C08497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 style="medium">
        <color rgb="FFC08497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medium">
        <color rgb="FF92D050"/>
      </right>
      <top style="thin">
        <color rgb="FFDDDDDD"/>
      </top>
      <bottom/>
      <diagonal/>
    </border>
    <border>
      <left style="medium">
        <color rgb="FFC08497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0" xfId="0" applyFont="1"/>
    <xf numFmtId="0" fontId="4" fillId="4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64" fontId="8" fillId="7" borderId="7" xfId="0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165" fontId="8" fillId="7" borderId="7" xfId="0" applyNumberFormat="1" applyFont="1" applyFill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center" vertical="center"/>
    </xf>
    <xf numFmtId="165" fontId="10" fillId="6" borderId="7" xfId="0" applyNumberFormat="1" applyFont="1" applyFill="1" applyBorder="1" applyAlignment="1">
      <alignment horizontal="center" vertical="center"/>
    </xf>
    <xf numFmtId="0" fontId="12" fillId="0" borderId="0" xfId="0" applyFont="1"/>
    <xf numFmtId="166" fontId="8" fillId="7" borderId="7" xfId="0" applyNumberFormat="1" applyFont="1" applyFill="1" applyBorder="1" applyAlignment="1">
      <alignment horizontal="center" vertical="center"/>
    </xf>
    <xf numFmtId="166" fontId="9" fillId="6" borderId="7" xfId="0" applyNumberFormat="1" applyFont="1" applyFill="1" applyBorder="1" applyAlignment="1">
      <alignment horizontal="center" vertical="center"/>
    </xf>
    <xf numFmtId="166" fontId="10" fillId="6" borderId="7" xfId="0" applyNumberFormat="1" applyFont="1" applyFill="1" applyBorder="1" applyAlignment="1">
      <alignment horizontal="center" vertical="center"/>
    </xf>
    <xf numFmtId="167" fontId="8" fillId="7" borderId="7" xfId="0" applyNumberFormat="1" applyFont="1" applyFill="1" applyBorder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167" fontId="10" fillId="6" borderId="7" xfId="0" applyNumberFormat="1" applyFont="1" applyFill="1" applyBorder="1" applyAlignment="1">
      <alignment horizontal="center" vertical="center"/>
    </xf>
    <xf numFmtId="168" fontId="8" fillId="7" borderId="7" xfId="0" applyNumberFormat="1" applyFont="1" applyFill="1" applyBorder="1" applyAlignment="1">
      <alignment horizontal="center" vertical="center"/>
    </xf>
    <xf numFmtId="168" fontId="9" fillId="6" borderId="7" xfId="0" applyNumberFormat="1" applyFont="1" applyFill="1" applyBorder="1" applyAlignment="1">
      <alignment horizontal="center" vertical="center"/>
    </xf>
    <xf numFmtId="168" fontId="10" fillId="6" borderId="7" xfId="0" applyNumberFormat="1" applyFont="1" applyFill="1" applyBorder="1" applyAlignment="1">
      <alignment horizontal="center" vertical="center"/>
    </xf>
    <xf numFmtId="169" fontId="8" fillId="7" borderId="7" xfId="0" applyNumberFormat="1" applyFont="1" applyFill="1" applyBorder="1" applyAlignment="1">
      <alignment horizontal="center" vertical="center"/>
    </xf>
    <xf numFmtId="169" fontId="9" fillId="6" borderId="7" xfId="0" applyNumberFormat="1" applyFont="1" applyFill="1" applyBorder="1" applyAlignment="1">
      <alignment horizontal="center" vertical="center"/>
    </xf>
    <xf numFmtId="169" fontId="10" fillId="6" borderId="7" xfId="0" applyNumberFormat="1" applyFont="1" applyFill="1" applyBorder="1" applyAlignment="1">
      <alignment horizontal="center" vertical="center"/>
    </xf>
    <xf numFmtId="170" fontId="8" fillId="7" borderId="7" xfId="0" applyNumberFormat="1" applyFont="1" applyFill="1" applyBorder="1" applyAlignment="1">
      <alignment horizontal="center" vertical="center"/>
    </xf>
    <xf numFmtId="170" fontId="9" fillId="6" borderId="7" xfId="0" applyNumberFormat="1" applyFont="1" applyFill="1" applyBorder="1" applyAlignment="1">
      <alignment horizontal="center" vertical="center"/>
    </xf>
    <xf numFmtId="170" fontId="10" fillId="6" borderId="7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169" fontId="13" fillId="7" borderId="7" xfId="0" applyNumberFormat="1" applyFont="1" applyFill="1" applyBorder="1" applyAlignment="1">
      <alignment horizontal="center" vertical="center"/>
    </xf>
    <xf numFmtId="169" fontId="14" fillId="6" borderId="7" xfId="0" applyNumberFormat="1" applyFont="1" applyFill="1" applyBorder="1" applyAlignment="1">
      <alignment horizontal="center" vertical="center"/>
    </xf>
    <xf numFmtId="171" fontId="8" fillId="7" borderId="7" xfId="0" applyNumberFormat="1" applyFont="1" applyFill="1" applyBorder="1" applyAlignment="1">
      <alignment horizontal="center" vertical="center"/>
    </xf>
    <xf numFmtId="171" fontId="9" fillId="6" borderId="7" xfId="0" applyNumberFormat="1" applyFont="1" applyFill="1" applyBorder="1" applyAlignment="1">
      <alignment horizontal="center" vertical="center"/>
    </xf>
    <xf numFmtId="171" fontId="10" fillId="6" borderId="7" xfId="0" applyNumberFormat="1" applyFont="1" applyFill="1" applyBorder="1" applyAlignment="1">
      <alignment horizontal="center" vertical="center"/>
    </xf>
    <xf numFmtId="3" fontId="8" fillId="7" borderId="7" xfId="0" applyNumberFormat="1" applyFont="1" applyFill="1" applyBorder="1" applyAlignment="1">
      <alignment horizontal="center" vertical="center"/>
    </xf>
    <xf numFmtId="3" fontId="9" fillId="6" borderId="7" xfId="0" applyNumberFormat="1" applyFont="1" applyFill="1" applyBorder="1" applyAlignment="1">
      <alignment horizontal="center" vertical="center"/>
    </xf>
    <xf numFmtId="3" fontId="10" fillId="6" borderId="7" xfId="0" applyNumberFormat="1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2" fillId="0" borderId="4" xfId="0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du%201/AUTONOMA/autonoma_investidor/autonoma/public/media/BPAUTONOMA_EN.xlsx" TargetMode="External"/><Relationship Id="rId1" Type="http://schemas.openxmlformats.org/officeDocument/2006/relationships/externalLinkPath" Target="public/media/BPAUTONOMA_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🚀 Investor Dashboard"/>
      <sheetName val="📋 Executive Summary"/>
      <sheetName val="🌎 Market &amp; GTM"/>
      <sheetName val="💎 Angel Summary"/>
      <sheetName val="📈 Annual P&amp;L"/>
      <sheetName val="💰 Cash &amp; Runway"/>
      <sheetName val="⚠️ Risks &amp; Roadmap"/>
      <sheetName val="🔧 Active Scenario"/>
      <sheetName val="🎛️ Assumptions"/>
      <sheetName val="📊 Monthly Base"/>
      <sheetName val="📊 Scenario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B5">
            <v>39.9</v>
          </cell>
          <cell r="C5">
            <v>39.9</v>
          </cell>
          <cell r="D5">
            <v>39.9</v>
          </cell>
        </row>
        <row r="6">
          <cell r="B6">
            <v>59.9</v>
          </cell>
          <cell r="C6">
            <v>59.9</v>
          </cell>
          <cell r="D6">
            <v>62.9</v>
          </cell>
        </row>
        <row r="7">
          <cell r="B7">
            <v>79.900000000000006</v>
          </cell>
          <cell r="C7">
            <v>79.900000000000006</v>
          </cell>
          <cell r="D7">
            <v>79.900000000000006</v>
          </cell>
        </row>
        <row r="8">
          <cell r="B8">
            <v>10</v>
          </cell>
          <cell r="C8">
            <v>10</v>
          </cell>
          <cell r="D8">
            <v>10</v>
          </cell>
        </row>
        <row r="10">
          <cell r="B10">
            <v>5.3</v>
          </cell>
          <cell r="C10">
            <v>5.3</v>
          </cell>
          <cell r="D10">
            <v>5.3</v>
          </cell>
        </row>
        <row r="13">
          <cell r="B13">
            <v>3</v>
          </cell>
          <cell r="C13">
            <v>3</v>
          </cell>
          <cell r="D13">
            <v>3</v>
          </cell>
        </row>
        <row r="14">
          <cell r="B14">
            <v>15</v>
          </cell>
          <cell r="C14">
            <v>15</v>
          </cell>
          <cell r="D14">
            <v>15</v>
          </cell>
        </row>
        <row r="15">
          <cell r="B15">
            <v>0.35</v>
          </cell>
          <cell r="C15">
            <v>0.4</v>
          </cell>
          <cell r="D15">
            <v>0.45</v>
          </cell>
        </row>
        <row r="17">
          <cell r="B17">
            <v>50</v>
          </cell>
          <cell r="C17">
            <v>50</v>
          </cell>
          <cell r="D17">
            <v>50</v>
          </cell>
        </row>
        <row r="18">
          <cell r="B18">
            <v>900</v>
          </cell>
          <cell r="C18">
            <v>900</v>
          </cell>
          <cell r="D18">
            <v>900</v>
          </cell>
        </row>
        <row r="19">
          <cell r="B19">
            <v>450</v>
          </cell>
          <cell r="C19">
            <v>450</v>
          </cell>
          <cell r="D19">
            <v>450</v>
          </cell>
        </row>
        <row r="20">
          <cell r="B20">
            <v>0.5</v>
          </cell>
          <cell r="C20">
            <v>0.5</v>
          </cell>
          <cell r="D20">
            <v>0.5</v>
          </cell>
        </row>
        <row r="21">
          <cell r="B21">
            <v>120</v>
          </cell>
          <cell r="C21">
            <v>140</v>
          </cell>
          <cell r="D21">
            <v>180</v>
          </cell>
        </row>
        <row r="22">
          <cell r="B22">
            <v>1200</v>
          </cell>
          <cell r="C22">
            <v>1400</v>
          </cell>
          <cell r="D22">
            <v>1800</v>
          </cell>
        </row>
        <row r="23">
          <cell r="B23">
            <v>700</v>
          </cell>
          <cell r="C23">
            <v>700</v>
          </cell>
          <cell r="D23">
            <v>700</v>
          </cell>
        </row>
        <row r="24">
          <cell r="B24">
            <v>140</v>
          </cell>
          <cell r="C24">
            <v>140</v>
          </cell>
          <cell r="D24">
            <v>140</v>
          </cell>
        </row>
        <row r="25">
          <cell r="B25">
            <v>35</v>
          </cell>
          <cell r="C25">
            <v>45</v>
          </cell>
          <cell r="D25">
            <v>60</v>
          </cell>
        </row>
        <row r="26">
          <cell r="B26">
            <v>3000</v>
          </cell>
          <cell r="C26">
            <v>3000</v>
          </cell>
          <cell r="D26">
            <v>3000</v>
          </cell>
        </row>
        <row r="27">
          <cell r="B27">
            <v>1800</v>
          </cell>
          <cell r="C27">
            <v>1800</v>
          </cell>
          <cell r="D27">
            <v>1800</v>
          </cell>
        </row>
        <row r="28">
          <cell r="B28">
            <v>140</v>
          </cell>
          <cell r="C28">
            <v>140</v>
          </cell>
          <cell r="D28">
            <v>140</v>
          </cell>
        </row>
        <row r="29">
          <cell r="B29">
            <v>60</v>
          </cell>
          <cell r="C29">
            <v>80</v>
          </cell>
          <cell r="D29">
            <v>100</v>
          </cell>
        </row>
        <row r="31">
          <cell r="B31">
            <v>3000</v>
          </cell>
          <cell r="C31">
            <v>3500</v>
          </cell>
          <cell r="D31">
            <v>4000</v>
          </cell>
        </row>
        <row r="32">
          <cell r="B32">
            <v>3500</v>
          </cell>
          <cell r="C32">
            <v>4000</v>
          </cell>
          <cell r="D32">
            <v>4500</v>
          </cell>
        </row>
        <row r="33">
          <cell r="B33">
            <v>0.1</v>
          </cell>
          <cell r="C33">
            <v>0.15</v>
          </cell>
          <cell r="D33">
            <v>0.2</v>
          </cell>
        </row>
        <row r="34">
          <cell r="B34">
            <v>7.0000000000000007E-2</v>
          </cell>
          <cell r="C34">
            <v>7.0000000000000007E-2</v>
          </cell>
          <cell r="D34">
            <v>7.0000000000000007E-2</v>
          </cell>
        </row>
        <row r="35">
          <cell r="B35">
            <v>0.02</v>
          </cell>
          <cell r="C35">
            <v>0.03</v>
          </cell>
          <cell r="D35">
            <v>0.03</v>
          </cell>
        </row>
        <row r="36">
          <cell r="B36">
            <v>0.08</v>
          </cell>
          <cell r="C36">
            <v>7.0000000000000007E-2</v>
          </cell>
          <cell r="D36">
            <v>0.05</v>
          </cell>
        </row>
        <row r="37">
          <cell r="B37">
            <v>0.05</v>
          </cell>
          <cell r="C37">
            <v>0.05</v>
          </cell>
          <cell r="D37">
            <v>0.06</v>
          </cell>
        </row>
        <row r="38">
          <cell r="B38">
            <v>0.03</v>
          </cell>
          <cell r="C38">
            <v>0.03</v>
          </cell>
          <cell r="D38">
            <v>0.02</v>
          </cell>
        </row>
        <row r="40">
          <cell r="B40">
            <v>40000</v>
          </cell>
          <cell r="C40">
            <v>45000</v>
          </cell>
          <cell r="D40">
            <v>50000</v>
          </cell>
        </row>
        <row r="41">
          <cell r="B41">
            <v>50000</v>
          </cell>
          <cell r="C41">
            <v>60000</v>
          </cell>
          <cell r="D41">
            <v>70000</v>
          </cell>
        </row>
        <row r="42">
          <cell r="B42">
            <v>5000</v>
          </cell>
          <cell r="C42">
            <v>6000</v>
          </cell>
          <cell r="D42">
            <v>8000</v>
          </cell>
        </row>
        <row r="43">
          <cell r="B43">
            <v>7000</v>
          </cell>
          <cell r="C43">
            <v>8000</v>
          </cell>
          <cell r="D43">
            <v>10000</v>
          </cell>
        </row>
        <row r="44">
          <cell r="B44">
            <v>5000</v>
          </cell>
          <cell r="C44">
            <v>6000</v>
          </cell>
          <cell r="D44">
            <v>8000</v>
          </cell>
        </row>
        <row r="45">
          <cell r="B45">
            <v>8000</v>
          </cell>
          <cell r="C45">
            <v>10000</v>
          </cell>
          <cell r="D45">
            <v>15000</v>
          </cell>
        </row>
        <row r="46">
          <cell r="B46">
            <v>5000</v>
          </cell>
          <cell r="C46">
            <v>6000</v>
          </cell>
          <cell r="D46">
            <v>8000</v>
          </cell>
        </row>
        <row r="48">
          <cell r="B48">
            <v>80</v>
          </cell>
          <cell r="C48">
            <v>60</v>
          </cell>
          <cell r="D48">
            <v>60</v>
          </cell>
        </row>
        <row r="52">
          <cell r="B52">
            <v>3</v>
          </cell>
          <cell r="C52">
            <v>5</v>
          </cell>
          <cell r="D52">
            <v>7</v>
          </cell>
        </row>
        <row r="58">
          <cell r="B58">
            <v>1000000</v>
          </cell>
        </row>
        <row r="59">
          <cell r="B59">
            <v>0.15</v>
          </cell>
        </row>
        <row r="64">
          <cell r="B64">
            <v>2000</v>
          </cell>
        </row>
        <row r="69">
          <cell r="B69">
            <v>1.7999999999999999E-2</v>
          </cell>
        </row>
        <row r="70">
          <cell r="B70">
            <v>0.13</v>
          </cell>
          <cell r="C70">
            <v>0.13</v>
          </cell>
          <cell r="D70">
            <v>0.15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07C8-2BE9-D146-B01A-0C490EFE98F6}">
  <dimension ref="A1:Z89"/>
  <sheetViews>
    <sheetView tabSelected="1" workbookViewId="0">
      <selection activeCell="K13" sqref="K13"/>
    </sheetView>
  </sheetViews>
  <sheetFormatPr baseColWidth="10" defaultColWidth="8.6640625" defaultRowHeight="16" outlineLevelRow="2" x14ac:dyDescent="0.2"/>
  <cols>
    <col min="1" max="1" width="32.6640625" customWidth="1"/>
    <col min="2" max="2" width="15" customWidth="1"/>
    <col min="3" max="3" width="17.83203125" customWidth="1"/>
    <col min="4" max="4" width="17.1640625" customWidth="1"/>
    <col min="5" max="5" width="19.83203125" customWidth="1"/>
  </cols>
  <sheetData>
    <row r="1" spans="1:26" ht="39.75" customHeight="1" x14ac:dyDescent="0.2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5" t="s">
        <v>1</v>
      </c>
      <c r="B2" s="6"/>
      <c r="C2" s="6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5.5" customHeight="1" x14ac:dyDescent="0.2">
      <c r="A3" s="9" t="s">
        <v>2</v>
      </c>
      <c r="B3" s="10" t="s">
        <v>3</v>
      </c>
      <c r="C3" s="11" t="s">
        <v>4</v>
      </c>
      <c r="D3" s="11" t="s">
        <v>5</v>
      </c>
      <c r="E3" s="12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4" customHeight="1" x14ac:dyDescent="0.2">
      <c r="A4" s="13" t="s">
        <v>7</v>
      </c>
      <c r="B4" s="14"/>
      <c r="C4" s="14"/>
      <c r="D4" s="14"/>
      <c r="E4" s="15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1.75" customHeight="1" x14ac:dyDescent="0.2">
      <c r="A5" s="16" t="s">
        <v>8</v>
      </c>
      <c r="B5" s="17">
        <f>'[1]🎛️ Assumptions'!B48</f>
        <v>80</v>
      </c>
      <c r="C5" s="18">
        <f>'[1]🎛️ Assumptions'!C48</f>
        <v>60</v>
      </c>
      <c r="D5" s="19">
        <f>'[1]🎛️ Assumptions'!D48</f>
        <v>60</v>
      </c>
      <c r="E5" s="20" t="s">
        <v>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.75" customHeight="1" x14ac:dyDescent="0.2">
      <c r="A6" s="16" t="s">
        <v>10</v>
      </c>
      <c r="B6" s="21">
        <f>'[1]🎛️ Assumptions'!B36</f>
        <v>0.08</v>
      </c>
      <c r="C6" s="22">
        <f>'[1]🎛️ Assumptions'!C36</f>
        <v>7.0000000000000007E-2</v>
      </c>
      <c r="D6" s="23">
        <f>'[1]🎛️ Assumptions'!D36</f>
        <v>0.05</v>
      </c>
      <c r="E6" s="20" t="s">
        <v>11</v>
      </c>
      <c r="F6" s="8"/>
      <c r="G6" s="8"/>
      <c r="H6" s="2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1.75" customHeight="1" x14ac:dyDescent="0.2">
      <c r="A7" s="16" t="s">
        <v>12</v>
      </c>
      <c r="B7" s="21">
        <f>1-(1-'[1]🎛️ Assumptions'!B36)^12</f>
        <v>0.63233361234511754</v>
      </c>
      <c r="C7" s="22">
        <f>1-(1-'[1]🎛️ Assumptions'!C36)^12</f>
        <v>0.58140370252062967</v>
      </c>
      <c r="D7" s="23">
        <f>1-(1-'[1]🎛️ Assumptions'!D36)^12</f>
        <v>0.45963991233736312</v>
      </c>
      <c r="E7" s="20" t="s">
        <v>13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1.75" customHeight="1" x14ac:dyDescent="0.2">
      <c r="A8" s="16" t="s">
        <v>14</v>
      </c>
      <c r="B8" s="25">
        <f>'[1]🎛️ Assumptions'!B52</f>
        <v>3</v>
      </c>
      <c r="C8" s="26">
        <f>'[1]🎛️ Assumptions'!C52</f>
        <v>5</v>
      </c>
      <c r="D8" s="27">
        <f>'[1]🎛️ Assumptions'!D52</f>
        <v>7</v>
      </c>
      <c r="E8" s="20" t="s">
        <v>15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1.75" customHeight="1" x14ac:dyDescent="0.2">
      <c r="A9" s="16" t="s">
        <v>16</v>
      </c>
      <c r="B9" s="21">
        <f>'[1]🎛️ Assumptions'!B20</f>
        <v>0.5</v>
      </c>
      <c r="C9" s="22">
        <f>'[1]🎛️ Assumptions'!C20</f>
        <v>0.5</v>
      </c>
      <c r="D9" s="23">
        <f>'[1]🎛️ Assumptions'!D20</f>
        <v>0.5</v>
      </c>
      <c r="E9" s="20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1.75" customHeight="1" x14ac:dyDescent="0.2">
      <c r="A10" s="16" t="s">
        <v>18</v>
      </c>
      <c r="B10" s="21">
        <f>'[1]🎛️ Assumptions'!B33</f>
        <v>0.1</v>
      </c>
      <c r="C10" s="22">
        <f>'[1]🎛️ Assumptions'!C33</f>
        <v>0.15</v>
      </c>
      <c r="D10" s="23">
        <f>'[1]🎛️ Assumptions'!D33</f>
        <v>0.2</v>
      </c>
      <c r="E10" s="20" t="s">
        <v>19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4" customHeight="1" x14ac:dyDescent="0.2">
      <c r="A11" s="13" t="s">
        <v>20</v>
      </c>
      <c r="B11" s="14"/>
      <c r="C11" s="14"/>
      <c r="D11" s="14"/>
      <c r="E11" s="15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1.75" customHeight="1" x14ac:dyDescent="0.2">
      <c r="A12" s="16" t="s">
        <v>21</v>
      </c>
      <c r="B12" s="28">
        <f>('[1]🎛️ Assumptions'!B21*('[1]🎛️ Assumptions'!B22/1000000*'[1]🎛️ Assumptions'!B13+'[1]🎛️ Assumptions'!B23/1000000*'[1]🎛️ Assumptions'!B14)*(1-'[1]🎛️ Assumptions'!B15)*'[1]🎛️ Assumptions'!B10)</f>
        <v>5.8289400000000002</v>
      </c>
      <c r="C12" s="29">
        <f>('[1]🎛️ Assumptions'!C21*('[1]🎛️ Assumptions'!C22/1000000*'[1]🎛️ Assumptions'!C13+'[1]🎛️ Assumptions'!C23/1000000*'[1]🎛️ Assumptions'!C14)*(1-'[1]🎛️ Assumptions'!C15)*'[1]🎛️ Assumptions'!C10)</f>
        <v>6.5444400000000007</v>
      </c>
      <c r="D12" s="30">
        <f>('[1]🎛️ Assumptions'!D21*('[1]🎛️ Assumptions'!D22/1000000*'[1]🎛️ Assumptions'!D13+'[1]🎛️ Assumptions'!D23/1000000*'[1]🎛️ Assumptions'!D14)*(1-'[1]🎛️ Assumptions'!D15)*'[1]🎛️ Assumptions'!D10)</f>
        <v>8.3427300000000013</v>
      </c>
      <c r="E12" s="20" t="s">
        <v>22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1.75" customHeight="1" x14ac:dyDescent="0.2">
      <c r="A13" s="16" t="s">
        <v>23</v>
      </c>
      <c r="B13" s="28">
        <f>('[1]🎛️ Assumptions'!B5+'[1]🎛️ Assumptions'!B8-('[1]🎛️ Assumptions'!B21*('[1]🎛️ Assumptions'!B22/1000000*'[1]🎛️ Assumptions'!B13+'[1]🎛️ Assumptions'!B23/1000000*'[1]🎛️ Assumptions'!B14)*(1-'[1]🎛️ Assumptions'!B15)*'[1]🎛️ Assumptions'!B10))</f>
        <v>44.071059999999996</v>
      </c>
      <c r="C13" s="29">
        <f>('[1]🎛️ Assumptions'!C5+'[1]🎛️ Assumptions'!C8-('[1]🎛️ Assumptions'!C21*('[1]🎛️ Assumptions'!C22/1000000*'[1]🎛️ Assumptions'!C13+'[1]🎛️ Assumptions'!C23/1000000*'[1]🎛️ Assumptions'!C14)*(1-'[1]🎛️ Assumptions'!C15)*'[1]🎛️ Assumptions'!C10))</f>
        <v>43.355559999999997</v>
      </c>
      <c r="D13" s="30">
        <f>('[1]🎛️ Assumptions'!D5+'[1]🎛️ Assumptions'!D8-('[1]🎛️ Assumptions'!D21*('[1]🎛️ Assumptions'!D22/1000000*'[1]🎛️ Assumptions'!D13+'[1]🎛️ Assumptions'!D23/1000000*'[1]🎛️ Assumptions'!D14)*(1-'[1]🎛️ Assumptions'!D15)*'[1]🎛️ Assumptions'!D10))</f>
        <v>41.557269999999995</v>
      </c>
      <c r="E13" s="20" t="s">
        <v>24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1.75" customHeight="1" x14ac:dyDescent="0.2">
      <c r="A14" s="16" t="s">
        <v>25</v>
      </c>
      <c r="B14" s="31">
        <f>1/'[1]🎛️ Assumptions'!B36</f>
        <v>12.5</v>
      </c>
      <c r="C14" s="32">
        <f>1/'[1]🎛️ Assumptions'!C36</f>
        <v>14.285714285714285</v>
      </c>
      <c r="D14" s="33">
        <f>1/'[1]🎛️ Assumptions'!D36</f>
        <v>20</v>
      </c>
      <c r="E14" s="20" t="s">
        <v>26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1.75" customHeight="1" x14ac:dyDescent="0.2">
      <c r="A15" s="16" t="s">
        <v>27</v>
      </c>
      <c r="B15" s="17">
        <f>B13*B14</f>
        <v>550.88824999999997</v>
      </c>
      <c r="C15" s="18">
        <f>C13*C14</f>
        <v>619.36514285714281</v>
      </c>
      <c r="D15" s="19">
        <f>D13*D14</f>
        <v>831.14539999999988</v>
      </c>
      <c r="E15" s="20" t="s">
        <v>28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1.75" customHeight="1" x14ac:dyDescent="0.2">
      <c r="A16" s="16" t="s">
        <v>29</v>
      </c>
      <c r="B16" s="34">
        <f>IFERROR(B15/B5,0)</f>
        <v>6.886103125</v>
      </c>
      <c r="C16" s="35">
        <f>IFERROR(C15/C5,0)</f>
        <v>10.32275238095238</v>
      </c>
      <c r="D16" s="36">
        <f>IFERROR(D15/D5,0)</f>
        <v>13.852423333333331</v>
      </c>
      <c r="E16" s="20" t="s">
        <v>30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1.75" customHeight="1" x14ac:dyDescent="0.2">
      <c r="A17" s="16" t="s">
        <v>31</v>
      </c>
      <c r="B17" s="37">
        <f>IFERROR(B5/B13,0)</f>
        <v>1.8152501891263793</v>
      </c>
      <c r="C17" s="38">
        <f>IFERROR(C5/C13,0)</f>
        <v>1.3839055475237778</v>
      </c>
      <c r="D17" s="39">
        <f>IFERROR(D5/D13,0)</f>
        <v>1.4437907013622406</v>
      </c>
      <c r="E17" s="20" t="s">
        <v>32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4" customHeight="1" x14ac:dyDescent="0.2">
      <c r="A18" s="13" t="s">
        <v>33</v>
      </c>
      <c r="B18" s="14"/>
      <c r="C18" s="14"/>
      <c r="D18" s="14"/>
      <c r="E18" s="15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1.75" customHeight="1" x14ac:dyDescent="0.2">
      <c r="A19" s="16" t="s">
        <v>34</v>
      </c>
      <c r="B19" s="17">
        <f>SUM(B56:Y56)</f>
        <v>6638262.1999999983</v>
      </c>
      <c r="C19" s="18">
        <f>SUM(B68:Y68)</f>
        <v>10164898.699999999</v>
      </c>
      <c r="D19" s="19">
        <f>SUM(B80:Y80)</f>
        <v>14454603.799999999</v>
      </c>
      <c r="E19" s="20" t="s">
        <v>35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1.75" customHeight="1" x14ac:dyDescent="0.2">
      <c r="A20" s="16" t="s">
        <v>36</v>
      </c>
      <c r="B20" s="25">
        <f>'[1]🎛️ Assumptions'!B52</f>
        <v>3</v>
      </c>
      <c r="C20" s="26">
        <f>'[1]🎛️ Assumptions'!C52</f>
        <v>5</v>
      </c>
      <c r="D20" s="27">
        <f>'[1]🎛️ Assumptions'!D52</f>
        <v>7</v>
      </c>
      <c r="E20" s="20" t="s">
        <v>37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1.75" customHeight="1" x14ac:dyDescent="0.2">
      <c r="A21" s="16" t="s">
        <v>38</v>
      </c>
      <c r="B21" s="40">
        <f>B19*B20</f>
        <v>19914786.599999994</v>
      </c>
      <c r="C21" s="18">
        <f>C19*C20</f>
        <v>50824493.5</v>
      </c>
      <c r="D21" s="41">
        <f>D19*D20</f>
        <v>101182226.59999999</v>
      </c>
      <c r="E21" s="20" t="s">
        <v>39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1.75" customHeight="1" x14ac:dyDescent="0.2">
      <c r="A22" s="16" t="s">
        <v>40</v>
      </c>
      <c r="B22" s="17">
        <f>B21*'[1]🎛️ Assumptions'!$B$59</f>
        <v>2987217.9899999988</v>
      </c>
      <c r="C22" s="18">
        <f>C21*'[1]🎛️ Assumptions'!$B$59</f>
        <v>7623674.0249999994</v>
      </c>
      <c r="D22" s="19">
        <f>D21*'[1]🎛️ Assumptions'!$B$59</f>
        <v>15177333.989999998</v>
      </c>
      <c r="E22" s="20" t="s">
        <v>39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1.75" customHeight="1" x14ac:dyDescent="0.2">
      <c r="A23" s="16" t="s">
        <v>41</v>
      </c>
      <c r="B23" s="42">
        <f>B22/'[1]🎛️ Assumptions'!$B$58</f>
        <v>2.9872179899999987</v>
      </c>
      <c r="C23" s="35">
        <f>C22/'[1]🎛️ Assumptions'!$B$58</f>
        <v>7.6236740249999997</v>
      </c>
      <c r="D23" s="43">
        <f>D22/'[1]🎛️ Assumptions'!$B$58</f>
        <v>15.177333989999997</v>
      </c>
      <c r="E23" s="20" t="s">
        <v>42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4" customHeight="1" x14ac:dyDescent="0.2">
      <c r="A24" s="13" t="s">
        <v>43</v>
      </c>
      <c r="B24" s="14"/>
      <c r="C24" s="14"/>
      <c r="D24" s="14"/>
      <c r="E24" s="15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1.75" customHeight="1" x14ac:dyDescent="0.2">
      <c r="A25" s="16" t="s">
        <v>44</v>
      </c>
      <c r="B25" s="44">
        <f>M56</f>
        <v>277318.09999999998</v>
      </c>
      <c r="C25" s="45">
        <f>M68</f>
        <v>426821</v>
      </c>
      <c r="D25" s="46">
        <f>M80</f>
        <v>604340.5</v>
      </c>
      <c r="E25" s="20" t="s">
        <v>24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1.75" customHeight="1" x14ac:dyDescent="0.2">
      <c r="A26" s="16" t="s">
        <v>45</v>
      </c>
      <c r="B26" s="44">
        <f>M56*12</f>
        <v>3327817.1999999997</v>
      </c>
      <c r="C26" s="45">
        <f>M68*12</f>
        <v>5121852</v>
      </c>
      <c r="D26" s="46">
        <f>M80*12</f>
        <v>7252086</v>
      </c>
      <c r="E26" s="20" t="s">
        <v>46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1.75" customHeight="1" x14ac:dyDescent="0.2">
      <c r="A27" s="16" t="s">
        <v>47</v>
      </c>
      <c r="B27" s="44">
        <f>SUM(B60:M60)</f>
        <v>733093.02548999991</v>
      </c>
      <c r="C27" s="45">
        <f>SUM(B72:M72)</f>
        <v>1335922.7344799999</v>
      </c>
      <c r="D27" s="46">
        <f>SUM(B84:M84)</f>
        <v>1847831.3485900001</v>
      </c>
      <c r="E27" s="20" t="s">
        <v>39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1.75" customHeight="1" x14ac:dyDescent="0.2">
      <c r="A28" s="16" t="s">
        <v>48</v>
      </c>
      <c r="B28" s="47">
        <f>M55</f>
        <v>4819</v>
      </c>
      <c r="C28" s="48">
        <f>M67</f>
        <v>7490</v>
      </c>
      <c r="D28" s="49">
        <f>M79</f>
        <v>10745</v>
      </c>
      <c r="E28" s="20" t="s">
        <v>49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4" customHeight="1" x14ac:dyDescent="0.2">
      <c r="A29" s="13" t="s">
        <v>50</v>
      </c>
      <c r="B29" s="14"/>
      <c r="C29" s="14"/>
      <c r="D29" s="14"/>
      <c r="E29" s="15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1.75" customHeight="1" x14ac:dyDescent="0.2">
      <c r="A30" s="16" t="s">
        <v>51</v>
      </c>
      <c r="B30" s="44">
        <f>Y56</f>
        <v>467197.3</v>
      </c>
      <c r="C30" s="45">
        <f>Y68</f>
        <v>718322.8</v>
      </c>
      <c r="D30" s="46">
        <f>Y80</f>
        <v>1043502.1</v>
      </c>
      <c r="E30" s="20" t="s">
        <v>24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1.75" customHeight="1" x14ac:dyDescent="0.2">
      <c r="A31" s="16" t="s">
        <v>52</v>
      </c>
      <c r="B31" s="44">
        <f>Y56*12</f>
        <v>5606367.5999999996</v>
      </c>
      <c r="C31" s="45">
        <f>Y68*12</f>
        <v>8619873.6000000015</v>
      </c>
      <c r="D31" s="46">
        <f>Y80*12</f>
        <v>12522025.199999999</v>
      </c>
      <c r="E31" s="20" t="s">
        <v>46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1.75" customHeight="1" x14ac:dyDescent="0.2">
      <c r="A32" s="16" t="s">
        <v>47</v>
      </c>
      <c r="B32" s="44">
        <f>SUM(N60:Y60)</f>
        <v>2505012.8933700002</v>
      </c>
      <c r="C32" s="45">
        <f>SUM(N72:Y72)</f>
        <v>4075255.6943999995</v>
      </c>
      <c r="D32" s="46">
        <f>SUM(N84:Y84)</f>
        <v>5658891.7812699992</v>
      </c>
      <c r="E32" s="20" t="s">
        <v>39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1.75" customHeight="1" x14ac:dyDescent="0.2">
      <c r="A33" s="16" t="s">
        <v>53</v>
      </c>
      <c r="B33" s="47">
        <f>Y55</f>
        <v>8027</v>
      </c>
      <c r="C33" s="48">
        <f>Y67</f>
        <v>12472</v>
      </c>
      <c r="D33" s="49">
        <f>Y79</f>
        <v>18439</v>
      </c>
      <c r="E33" s="20" t="s">
        <v>54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" customHeight="1" x14ac:dyDescent="0.2">
      <c r="A34" s="13" t="s">
        <v>55</v>
      </c>
      <c r="B34" s="14"/>
      <c r="C34" s="14"/>
      <c r="D34" s="14"/>
      <c r="E34" s="15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16" t="s">
        <v>56</v>
      </c>
      <c r="B35" s="44">
        <f>-'[1]🎛️ Assumptions'!$B$58+NPV('[1]🎛️ Assumptions'!$B$69,C86:Z86)</f>
        <v>1400830.805828108</v>
      </c>
      <c r="C35" s="45">
        <f>-'[1]🎛️ Assumptions'!$B$58+NPV('[1]🎛️ Assumptions'!$B$69,C87:Z87)</f>
        <v>3038852.6659950218</v>
      </c>
      <c r="D35" s="46">
        <f>-'[1]🎛️ Assumptions'!$B$58+NPV('[1]🎛️ Assumptions'!$B$69,C88:Z88)</f>
        <v>4602506.6810973352</v>
      </c>
      <c r="E35" s="20" t="s">
        <v>57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" customHeight="1" x14ac:dyDescent="0.2">
      <c r="A36" s="16" t="s">
        <v>58</v>
      </c>
      <c r="B36" s="21">
        <f>IFERROR((1+IRR(B86:Z86,'[1]🎛️ Assumptions'!$B$69))^12-1,"n/a")</f>
        <v>1.4017174264008934</v>
      </c>
      <c r="C36" s="22">
        <f>IFERROR((1+IRR(B87:Z87,'[1]🎛️ Assumptions'!$B$69))^12-1,"n/a")</f>
        <v>2.8438196497012895</v>
      </c>
      <c r="D36" s="23">
        <f>IFERROR((1+IRR(B88:Z88,'[1]🎛️ Assumptions'!$B$69))^12-1,"n/a")</f>
        <v>4.2078165166561057</v>
      </c>
      <c r="E36" s="20" t="s">
        <v>59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" customHeight="1" x14ac:dyDescent="0.2">
      <c r="A37" s="50" t="s">
        <v>60</v>
      </c>
      <c r="B37" s="51"/>
      <c r="C37" s="51"/>
      <c r="D37" s="51"/>
      <c r="E37" s="5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7" thickBot="1" x14ac:dyDescent="0.25">
      <c r="A38" s="53"/>
      <c r="B38" s="54"/>
      <c r="C38" s="54"/>
      <c r="D38" s="54"/>
      <c r="E38" s="55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5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5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5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5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5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5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5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5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5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5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idden="1" outlineLevel="2" x14ac:dyDescent="0.2">
      <c r="A49" s="56" t="s">
        <v>61</v>
      </c>
      <c r="B49" s="8" t="s">
        <v>62</v>
      </c>
      <c r="C49" s="8" t="s">
        <v>63</v>
      </c>
      <c r="D49" s="8" t="s">
        <v>64</v>
      </c>
      <c r="E49" s="8" t="s">
        <v>65</v>
      </c>
      <c r="F49" s="8" t="s">
        <v>66</v>
      </c>
      <c r="G49" s="8" t="s">
        <v>67</v>
      </c>
      <c r="H49" s="8" t="s">
        <v>68</v>
      </c>
      <c r="I49" s="8" t="s">
        <v>69</v>
      </c>
      <c r="J49" s="8" t="s">
        <v>70</v>
      </c>
      <c r="K49" s="8" t="s">
        <v>71</v>
      </c>
      <c r="L49" s="8" t="s">
        <v>72</v>
      </c>
      <c r="M49" s="8" t="s">
        <v>73</v>
      </c>
      <c r="N49" s="8" t="s">
        <v>74</v>
      </c>
      <c r="O49" s="8" t="s">
        <v>75</v>
      </c>
      <c r="P49" s="8" t="s">
        <v>76</v>
      </c>
      <c r="Q49" s="8" t="s">
        <v>77</v>
      </c>
      <c r="R49" s="8" t="s">
        <v>78</v>
      </c>
      <c r="S49" s="8" t="s">
        <v>79</v>
      </c>
      <c r="T49" s="8" t="s">
        <v>80</v>
      </c>
      <c r="U49" s="8" t="s">
        <v>81</v>
      </c>
      <c r="V49" s="8" t="s">
        <v>82</v>
      </c>
      <c r="W49" s="8" t="s">
        <v>83</v>
      </c>
      <c r="X49" s="8" t="s">
        <v>84</v>
      </c>
      <c r="Y49" s="8" t="s">
        <v>85</v>
      </c>
      <c r="Z49" s="8"/>
    </row>
    <row r="50" spans="1:26" hidden="1" outlineLevel="2" x14ac:dyDescent="0.2">
      <c r="A50" s="56" t="s">
        <v>86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idden="1" outlineLevel="2" x14ac:dyDescent="0.2">
      <c r="A51" s="56" t="s">
        <v>87</v>
      </c>
      <c r="B51" s="8">
        <f>'[1]🎛️ Assumptions'!$B$64</f>
        <v>2000</v>
      </c>
      <c r="C51" s="57">
        <f>'[1]🎛️ Assumptions'!$B$31</f>
        <v>3000</v>
      </c>
      <c r="D51" s="57">
        <f>'[1]🎛️ Assumptions'!$B$31</f>
        <v>3000</v>
      </c>
      <c r="E51" s="57">
        <f>'[1]🎛️ Assumptions'!$B$31</f>
        <v>3000</v>
      </c>
      <c r="F51" s="57">
        <f>'[1]🎛️ Assumptions'!$B$31</f>
        <v>3000</v>
      </c>
      <c r="G51" s="57">
        <f>'[1]🎛️ Assumptions'!$B$31</f>
        <v>3000</v>
      </c>
      <c r="H51" s="57">
        <f>'[1]🎛️ Assumptions'!$B$31</f>
        <v>3000</v>
      </c>
      <c r="I51" s="57">
        <f>'[1]🎛️ Assumptions'!$B$31</f>
        <v>3000</v>
      </c>
      <c r="J51" s="57">
        <f>'[1]🎛️ Assumptions'!$B$31</f>
        <v>3000</v>
      </c>
      <c r="K51" s="57">
        <f>'[1]🎛️ Assumptions'!$B$31</f>
        <v>3000</v>
      </c>
      <c r="L51" s="57">
        <f>'[1]🎛️ Assumptions'!$B$31</f>
        <v>3000</v>
      </c>
      <c r="M51" s="57">
        <f>'[1]🎛️ Assumptions'!$B$31</f>
        <v>3000</v>
      </c>
      <c r="N51" s="57">
        <f>'[1]🎛️ Assumptions'!$B$32</f>
        <v>3500</v>
      </c>
      <c r="O51" s="57">
        <f>'[1]🎛️ Assumptions'!$B$32</f>
        <v>3500</v>
      </c>
      <c r="P51" s="57">
        <f>'[1]🎛️ Assumptions'!$B$32</f>
        <v>3500</v>
      </c>
      <c r="Q51" s="57">
        <f>'[1]🎛️ Assumptions'!$B$32</f>
        <v>3500</v>
      </c>
      <c r="R51" s="57">
        <f>'[1]🎛️ Assumptions'!$B$32</f>
        <v>3500</v>
      </c>
      <c r="S51" s="57">
        <f>'[1]🎛️ Assumptions'!$B$32</f>
        <v>3500</v>
      </c>
      <c r="T51" s="57">
        <f>'[1]🎛️ Assumptions'!$B$32</f>
        <v>3500</v>
      </c>
      <c r="U51" s="57">
        <f>'[1]🎛️ Assumptions'!$B$32</f>
        <v>3500</v>
      </c>
      <c r="V51" s="57">
        <f>'[1]🎛️ Assumptions'!$B$32</f>
        <v>3500</v>
      </c>
      <c r="W51" s="57">
        <f>'[1]🎛️ Assumptions'!$B$32</f>
        <v>3500</v>
      </c>
      <c r="X51" s="57">
        <f>'[1]🎛️ Assumptions'!$B$32</f>
        <v>3500</v>
      </c>
      <c r="Y51" s="57">
        <f>'[1]🎛️ Assumptions'!$B$32</f>
        <v>3500</v>
      </c>
      <c r="Z51" s="8"/>
    </row>
    <row r="52" spans="1:26" hidden="1" outlineLevel="2" x14ac:dyDescent="0.2">
      <c r="A52" s="56" t="s">
        <v>88</v>
      </c>
      <c r="B52" s="8">
        <f>ROUND(B51*'[1]🎛️ Assumptions'!$B$33,0)</f>
        <v>200</v>
      </c>
      <c r="C52" s="8">
        <f>ROUND(B52*(1-'[1]🎛️ Assumptions'!$B$36)+C51*'[1]🎛️ Assumptions'!$B$33,0)</f>
        <v>484</v>
      </c>
      <c r="D52" s="8">
        <f>ROUND(C52*(1-'[1]🎛️ Assumptions'!$B$36)+D51*'[1]🎛️ Assumptions'!$B$33,0)</f>
        <v>745</v>
      </c>
      <c r="E52" s="8">
        <f>ROUND(D52*(1-'[1]🎛️ Assumptions'!$B$36)+E51*'[1]🎛️ Assumptions'!$B$33,0)</f>
        <v>985</v>
      </c>
      <c r="F52" s="8">
        <f>ROUND(E52*(1-'[1]🎛️ Assumptions'!$B$36)+F51*'[1]🎛️ Assumptions'!$B$33,0)</f>
        <v>1206</v>
      </c>
      <c r="G52" s="8">
        <f>ROUND(F52*(1-'[1]🎛️ Assumptions'!$B$36)+G51*'[1]🎛️ Assumptions'!$B$33,0)</f>
        <v>1410</v>
      </c>
      <c r="H52" s="8">
        <f>ROUND(G52*(1-'[1]🎛️ Assumptions'!$B$36)+H51*'[1]🎛️ Assumptions'!$B$33,0)</f>
        <v>1597</v>
      </c>
      <c r="I52" s="8">
        <f>ROUND(H52*(1-'[1]🎛️ Assumptions'!$B$36)+I51*'[1]🎛️ Assumptions'!$B$33,0)</f>
        <v>1769</v>
      </c>
      <c r="J52" s="8">
        <f>ROUND(I52*(1-'[1]🎛️ Assumptions'!$B$36)+J51*'[1]🎛️ Assumptions'!$B$33,0)</f>
        <v>1927</v>
      </c>
      <c r="K52" s="8">
        <f>ROUND(J52*(1-'[1]🎛️ Assumptions'!$B$36)+K51*'[1]🎛️ Assumptions'!$B$33,0)</f>
        <v>2073</v>
      </c>
      <c r="L52" s="8">
        <f>ROUND(K52*(1-'[1]🎛️ Assumptions'!$B$36)+L51*'[1]🎛️ Assumptions'!$B$33,0)</f>
        <v>2207</v>
      </c>
      <c r="M52" s="8">
        <f>ROUND(L52*(1-'[1]🎛️ Assumptions'!$B$36)+M51*'[1]🎛️ Assumptions'!$B$33,0)</f>
        <v>2330</v>
      </c>
      <c r="N52" s="8">
        <f>ROUND(M52*(1-'[1]🎛️ Assumptions'!$B$36)+N51*'[1]🎛️ Assumptions'!$B$33,0)</f>
        <v>2494</v>
      </c>
      <c r="O52" s="8">
        <f>ROUND(N52*(1-'[1]🎛️ Assumptions'!$B$36)+O51*'[1]🎛️ Assumptions'!$B$33,0)</f>
        <v>2644</v>
      </c>
      <c r="P52" s="8">
        <f>ROUND(O52*(1-'[1]🎛️ Assumptions'!$B$36)+P51*'[1]🎛️ Assumptions'!$B$33,0)</f>
        <v>2782</v>
      </c>
      <c r="Q52" s="8">
        <f>ROUND(P52*(1-'[1]🎛️ Assumptions'!$B$36)+Q51*'[1]🎛️ Assumptions'!$B$33,0)</f>
        <v>2909</v>
      </c>
      <c r="R52" s="8">
        <f>ROUND(Q52*(1-'[1]🎛️ Assumptions'!$B$36)+R51*'[1]🎛️ Assumptions'!$B$33,0)</f>
        <v>3026</v>
      </c>
      <c r="S52" s="8">
        <f>ROUND(R52*(1-'[1]🎛️ Assumptions'!$B$36)+S51*'[1]🎛️ Assumptions'!$B$33,0)</f>
        <v>3134</v>
      </c>
      <c r="T52" s="8">
        <f>ROUND(S52*(1-'[1]🎛️ Assumptions'!$B$36)+T51*'[1]🎛️ Assumptions'!$B$33,0)</f>
        <v>3233</v>
      </c>
      <c r="U52" s="8">
        <f>ROUND(T52*(1-'[1]🎛️ Assumptions'!$B$36)+U51*'[1]🎛️ Assumptions'!$B$33,0)</f>
        <v>3324</v>
      </c>
      <c r="V52" s="8">
        <f>ROUND(U52*(1-'[1]🎛️ Assumptions'!$B$36)+V51*'[1]🎛️ Assumptions'!$B$33,0)</f>
        <v>3408</v>
      </c>
      <c r="W52" s="8">
        <f>ROUND(V52*(1-'[1]🎛️ Assumptions'!$B$36)+W51*'[1]🎛️ Assumptions'!$B$33,0)</f>
        <v>3485</v>
      </c>
      <c r="X52" s="8">
        <f>ROUND(W52*(1-'[1]🎛️ Assumptions'!$B$36)+X51*'[1]🎛️ Assumptions'!$B$33,0)</f>
        <v>3556</v>
      </c>
      <c r="Y52" s="8">
        <f>ROUND(X52*(1-'[1]🎛️ Assumptions'!$B$36)+Y51*'[1]🎛️ Assumptions'!$B$33,0)</f>
        <v>3622</v>
      </c>
      <c r="Z52" s="8"/>
    </row>
    <row r="53" spans="1:26" hidden="1" outlineLevel="2" x14ac:dyDescent="0.2">
      <c r="A53" s="56" t="s">
        <v>89</v>
      </c>
      <c r="B53" s="8">
        <f>ROUND(B51*'[1]🎛️ Assumptions'!$B$34,0)</f>
        <v>140</v>
      </c>
      <c r="C53" s="8">
        <f>ROUND(B53*(1-'[1]🎛️ Assumptions'!$B$37)+C51*'[1]🎛️ Assumptions'!$B$34,0)</f>
        <v>343</v>
      </c>
      <c r="D53" s="8">
        <f>ROUND(C53*(1-'[1]🎛️ Assumptions'!$B$37)+D51*'[1]🎛️ Assumptions'!$B$34,0)</f>
        <v>536</v>
      </c>
      <c r="E53" s="8">
        <f>ROUND(D53*(1-'[1]🎛️ Assumptions'!$B$37)+E51*'[1]🎛️ Assumptions'!$B$34,0)</f>
        <v>719</v>
      </c>
      <c r="F53" s="8">
        <f>ROUND(E53*(1-'[1]🎛️ Assumptions'!$B$37)+F51*'[1]🎛️ Assumptions'!$B$34,0)</f>
        <v>893</v>
      </c>
      <c r="G53" s="8">
        <f>ROUND(F53*(1-'[1]🎛️ Assumptions'!$B$37)+G51*'[1]🎛️ Assumptions'!$B$34,0)</f>
        <v>1058</v>
      </c>
      <c r="H53" s="8">
        <f>ROUND(G53*(1-'[1]🎛️ Assumptions'!$B$37)+H51*'[1]🎛️ Assumptions'!$B$34,0)</f>
        <v>1215</v>
      </c>
      <c r="I53" s="8">
        <f>ROUND(H53*(1-'[1]🎛️ Assumptions'!$B$37)+I51*'[1]🎛️ Assumptions'!$B$34,0)</f>
        <v>1364</v>
      </c>
      <c r="J53" s="8">
        <f>ROUND(I53*(1-'[1]🎛️ Assumptions'!$B$37)+J51*'[1]🎛️ Assumptions'!$B$34,0)</f>
        <v>1506</v>
      </c>
      <c r="K53" s="8">
        <f>ROUND(J53*(1-'[1]🎛️ Assumptions'!$B$37)+K51*'[1]🎛️ Assumptions'!$B$34,0)</f>
        <v>1641</v>
      </c>
      <c r="L53" s="8">
        <f>ROUND(K53*(1-'[1]🎛️ Assumptions'!$B$37)+L51*'[1]🎛️ Assumptions'!$B$34,0)</f>
        <v>1769</v>
      </c>
      <c r="M53" s="8">
        <f>ROUND(L53*(1-'[1]🎛️ Assumptions'!$B$37)+M51*'[1]🎛️ Assumptions'!$B$34,0)</f>
        <v>1891</v>
      </c>
      <c r="N53" s="8">
        <f>ROUND(M53*(1-'[1]🎛️ Assumptions'!$B$37)+N51*'[1]🎛️ Assumptions'!$B$34,0)</f>
        <v>2041</v>
      </c>
      <c r="O53" s="8">
        <f>ROUND(N53*(1-'[1]🎛️ Assumptions'!$B$37)+O51*'[1]🎛️ Assumptions'!$B$34,0)</f>
        <v>2184</v>
      </c>
      <c r="P53" s="8">
        <f>ROUND(O53*(1-'[1]🎛️ Assumptions'!$B$37)+P51*'[1]🎛️ Assumptions'!$B$34,0)</f>
        <v>2320</v>
      </c>
      <c r="Q53" s="8">
        <f>ROUND(P53*(1-'[1]🎛️ Assumptions'!$B$37)+Q51*'[1]🎛️ Assumptions'!$B$34,0)</f>
        <v>2449</v>
      </c>
      <c r="R53" s="8">
        <f>ROUND(Q53*(1-'[1]🎛️ Assumptions'!$B$37)+R51*'[1]🎛️ Assumptions'!$B$34,0)</f>
        <v>2572</v>
      </c>
      <c r="S53" s="8">
        <f>ROUND(R53*(1-'[1]🎛️ Assumptions'!$B$37)+S51*'[1]🎛️ Assumptions'!$B$34,0)</f>
        <v>2688</v>
      </c>
      <c r="T53" s="8">
        <f>ROUND(S53*(1-'[1]🎛️ Assumptions'!$B$37)+T51*'[1]🎛️ Assumptions'!$B$34,0)</f>
        <v>2799</v>
      </c>
      <c r="U53" s="8">
        <f>ROUND(T53*(1-'[1]🎛️ Assumptions'!$B$37)+U51*'[1]🎛️ Assumptions'!$B$34,0)</f>
        <v>2904</v>
      </c>
      <c r="V53" s="8">
        <f>ROUND(U53*(1-'[1]🎛️ Assumptions'!$B$37)+V51*'[1]🎛️ Assumptions'!$B$34,0)</f>
        <v>3004</v>
      </c>
      <c r="W53" s="8">
        <f>ROUND(V53*(1-'[1]🎛️ Assumptions'!$B$37)+W51*'[1]🎛️ Assumptions'!$B$34,0)</f>
        <v>3099</v>
      </c>
      <c r="X53" s="8">
        <f>ROUND(W53*(1-'[1]🎛️ Assumptions'!$B$37)+X51*'[1]🎛️ Assumptions'!$B$34,0)</f>
        <v>3189</v>
      </c>
      <c r="Y53" s="8">
        <f>ROUND(X53*(1-'[1]🎛️ Assumptions'!$B$37)+Y51*'[1]🎛️ Assumptions'!$B$34,0)</f>
        <v>3275</v>
      </c>
      <c r="Z53" s="8"/>
    </row>
    <row r="54" spans="1:26" hidden="1" outlineLevel="2" x14ac:dyDescent="0.2">
      <c r="A54" s="56" t="s">
        <v>90</v>
      </c>
      <c r="B54" s="8">
        <f>ROUND(B51*'[1]🎛️ Assumptions'!$B$35,0)</f>
        <v>40</v>
      </c>
      <c r="C54" s="8">
        <f>ROUND(B54*(1-'[1]🎛️ Assumptions'!$B$38)+C51*'[1]🎛️ Assumptions'!$B$35,0)</f>
        <v>99</v>
      </c>
      <c r="D54" s="8">
        <f>ROUND(C54*(1-'[1]🎛️ Assumptions'!$B$38)+D51*'[1]🎛️ Assumptions'!$B$35,0)</f>
        <v>156</v>
      </c>
      <c r="E54" s="8">
        <f>ROUND(D54*(1-'[1]🎛️ Assumptions'!$B$38)+E51*'[1]🎛️ Assumptions'!$B$35,0)</f>
        <v>211</v>
      </c>
      <c r="F54" s="8">
        <f>ROUND(E54*(1-'[1]🎛️ Assumptions'!$B$38)+F51*'[1]🎛️ Assumptions'!$B$35,0)</f>
        <v>265</v>
      </c>
      <c r="G54" s="8">
        <f>ROUND(F54*(1-'[1]🎛️ Assumptions'!$B$38)+G51*'[1]🎛️ Assumptions'!$B$35,0)</f>
        <v>317</v>
      </c>
      <c r="H54" s="8">
        <f>ROUND(G54*(1-'[1]🎛️ Assumptions'!$B$38)+H51*'[1]🎛️ Assumptions'!$B$35,0)</f>
        <v>367</v>
      </c>
      <c r="I54" s="8">
        <f>ROUND(H54*(1-'[1]🎛️ Assumptions'!$B$38)+I51*'[1]🎛️ Assumptions'!$B$35,0)</f>
        <v>416</v>
      </c>
      <c r="J54" s="8">
        <f>ROUND(I54*(1-'[1]🎛️ Assumptions'!$B$38)+J51*'[1]🎛️ Assumptions'!$B$35,0)</f>
        <v>464</v>
      </c>
      <c r="K54" s="8">
        <f>ROUND(J54*(1-'[1]🎛️ Assumptions'!$B$38)+K51*'[1]🎛️ Assumptions'!$B$35,0)</f>
        <v>510</v>
      </c>
      <c r="L54" s="8">
        <f>ROUND(K54*(1-'[1]🎛️ Assumptions'!$B$38)+L51*'[1]🎛️ Assumptions'!$B$35,0)</f>
        <v>555</v>
      </c>
      <c r="M54" s="8">
        <f>ROUND(L54*(1-'[1]🎛️ Assumptions'!$B$38)+M51*'[1]🎛️ Assumptions'!$B$35,0)</f>
        <v>598</v>
      </c>
      <c r="N54" s="8">
        <f>ROUND(M54*(1-'[1]🎛️ Assumptions'!$B$38)+N51*'[1]🎛️ Assumptions'!$B$35,0)</f>
        <v>650</v>
      </c>
      <c r="O54" s="8">
        <f>ROUND(N54*(1-'[1]🎛️ Assumptions'!$B$38)+O51*'[1]🎛️ Assumptions'!$B$35,0)</f>
        <v>701</v>
      </c>
      <c r="P54" s="8">
        <f>ROUND(O54*(1-'[1]🎛️ Assumptions'!$B$38)+P51*'[1]🎛️ Assumptions'!$B$35,0)</f>
        <v>750</v>
      </c>
      <c r="Q54" s="8">
        <f>ROUND(P54*(1-'[1]🎛️ Assumptions'!$B$38)+Q51*'[1]🎛️ Assumptions'!$B$35,0)</f>
        <v>798</v>
      </c>
      <c r="R54" s="8">
        <f>ROUND(Q54*(1-'[1]🎛️ Assumptions'!$B$38)+R51*'[1]🎛️ Assumptions'!$B$35,0)</f>
        <v>844</v>
      </c>
      <c r="S54" s="8">
        <f>ROUND(R54*(1-'[1]🎛️ Assumptions'!$B$38)+S51*'[1]🎛️ Assumptions'!$B$35,0)</f>
        <v>889</v>
      </c>
      <c r="T54" s="8">
        <f>ROUND(S54*(1-'[1]🎛️ Assumptions'!$B$38)+T51*'[1]🎛️ Assumptions'!$B$35,0)</f>
        <v>932</v>
      </c>
      <c r="U54" s="8">
        <f>ROUND(T54*(1-'[1]🎛️ Assumptions'!$B$38)+U51*'[1]🎛️ Assumptions'!$B$35,0)</f>
        <v>974</v>
      </c>
      <c r="V54" s="8">
        <f>ROUND(U54*(1-'[1]🎛️ Assumptions'!$B$38)+V51*'[1]🎛️ Assumptions'!$B$35,0)</f>
        <v>1015</v>
      </c>
      <c r="W54" s="8">
        <f>ROUND(V54*(1-'[1]🎛️ Assumptions'!$B$38)+W51*'[1]🎛️ Assumptions'!$B$35,0)</f>
        <v>1055</v>
      </c>
      <c r="X54" s="8">
        <f>ROUND(W54*(1-'[1]🎛️ Assumptions'!$B$38)+X51*'[1]🎛️ Assumptions'!$B$35,0)</f>
        <v>1093</v>
      </c>
      <c r="Y54" s="8">
        <f>ROUND(X54*(1-'[1]🎛️ Assumptions'!$B$38)+Y51*'[1]🎛️ Assumptions'!$B$35,0)</f>
        <v>1130</v>
      </c>
      <c r="Z54" s="8"/>
    </row>
    <row r="55" spans="1:26" hidden="1" outlineLevel="2" x14ac:dyDescent="0.2">
      <c r="A55" s="56" t="s">
        <v>91</v>
      </c>
      <c r="B55" s="8">
        <f t="shared" ref="B55:Y55" si="0">SUM(B52:B54)</f>
        <v>380</v>
      </c>
      <c r="C55" s="8">
        <f t="shared" si="0"/>
        <v>926</v>
      </c>
      <c r="D55" s="8">
        <f t="shared" si="0"/>
        <v>1437</v>
      </c>
      <c r="E55" s="8">
        <f t="shared" si="0"/>
        <v>1915</v>
      </c>
      <c r="F55" s="8">
        <f t="shared" si="0"/>
        <v>2364</v>
      </c>
      <c r="G55" s="8">
        <f t="shared" si="0"/>
        <v>2785</v>
      </c>
      <c r="H55" s="8">
        <f t="shared" si="0"/>
        <v>3179</v>
      </c>
      <c r="I55" s="8">
        <f t="shared" si="0"/>
        <v>3549</v>
      </c>
      <c r="J55" s="8">
        <f t="shared" si="0"/>
        <v>3897</v>
      </c>
      <c r="K55" s="8">
        <f t="shared" si="0"/>
        <v>4224</v>
      </c>
      <c r="L55" s="8">
        <f t="shared" si="0"/>
        <v>4531</v>
      </c>
      <c r="M55" s="8">
        <f t="shared" si="0"/>
        <v>4819</v>
      </c>
      <c r="N55" s="8">
        <f t="shared" si="0"/>
        <v>5185</v>
      </c>
      <c r="O55" s="8">
        <f t="shared" si="0"/>
        <v>5529</v>
      </c>
      <c r="P55" s="8">
        <f t="shared" si="0"/>
        <v>5852</v>
      </c>
      <c r="Q55" s="8">
        <f t="shared" si="0"/>
        <v>6156</v>
      </c>
      <c r="R55" s="8">
        <f t="shared" si="0"/>
        <v>6442</v>
      </c>
      <c r="S55" s="8">
        <f t="shared" si="0"/>
        <v>6711</v>
      </c>
      <c r="T55" s="8">
        <f t="shared" si="0"/>
        <v>6964</v>
      </c>
      <c r="U55" s="8">
        <f t="shared" si="0"/>
        <v>7202</v>
      </c>
      <c r="V55" s="8">
        <f t="shared" si="0"/>
        <v>7427</v>
      </c>
      <c r="W55" s="8">
        <f t="shared" si="0"/>
        <v>7639</v>
      </c>
      <c r="X55" s="8">
        <f t="shared" si="0"/>
        <v>7838</v>
      </c>
      <c r="Y55" s="8">
        <f t="shared" si="0"/>
        <v>8027</v>
      </c>
      <c r="Z55" s="8"/>
    </row>
    <row r="56" spans="1:26" hidden="1" outlineLevel="2" x14ac:dyDescent="0.2">
      <c r="A56" s="56" t="s">
        <v>92</v>
      </c>
      <c r="B56" s="8">
        <f>B52*('[1]🎛️ Assumptions'!$B$5+'[1]🎛️ Assumptions'!$B$8)+B53*'[1]🎛️ Assumptions'!$B$6+B54*'[1]🎛️ Assumptions'!$B$7</f>
        <v>21562</v>
      </c>
      <c r="C56" s="8">
        <f>C52*('[1]🎛️ Assumptions'!$B$5+'[1]🎛️ Assumptions'!$B$8)+C53*'[1]🎛️ Assumptions'!$B$6+C54*'[1]🎛️ Assumptions'!$B$7</f>
        <v>52607.4</v>
      </c>
      <c r="D56" s="8">
        <f>D52*('[1]🎛️ Assumptions'!$B$5+'[1]🎛️ Assumptions'!$B$8)+D53*'[1]🎛️ Assumptions'!$B$6+D54*'[1]🎛️ Assumptions'!$B$7</f>
        <v>81746.299999999988</v>
      </c>
      <c r="E56" s="8">
        <f>E52*('[1]🎛️ Assumptions'!$B$5+'[1]🎛️ Assumptions'!$B$8)+E53*'[1]🎛️ Assumptions'!$B$6+E54*'[1]🎛️ Assumptions'!$B$7</f>
        <v>109078.5</v>
      </c>
      <c r="F56" s="8">
        <f>F52*('[1]🎛️ Assumptions'!$B$5+'[1]🎛️ Assumptions'!$B$8)+F53*'[1]🎛️ Assumptions'!$B$6+F54*'[1]🎛️ Assumptions'!$B$7</f>
        <v>134843.6</v>
      </c>
      <c r="G56" s="8">
        <f>G52*('[1]🎛️ Assumptions'!$B$5+'[1]🎛️ Assumptions'!$B$8)+G53*'[1]🎛️ Assumptions'!$B$6+G54*'[1]🎛️ Assumptions'!$B$7</f>
        <v>159061.5</v>
      </c>
      <c r="H56" s="8">
        <f>H52*('[1]🎛️ Assumptions'!$B$5+'[1]🎛️ Assumptions'!$B$8)+H53*'[1]🎛️ Assumptions'!$B$6+H54*'[1]🎛️ Assumptions'!$B$7</f>
        <v>181792.09999999998</v>
      </c>
      <c r="I56" s="8">
        <f>I52*('[1]🎛️ Assumptions'!$B$5+'[1]🎛️ Assumptions'!$B$8)+I53*'[1]🎛️ Assumptions'!$B$6+I54*'[1]🎛️ Assumptions'!$B$7</f>
        <v>203215.09999999998</v>
      </c>
      <c r="J56" s="8">
        <f>J52*('[1]🎛️ Assumptions'!$B$5+'[1]🎛️ Assumptions'!$B$8)+J53*'[1]🎛️ Assumptions'!$B$6+J54*'[1]🎛️ Assumptions'!$B$7</f>
        <v>223440.30000000002</v>
      </c>
      <c r="K56" s="8">
        <f>K52*('[1]🎛️ Assumptions'!$B$5+'[1]🎛️ Assumptions'!$B$8)+K53*'[1]🎛️ Assumptions'!$B$6+K54*'[1]🎛️ Assumptions'!$B$7</f>
        <v>242487.59999999998</v>
      </c>
      <c r="L56" s="8">
        <f>L52*('[1]🎛️ Assumptions'!$B$5+'[1]🎛️ Assumptions'!$B$8)+L53*'[1]🎛️ Assumptions'!$B$6+L54*'[1]🎛️ Assumptions'!$B$7</f>
        <v>260436.9</v>
      </c>
      <c r="M56" s="8">
        <f>M52*('[1]🎛️ Assumptions'!$B$5+'[1]🎛️ Assumptions'!$B$8)+M53*'[1]🎛️ Assumptions'!$B$6+M54*'[1]🎛️ Assumptions'!$B$7</f>
        <v>277318.09999999998</v>
      </c>
      <c r="N56" s="8">
        <f>N52*('[1]🎛️ Assumptions'!$B$5+'[1]🎛️ Assumptions'!$B$8)+N53*'[1]🎛️ Assumptions'!$B$6+N54*'[1]🎛️ Assumptions'!$B$7</f>
        <v>298641.5</v>
      </c>
      <c r="O56" s="8">
        <f>O52*('[1]🎛️ Assumptions'!$B$5+'[1]🎛️ Assumptions'!$B$8)+O53*'[1]🎛️ Assumptions'!$B$6+O54*'[1]🎛️ Assumptions'!$B$7</f>
        <v>318767.10000000003</v>
      </c>
      <c r="P56" s="8">
        <f>P52*('[1]🎛️ Assumptions'!$B$5+'[1]🎛️ Assumptions'!$B$8)+P53*'[1]🎛️ Assumptions'!$B$6+P54*'[1]🎛️ Assumptions'!$B$7</f>
        <v>337714.8</v>
      </c>
      <c r="Q56" s="8">
        <f>Q52*('[1]🎛️ Assumptions'!$B$5+'[1]🎛️ Assumptions'!$B$8)+Q53*'[1]🎛️ Assumptions'!$B$6+Q54*'[1]🎛️ Assumptions'!$B$7</f>
        <v>355614.4</v>
      </c>
      <c r="R56" s="8">
        <f>R52*('[1]🎛️ Assumptions'!$B$5+'[1]🎛️ Assumptions'!$B$8)+R53*'[1]🎛️ Assumptions'!$B$6+R54*'[1]🎛️ Assumptions'!$B$7</f>
        <v>372495.79999999993</v>
      </c>
      <c r="S56" s="8">
        <f>S52*('[1]🎛️ Assumptions'!$B$5+'[1]🎛️ Assumptions'!$B$8)+S53*'[1]🎛️ Assumptions'!$B$6+S54*'[1]🎛️ Assumptions'!$B$7</f>
        <v>388428.9</v>
      </c>
      <c r="T56" s="8">
        <f>T52*('[1]🎛️ Assumptions'!$B$5+'[1]🎛️ Assumptions'!$B$8)+T53*'[1]🎛️ Assumptions'!$B$6+T54*'[1]🎛️ Assumptions'!$B$7</f>
        <v>403453.6</v>
      </c>
      <c r="U56" s="8">
        <f>U52*('[1]🎛️ Assumptions'!$B$5+'[1]🎛️ Assumptions'!$B$8)+U53*'[1]🎛️ Assumptions'!$B$6+U54*'[1]🎛️ Assumptions'!$B$7</f>
        <v>417639.80000000005</v>
      </c>
      <c r="V56" s="8">
        <f>V52*('[1]🎛️ Assumptions'!$B$5+'[1]🎛️ Assumptions'!$B$8)+V53*'[1]🎛️ Assumptions'!$B$6+V54*'[1]🎛️ Assumptions'!$B$7</f>
        <v>431097.3</v>
      </c>
      <c r="W56" s="8">
        <f>W52*('[1]🎛️ Assumptions'!$B$5+'[1]🎛️ Assumptions'!$B$8)+W53*'[1]🎛️ Assumptions'!$B$6+W54*'[1]🎛️ Assumptions'!$B$7</f>
        <v>443826.1</v>
      </c>
      <c r="X56" s="8">
        <f>X52*('[1]🎛️ Assumptions'!$B$5+'[1]🎛️ Assumptions'!$B$8)+X53*'[1]🎛️ Assumptions'!$B$6+X54*'[1]🎛️ Assumptions'!$B$7</f>
        <v>455796.2</v>
      </c>
      <c r="Y56" s="8">
        <f>Y52*('[1]🎛️ Assumptions'!$B$5+'[1]🎛️ Assumptions'!$B$8)+Y53*'[1]🎛️ Assumptions'!$B$6+Y54*'[1]🎛️ Assumptions'!$B$7</f>
        <v>467197.3</v>
      </c>
      <c r="Z56" s="8"/>
    </row>
    <row r="57" spans="1:26" hidden="1" outlineLevel="2" x14ac:dyDescent="0.2">
      <c r="A57" s="56" t="s">
        <v>93</v>
      </c>
      <c r="B57" s="8">
        <f>B51*('[1]🎛️ Assumptions'!$B$17*('[1]🎛️ Assumptions'!$B$18*('[1]🎛️ Assumptions'!$G$10/1000000)+'[1]🎛️ Assumptions'!$B$19*('[1]🎛️ Assumptions'!$G$13/1000000))*(1-'[1]🎛️ Assumptions'!$B$15)*'[1]🎛️ Assumptions'!$B$10*'[1]🎛️ Assumptions'!$B$20)+B52*('[1]🎛️ Assumptions'!$B$21*('[1]🎛️ Assumptions'!$B$22*('[1]🎛️ Assumptions'!$B$13/1000000)+'[1]🎛️ Assumptions'!$B$23*('[1]🎛️ Assumptions'!$B$14/1000000))*(1-'[1]🎛️ Assumptions'!$B$15)*'[1]🎛️ Assumptions'!$B$10)+B53*(('[1]🎛️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Assumptions'!$B$10))+B54*(('[1]🎛️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3295.2113999999997</v>
      </c>
      <c r="C57" s="8">
        <f>C51*('[1]🎛️ Assumptions'!$B$17*('[1]🎛️ Assumptions'!$B$18*('[1]🎛️ Assumptions'!$G$10/1000000)+'[1]🎛️ Assumptions'!$B$19*('[1]🎛️ Assumptions'!$G$13/1000000))*(1-'[1]🎛️ Assumptions'!$B$15)*'[1]🎛️ Assumptions'!$B$10*'[1]🎛️ Assumptions'!$B$20)+C52*('[1]🎛️ Assumptions'!$B$21*('[1]🎛️ Assumptions'!$B$22*('[1]🎛️ Assumptions'!$B$13/1000000)+'[1]🎛️ Assumptions'!$B$23*('[1]🎛️ Assumptions'!$B$14/1000000))*(1-'[1]🎛️ Assumptions'!$B$15)*'[1]🎛️ Assumptions'!$B$10)+C53*(('[1]🎛️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Assumptions'!$B$10))+C54*(('[1]🎛️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8052.5359200000003</v>
      </c>
      <c r="D57" s="8">
        <f>D51*('[1]🎛️ Assumptions'!$B$17*('[1]🎛️ Assumptions'!$B$18*('[1]🎛️ Assumptions'!$G$10/1000000)+'[1]🎛️ Assumptions'!$B$19*('[1]🎛️ Assumptions'!$G$13/1000000))*(1-'[1]🎛️ Assumptions'!$B$15)*'[1]🎛️ Assumptions'!$B$10*'[1]🎛️ Assumptions'!$B$20)+D52*('[1]🎛️ Assumptions'!$B$21*('[1]🎛️ Assumptions'!$B$22*('[1]🎛️ Assumptions'!$B$13/1000000)+'[1]🎛️ Assumptions'!$B$23*('[1]🎛️ Assumptions'!$B$14/1000000))*(1-'[1]🎛️ Assumptions'!$B$15)*'[1]🎛️ Assumptions'!$B$10)+D53*(('[1]🎛️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Assumptions'!$B$10))+D54*(('[1]🎛️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12535.90026</v>
      </c>
      <c r="E57" s="8">
        <f>E51*('[1]🎛️ Assumptions'!$B$17*('[1]🎛️ Assumptions'!$B$18*('[1]🎛️ Assumptions'!$G$10/1000000)+'[1]🎛️ Assumptions'!$B$19*('[1]🎛️ Assumptions'!$G$13/1000000))*(1-'[1]🎛️ Assumptions'!$B$15)*'[1]🎛️ Assumptions'!$B$10*'[1]🎛️ Assumptions'!$B$20)+E52*('[1]🎛️ Assumptions'!$B$21*('[1]🎛️ Assumptions'!$B$22*('[1]🎛️ Assumptions'!$B$13/1000000)+'[1]🎛️ Assumptions'!$B$23*('[1]🎛️ Assumptions'!$B$14/1000000))*(1-'[1]🎛️ Assumptions'!$B$15)*'[1]🎛️ Assumptions'!$B$10)+E53*(('[1]🎛️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Assumptions'!$B$10))+E54*(('[1]🎛️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16756.962299999999</v>
      </c>
      <c r="F57" s="8">
        <f>F51*('[1]🎛️ Assumptions'!$B$17*('[1]🎛️ Assumptions'!$B$18*('[1]🎛️ Assumptions'!$G$10/1000000)+'[1]🎛️ Assumptions'!$B$19*('[1]🎛️ Assumptions'!$G$13/1000000))*(1-'[1]🎛️ Assumptions'!$B$15)*'[1]🎛️ Assumptions'!$B$10*'[1]🎛️ Assumptions'!$B$20)+F52*('[1]🎛️ Assumptions'!$B$21*('[1]🎛️ Assumptions'!$B$22*('[1]🎛️ Assumptions'!$B$13/1000000)+'[1]🎛️ Assumptions'!$B$23*('[1]🎛️ Assumptions'!$B$14/1000000))*(1-'[1]🎛️ Assumptions'!$B$15)*'[1]🎛️ Assumptions'!$B$10)+F53*(('[1]🎛️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Assumptions'!$B$10))+F54*(('[1]🎛️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20752.76268</v>
      </c>
      <c r="G57" s="8">
        <f>G51*('[1]🎛️ Assumptions'!$B$17*('[1]🎛️ Assumptions'!$B$18*('[1]🎛️ Assumptions'!$G$10/1000000)+'[1]🎛️ Assumptions'!$B$19*('[1]🎛️ Assumptions'!$G$13/1000000))*(1-'[1]🎛️ Assumptions'!$B$15)*'[1]🎛️ Assumptions'!$B$10*'[1]🎛️ Assumptions'!$B$20)+G52*('[1]🎛️ Assumptions'!$B$21*('[1]🎛️ Assumptions'!$B$22*('[1]🎛️ Assumptions'!$B$13/1000000)+'[1]🎛️ Assumptions'!$B$23*('[1]🎛️ Assumptions'!$B$14/1000000))*(1-'[1]🎛️ Assumptions'!$B$15)*'[1]🎛️ Assumptions'!$B$10)+G53*(('[1]🎛️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Assumptions'!$B$10))+G54*(('[1]🎛️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24520.717649999999</v>
      </c>
      <c r="H57" s="8">
        <f>H51*('[1]🎛️ Assumptions'!$B$17*('[1]🎛️ Assumptions'!$B$18*('[1]🎛️ Assumptions'!$G$10/1000000)+'[1]🎛️ Assumptions'!$B$19*('[1]🎛️ Assumptions'!$G$13/1000000))*(1-'[1]🎛️ Assumptions'!$B$15)*'[1]🎛️ Assumptions'!$B$10*'[1]🎛️ Assumptions'!$B$20)+H52*('[1]🎛️ Assumptions'!$B$21*('[1]🎛️ Assumptions'!$B$22*('[1]🎛️ Assumptions'!$B$13/1000000)+'[1]🎛️ Assumptions'!$B$23*('[1]🎛️ Assumptions'!$B$14/1000000))*(1-'[1]🎛️ Assumptions'!$B$15)*'[1]🎛️ Assumptions'!$B$10)+H53*(('[1]🎛️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Assumptions'!$B$10))+H54*(('[1]🎛️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28071.968339999999</v>
      </c>
      <c r="I57" s="8">
        <f>I51*('[1]🎛️ Assumptions'!$B$17*('[1]🎛️ Assumptions'!$B$18*('[1]🎛️ Assumptions'!$G$10/1000000)+'[1]🎛️ Assumptions'!$B$19*('[1]🎛️ Assumptions'!$G$13/1000000))*(1-'[1]🎛️ Assumptions'!$B$15)*'[1]🎛️ Assumptions'!$B$10*'[1]🎛️ Assumptions'!$B$20)+I52*('[1]🎛️ Assumptions'!$B$21*('[1]🎛️ Assumptions'!$B$22*('[1]🎛️ Assumptions'!$B$13/1000000)+'[1]🎛️ Assumptions'!$B$23*('[1]🎛️ Assumptions'!$B$14/1000000))*(1-'[1]🎛️ Assumptions'!$B$15)*'[1]🎛️ Assumptions'!$B$10)+I53*(('[1]🎛️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Assumptions'!$B$10))+I54*(('[1]🎛️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31432.414260000005</v>
      </c>
      <c r="J57" s="8">
        <f>J51*('[1]🎛️ Assumptions'!$B$17*('[1]🎛️ Assumptions'!$B$18*('[1]🎛️ Assumptions'!$G$10/1000000)+'[1]🎛️ Assumptions'!$B$19*('[1]🎛️ Assumptions'!$G$13/1000000))*(1-'[1]🎛️ Assumptions'!$B$15)*'[1]🎛️ Assumptions'!$B$10*'[1]🎛️ Assumptions'!$B$20)+J52*('[1]🎛️ Assumptions'!$B$21*('[1]🎛️ Assumptions'!$B$22*('[1]🎛️ Assumptions'!$B$13/1000000)+'[1]🎛️ Assumptions'!$B$23*('[1]🎛️ Assumptions'!$B$14/1000000))*(1-'[1]🎛️ Assumptions'!$B$15)*'[1]🎛️ Assumptions'!$B$10)+J53*(('[1]🎛️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Assumptions'!$B$10))+J54*(('[1]🎛️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34619.025479999997</v>
      </c>
      <c r="K57" s="8">
        <f>K51*('[1]🎛️ Assumptions'!$B$17*('[1]🎛️ Assumptions'!$B$18*('[1]🎛️ Assumptions'!$G$10/1000000)+'[1]🎛️ Assumptions'!$B$19*('[1]🎛️ Assumptions'!$G$13/1000000))*(1-'[1]🎛️ Assumptions'!$B$15)*'[1]🎛️ Assumptions'!$B$10*'[1]🎛️ Assumptions'!$B$20)+K52*('[1]🎛️ Assumptions'!$B$21*('[1]🎛️ Assumptions'!$B$22*('[1]🎛️ Assumptions'!$B$13/1000000)+'[1]🎛️ Assumptions'!$B$23*('[1]🎛️ Assumptions'!$B$14/1000000))*(1-'[1]🎛️ Assumptions'!$B$15)*'[1]🎛️ Assumptions'!$B$10)+K53*(('[1]🎛️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Assumptions'!$B$10))+K54*(('[1]🎛️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37629.218249999998</v>
      </c>
      <c r="L57" s="8">
        <f>L51*('[1]🎛️ Assumptions'!$B$17*('[1]🎛️ Assumptions'!$B$18*('[1]🎛️ Assumptions'!$G$10/1000000)+'[1]🎛️ Assumptions'!$B$19*('[1]🎛️ Assumptions'!$G$13/1000000))*(1-'[1]🎛️ Assumptions'!$B$15)*'[1]🎛️ Assumptions'!$B$10*'[1]🎛️ Assumptions'!$B$20)+L52*('[1]🎛️ Assumptions'!$B$21*('[1]🎛️ Assumptions'!$B$22*('[1]🎛️ Assumptions'!$B$13/1000000)+'[1]🎛️ Assumptions'!$B$23*('[1]🎛️ Assumptions'!$B$14/1000000))*(1-'[1]🎛️ Assumptions'!$B$15)*'[1]🎛️ Assumptions'!$B$10)+L53*(('[1]🎛️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Assumptions'!$B$10))+L54*(('[1]🎛️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40477.234199999999</v>
      </c>
      <c r="M57" s="8">
        <f>M51*('[1]🎛️ Assumptions'!$B$17*('[1]🎛️ Assumptions'!$B$18*('[1]🎛️ Assumptions'!$G$10/1000000)+'[1]🎛️ Assumptions'!$B$19*('[1]🎛️ Assumptions'!$G$13/1000000))*(1-'[1]🎛️ Assumptions'!$B$15)*'[1]🎛️ Assumptions'!$B$10*'[1]🎛️ Assumptions'!$B$20)+M52*('[1]🎛️ Assumptions'!$B$21*('[1]🎛️ Assumptions'!$B$22*('[1]🎛️ Assumptions'!$B$13/1000000)+'[1]🎛️ Assumptions'!$B$23*('[1]🎛️ Assumptions'!$B$14/1000000))*(1-'[1]🎛️ Assumptions'!$B$15)*'[1]🎛️ Assumptions'!$B$10)+M53*(('[1]🎛️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Assumptions'!$B$10))+M54*(('[1]🎛️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43165.801770000005</v>
      </c>
      <c r="N57" s="8">
        <f>N51*('[1]🎛️ Assumptions'!$B$17*('[1]🎛️ Assumptions'!$B$18*('[1]🎛️ Assumptions'!$G$10/1000000)+'[1]🎛️ Assumptions'!$B$19*('[1]🎛️ Assumptions'!$G$13/1000000))*(1-'[1]🎛️ Assumptions'!$B$15)*'[1]🎛️ Assumptions'!$B$10*'[1]🎛️ Assumptions'!$B$20)+N52*('[1]🎛️ Assumptions'!$B$21*('[1]🎛️ Assumptions'!$B$22*('[1]🎛️ Assumptions'!$B$13/1000000)+'[1]🎛️ Assumptions'!$B$23*('[1]🎛️ Assumptions'!$B$14/1000000))*(1-'[1]🎛️ Assumptions'!$B$15)*'[1]🎛️ Assumptions'!$B$10)+N53*(('[1]🎛️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Assumptions'!$B$10))+N54*(('[1]🎛️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46533.482190000002</v>
      </c>
      <c r="O57" s="8">
        <f>O51*('[1]🎛️ Assumptions'!$B$17*('[1]🎛️ Assumptions'!$B$18*('[1]🎛️ Assumptions'!$G$10/1000000)+'[1]🎛️ Assumptions'!$B$19*('[1]🎛️ Assumptions'!$G$13/1000000))*(1-'[1]🎛️ Assumptions'!$B$15)*'[1]🎛️ Assumptions'!$B$10*'[1]🎛️ Assumptions'!$B$20)+O52*('[1]🎛️ Assumptions'!$B$21*('[1]🎛️ Assumptions'!$B$22*('[1]🎛️ Assumptions'!$B$13/1000000)+'[1]🎛️ Assumptions'!$B$23*('[1]🎛️ Assumptions'!$B$14/1000000))*(1-'[1]🎛️ Assumptions'!$B$15)*'[1]🎛️ Assumptions'!$B$10)+O53*(('[1]🎛️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Assumptions'!$B$10))+O54*(('[1]🎛️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49727.32791</v>
      </c>
      <c r="P57" s="8">
        <f>P51*('[1]🎛️ Assumptions'!$B$17*('[1]🎛️ Assumptions'!$B$18*('[1]🎛️ Assumptions'!$G$10/1000000)+'[1]🎛️ Assumptions'!$B$19*('[1]🎛️ Assumptions'!$G$13/1000000))*(1-'[1]🎛️ Assumptions'!$B$15)*'[1]🎛️ Assumptions'!$B$10*'[1]🎛️ Assumptions'!$B$20)+P52*('[1]🎛️ Assumptions'!$B$21*('[1]🎛️ Assumptions'!$B$22*('[1]🎛️ Assumptions'!$B$13/1000000)+'[1]🎛️ Assumptions'!$B$23*('[1]🎛️ Assumptions'!$B$14/1000000))*(1-'[1]🎛️ Assumptions'!$B$15)*'[1]🎛️ Assumptions'!$B$10)+P53*(('[1]🎛️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Assumptions'!$B$10))+P54*(('[1]🎛️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52744.755180000007</v>
      </c>
      <c r="Q57" s="8">
        <f>Q51*('[1]🎛️ Assumptions'!$B$17*('[1]🎛️ Assumptions'!$B$18*('[1]🎛️ Assumptions'!$G$10/1000000)+'[1]🎛️ Assumptions'!$B$19*('[1]🎛️ Assumptions'!$G$13/1000000))*(1-'[1]🎛️ Assumptions'!$B$15)*'[1]🎛️ Assumptions'!$B$10*'[1]🎛️ Assumptions'!$B$20)+Q52*('[1]🎛️ Assumptions'!$B$21*('[1]🎛️ Assumptions'!$B$22*('[1]🎛️ Assumptions'!$B$13/1000000)+'[1]🎛️ Assumptions'!$B$23*('[1]🎛️ Assumptions'!$B$14/1000000))*(1-'[1]🎛️ Assumptions'!$B$15)*'[1]🎛️ Assumptions'!$B$10)+Q53*(('[1]🎛️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Assumptions'!$B$10))+Q54*(('[1]🎛️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55605.834570000006</v>
      </c>
      <c r="R57" s="8">
        <f>R51*('[1]🎛️ Assumptions'!$B$17*('[1]🎛️ Assumptions'!$B$18*('[1]🎛️ Assumptions'!$G$10/1000000)+'[1]🎛️ Assumptions'!$B$19*('[1]🎛️ Assumptions'!$G$13/1000000))*(1-'[1]🎛️ Assumptions'!$B$15)*'[1]🎛️ Assumptions'!$B$10*'[1]🎛️ Assumptions'!$B$20)+R52*('[1]🎛️ Assumptions'!$B$21*('[1]🎛️ Assumptions'!$B$22*('[1]🎛️ Assumptions'!$B$13/1000000)+'[1]🎛️ Assumptions'!$B$23*('[1]🎛️ Assumptions'!$B$14/1000000))*(1-'[1]🎛️ Assumptions'!$B$15)*'[1]🎛️ Assumptions'!$B$10)+R53*(('[1]🎛️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Assumptions'!$B$10))+R54*(('[1]🎛️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58313.294520000003</v>
      </c>
      <c r="S57" s="8">
        <f>S51*('[1]🎛️ Assumptions'!$B$17*('[1]🎛️ Assumptions'!$B$18*('[1]🎛️ Assumptions'!$G$10/1000000)+'[1]🎛️ Assumptions'!$B$19*('[1]🎛️ Assumptions'!$G$13/1000000))*(1-'[1]🎛️ Assumptions'!$B$15)*'[1]🎛️ Assumptions'!$B$10*'[1]🎛️ Assumptions'!$B$20)+S52*('[1]🎛️ Assumptions'!$B$21*('[1]🎛️ Assumptions'!$B$22*('[1]🎛️ Assumptions'!$B$13/1000000)+'[1]🎛️ Assumptions'!$B$23*('[1]🎛️ Assumptions'!$B$14/1000000))*(1-'[1]🎛️ Assumptions'!$B$15)*'[1]🎛️ Assumptions'!$B$10)+S53*(('[1]🎛️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Assumptions'!$B$10))+S54*(('[1]🎛️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60876.064470000005</v>
      </c>
      <c r="T57" s="8">
        <f>T51*('[1]🎛️ Assumptions'!$B$17*('[1]🎛️ Assumptions'!$B$18*('[1]🎛️ Assumptions'!$G$10/1000000)+'[1]🎛️ Assumptions'!$B$19*('[1]🎛️ Assumptions'!$G$13/1000000))*(1-'[1]🎛️ Assumptions'!$B$15)*'[1]🎛️ Assumptions'!$B$10*'[1]🎛️ Assumptions'!$B$20)+T52*('[1]🎛️ Assumptions'!$B$21*('[1]🎛️ Assumptions'!$B$22*('[1]🎛️ Assumptions'!$B$13/1000000)+'[1]🎛️ Assumptions'!$B$23*('[1]🎛️ Assumptions'!$B$14/1000000))*(1-'[1]🎛️ Assumptions'!$B$15)*'[1]🎛️ Assumptions'!$B$10)+T53*(('[1]🎛️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Assumptions'!$B$10))+T54*(('[1]🎛️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63302.18505</v>
      </c>
      <c r="U57" s="8">
        <f>U51*('[1]🎛️ Assumptions'!$B$17*('[1]🎛️ Assumptions'!$B$18*('[1]🎛️ Assumptions'!$G$10/1000000)+'[1]🎛️ Assumptions'!$B$19*('[1]🎛️ Assumptions'!$G$13/1000000))*(1-'[1]🎛️ Assumptions'!$B$15)*'[1]🎛️ Assumptions'!$B$10*'[1]🎛️ Assumptions'!$B$20)+U52*('[1]🎛️ Assumptions'!$B$21*('[1]🎛️ Assumptions'!$B$22*('[1]🎛️ Assumptions'!$B$13/1000000)+'[1]🎛️ Assumptions'!$B$23*('[1]🎛️ Assumptions'!$B$14/1000000))*(1-'[1]🎛️ Assumptions'!$B$15)*'[1]🎛️ Assumptions'!$B$10)+U53*(('[1]🎛️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Assumptions'!$B$10))+U54*(('[1]🎛️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65600.585699999996</v>
      </c>
      <c r="V57" s="8">
        <f>V51*('[1]🎛️ Assumptions'!$B$17*('[1]🎛️ Assumptions'!$B$18*('[1]🎛️ Assumptions'!$G$10/1000000)+'[1]🎛️ Assumptions'!$B$19*('[1]🎛️ Assumptions'!$G$13/1000000))*(1-'[1]🎛️ Assumptions'!$B$15)*'[1]🎛️ Assumptions'!$B$10*'[1]🎛️ Assumptions'!$B$20)+V52*('[1]🎛️ Assumptions'!$B$21*('[1]🎛️ Assumptions'!$B$22*('[1]🎛️ Assumptions'!$B$13/1000000)+'[1]🎛️ Assumptions'!$B$23*('[1]🎛️ Assumptions'!$B$14/1000000))*(1-'[1]🎛️ Assumptions'!$B$15)*'[1]🎛️ Assumptions'!$B$10)+V53*(('[1]🎛️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Assumptions'!$B$10))+V54*(('[1]🎛️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67788.23649000001</v>
      </c>
      <c r="W57" s="8">
        <f>W51*('[1]🎛️ Assumptions'!$B$17*('[1]🎛️ Assumptions'!$B$18*('[1]🎛️ Assumptions'!$G$10/1000000)+'[1]🎛️ Assumptions'!$B$19*('[1]🎛️ Assumptions'!$G$13/1000000))*(1-'[1]🎛️ Assumptions'!$B$15)*'[1]🎛️ Assumptions'!$B$10*'[1]🎛️ Assumptions'!$B$20)+W52*('[1]🎛️ Assumptions'!$B$21*('[1]🎛️ Assumptions'!$B$22*('[1]🎛️ Assumptions'!$B$13/1000000)+'[1]🎛️ Assumptions'!$B$23*('[1]🎛️ Assumptions'!$B$14/1000000))*(1-'[1]🎛️ Assumptions'!$B$15)*'[1]🎛️ Assumptions'!$B$10)+W53*(('[1]🎛️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Assumptions'!$B$10))+W54*(('[1]🎛️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69865.137419999999</v>
      </c>
      <c r="X57" s="8">
        <f>X51*('[1]🎛️ Assumptions'!$B$17*('[1]🎛️ Assumptions'!$B$18*('[1]🎛️ Assumptions'!$G$10/1000000)+'[1]🎛️ Assumptions'!$B$19*('[1]🎛️ Assumptions'!$G$13/1000000))*(1-'[1]🎛️ Assumptions'!$B$15)*'[1]🎛️ Assumptions'!$B$10*'[1]🎛️ Assumptions'!$B$20)+X52*('[1]🎛️ Assumptions'!$B$21*('[1]🎛️ Assumptions'!$B$22*('[1]🎛️ Assumptions'!$B$13/1000000)+'[1]🎛️ Assumptions'!$B$23*('[1]🎛️ Assumptions'!$B$14/1000000))*(1-'[1]🎛️ Assumptions'!$B$15)*'[1]🎛️ Assumptions'!$B$10)+X53*(('[1]🎛️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Assumptions'!$B$10))+X54*(('[1]🎛️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71822.875800000009</v>
      </c>
      <c r="Y57" s="8">
        <f>Y51*('[1]🎛️ Assumptions'!$B$17*('[1]🎛️ Assumptions'!$B$18*('[1]🎛️ Assumptions'!$G$10/1000000)+'[1]🎛️ Assumptions'!$B$19*('[1]🎛️ Assumptions'!$G$13/1000000))*(1-'[1]🎛️ Assumptions'!$B$15)*'[1]🎛️ Assumptions'!$B$10*'[1]🎛️ Assumptions'!$B$20)+Y52*('[1]🎛️ Assumptions'!$B$21*('[1]🎛️ Assumptions'!$B$22*('[1]🎛️ Assumptions'!$B$13/1000000)+'[1]🎛️ Assumptions'!$B$23*('[1]🎛️ Assumptions'!$B$14/1000000))*(1-'[1]🎛️ Assumptions'!$B$15)*'[1]🎛️ Assumptions'!$B$10)+Y53*(('[1]🎛️ Assumptions'!$B$24*('[1]🎛️ Assumptions'!$B$22*('[1]🎛️ Assumptions'!$B$13/1000000)+'[1]🎛️ Assumptions'!$B$23*('[1]🎛️ Assumptions'!$B$14/1000000))*(1-'[1]🎛️ Assumptions'!$B$15)*'[1]🎛️ Assumptions'!$B$10)+('[1]🎛️ Assumptions'!$B$25*('[1]🎛️ Assumptions'!$B$26*('[1]🎛️ Assumptions'!$B$13/1000000)+'[1]🎛️ Assumptions'!$B$27*('[1]🎛️ Assumptions'!$B$14/1000000))*(1-'[1]🎛️ Assumptions'!$B$15)*'[1]🎛️ Assumptions'!$B$10))+Y54*(('[1]🎛️ Assumptions'!$B$28*('[1]🎛️ Assumptions'!$B$22*('[1]🎛️ Assumptions'!$B$13/1000000)+'[1]🎛️ Assumptions'!$B$23*('[1]🎛️ Assumptions'!$B$14/1000000))*(1-'[1]🎛️ Assumptions'!$B$15)*'[1]🎛️ Assumptions'!$B$10)+('[1]🎛️ Assumptions'!$B$29*('[1]🎛️ Assumptions'!$B$26*('[1]🎛️ Assumptions'!$B$13/1000000)+'[1]🎛️ Assumptions'!$B$27*('[1]🎛️ Assumptions'!$B$14/1000000))*(1-'[1]🎛️ Assumptions'!$B$15)*'[1]🎛️ Assumptions'!$B$10))</f>
        <v>73692.663329999996</v>
      </c>
      <c r="Z57" s="8"/>
    </row>
    <row r="58" spans="1:26" hidden="1" outlineLevel="2" x14ac:dyDescent="0.2">
      <c r="A58" s="56" t="s">
        <v>94</v>
      </c>
      <c r="B58" s="8">
        <f>'[1]🎛️ Assumptions'!$B$40+'[1]🎛️ Assumptions'!$B$42+'[1]🎛️ Assumptions'!$B$44+'[1]🎛️ Assumptions'!$B$46</f>
        <v>55000</v>
      </c>
      <c r="C58" s="8">
        <f>'[1]🎛️ Assumptions'!$B$40+'[1]🎛️ Assumptions'!$B$42+'[1]🎛️ Assumptions'!$B$44+'[1]🎛️ Assumptions'!$B$46</f>
        <v>55000</v>
      </c>
      <c r="D58" s="8">
        <f>'[1]🎛️ Assumptions'!$B$40+'[1]🎛️ Assumptions'!$B$42+'[1]🎛️ Assumptions'!$B$44+'[1]🎛️ Assumptions'!$B$46</f>
        <v>55000</v>
      </c>
      <c r="E58" s="8">
        <f>'[1]🎛️ Assumptions'!$B$40+'[1]🎛️ Assumptions'!$B$42+'[1]🎛️ Assumptions'!$B$44+'[1]🎛️ Assumptions'!$B$46</f>
        <v>55000</v>
      </c>
      <c r="F58" s="8">
        <f>'[1]🎛️ Assumptions'!$B$40+'[1]🎛️ Assumptions'!$B$42+'[1]🎛️ Assumptions'!$B$44+'[1]🎛️ Assumptions'!$B$46</f>
        <v>55000</v>
      </c>
      <c r="G58" s="8">
        <f>'[1]🎛️ Assumptions'!$B$40+'[1]🎛️ Assumptions'!$B$42+'[1]🎛️ Assumptions'!$B$44+'[1]🎛️ Assumptions'!$B$46</f>
        <v>55000</v>
      </c>
      <c r="H58" s="8">
        <f>'[1]🎛️ Assumptions'!$B$40+'[1]🎛️ Assumptions'!$B$42+'[1]🎛️ Assumptions'!$B$44+'[1]🎛️ Assumptions'!$B$46</f>
        <v>55000</v>
      </c>
      <c r="I58" s="8">
        <f>'[1]🎛️ Assumptions'!$B$40+'[1]🎛️ Assumptions'!$B$42+'[1]🎛️ Assumptions'!$B$44+'[1]🎛️ Assumptions'!$B$46</f>
        <v>55000</v>
      </c>
      <c r="J58" s="8">
        <f>'[1]🎛️ Assumptions'!$B$40+'[1]🎛️ Assumptions'!$B$42+'[1]🎛️ Assumptions'!$B$44+'[1]🎛️ Assumptions'!$B$46</f>
        <v>55000</v>
      </c>
      <c r="K58" s="8">
        <f>'[1]🎛️ Assumptions'!$B$40+'[1]🎛️ Assumptions'!$B$42+'[1]🎛️ Assumptions'!$B$44+'[1]🎛️ Assumptions'!$B$46</f>
        <v>55000</v>
      </c>
      <c r="L58" s="8">
        <f>'[1]🎛️ Assumptions'!$B$40+'[1]🎛️ Assumptions'!$B$42+'[1]🎛️ Assumptions'!$B$44+'[1]🎛️ Assumptions'!$B$46</f>
        <v>55000</v>
      </c>
      <c r="M58" s="8">
        <f>'[1]🎛️ Assumptions'!$B$40+'[1]🎛️ Assumptions'!$B$42+'[1]🎛️ Assumptions'!$B$44+'[1]🎛️ Assumptions'!$B$46</f>
        <v>55000</v>
      </c>
      <c r="N58" s="8">
        <f>'[1]🎛️ Assumptions'!$B$41+'[1]🎛️ Assumptions'!$B$43+'[1]🎛️ Assumptions'!$B$45+'[1]🎛️ Assumptions'!$B$46</f>
        <v>70000</v>
      </c>
      <c r="O58" s="8">
        <f>'[1]🎛️ Assumptions'!$B$41+'[1]🎛️ Assumptions'!$B$43+'[1]🎛️ Assumptions'!$B$45+'[1]🎛️ Assumptions'!$B$46</f>
        <v>70000</v>
      </c>
      <c r="P58" s="8">
        <f>'[1]🎛️ Assumptions'!$B$41+'[1]🎛️ Assumptions'!$B$43+'[1]🎛️ Assumptions'!$B$45+'[1]🎛️ Assumptions'!$B$46</f>
        <v>70000</v>
      </c>
      <c r="Q58" s="8">
        <f>'[1]🎛️ Assumptions'!$B$41+'[1]🎛️ Assumptions'!$B$43+'[1]🎛️ Assumptions'!$B$45+'[1]🎛️ Assumptions'!$B$46</f>
        <v>70000</v>
      </c>
      <c r="R58" s="8">
        <f>'[1]🎛️ Assumptions'!$B$41+'[1]🎛️ Assumptions'!$B$43+'[1]🎛️ Assumptions'!$B$45+'[1]🎛️ Assumptions'!$B$46</f>
        <v>70000</v>
      </c>
      <c r="S58" s="8">
        <f>'[1]🎛️ Assumptions'!$B$41+'[1]🎛️ Assumptions'!$B$43+'[1]🎛️ Assumptions'!$B$45+'[1]🎛️ Assumptions'!$B$46</f>
        <v>70000</v>
      </c>
      <c r="T58" s="8">
        <f>'[1]🎛️ Assumptions'!$B$41+'[1]🎛️ Assumptions'!$B$43+'[1]🎛️ Assumptions'!$B$45+'[1]🎛️ Assumptions'!$B$46</f>
        <v>70000</v>
      </c>
      <c r="U58" s="8">
        <f>'[1]🎛️ Assumptions'!$B$41+'[1]🎛️ Assumptions'!$B$43+'[1]🎛️ Assumptions'!$B$45+'[1]🎛️ Assumptions'!$B$46</f>
        <v>70000</v>
      </c>
      <c r="V58" s="8">
        <f>'[1]🎛️ Assumptions'!$B$41+'[1]🎛️ Assumptions'!$B$43+'[1]🎛️ Assumptions'!$B$45+'[1]🎛️ Assumptions'!$B$46</f>
        <v>70000</v>
      </c>
      <c r="W58" s="8">
        <f>'[1]🎛️ Assumptions'!$B$41+'[1]🎛️ Assumptions'!$B$43+'[1]🎛️ Assumptions'!$B$45+'[1]🎛️ Assumptions'!$B$46</f>
        <v>70000</v>
      </c>
      <c r="X58" s="8">
        <f>'[1]🎛️ Assumptions'!$B$41+'[1]🎛️ Assumptions'!$B$43+'[1]🎛️ Assumptions'!$B$45+'[1]🎛️ Assumptions'!$B$46</f>
        <v>70000</v>
      </c>
      <c r="Y58" s="8">
        <f>'[1]🎛️ Assumptions'!$B$41+'[1]🎛️ Assumptions'!$B$43+'[1]🎛️ Assumptions'!$B$45+'[1]🎛️ Assumptions'!$B$46</f>
        <v>70000</v>
      </c>
      <c r="Z58" s="8"/>
    </row>
    <row r="59" spans="1:26" hidden="1" outlineLevel="2" x14ac:dyDescent="0.2">
      <c r="A59" s="56" t="s">
        <v>95</v>
      </c>
      <c r="B59" s="8">
        <f>B56*'[1]🎛️ Assumptions'!$B$70</f>
        <v>2803.06</v>
      </c>
      <c r="C59" s="57">
        <f>C56*'[1]🎛️ Assumptions'!$B$70</f>
        <v>6838.9620000000004</v>
      </c>
      <c r="D59" s="57">
        <f>D56*'[1]🎛️ Assumptions'!$B$70</f>
        <v>10627.018999999998</v>
      </c>
      <c r="E59" s="57">
        <f>E56*'[1]🎛️ Assumptions'!$B$70</f>
        <v>14180.205</v>
      </c>
      <c r="F59" s="57">
        <f>F56*'[1]🎛️ Assumptions'!$B$70</f>
        <v>17529.668000000001</v>
      </c>
      <c r="G59" s="57">
        <f>G56*'[1]🎛️ Assumptions'!$B$70</f>
        <v>20677.994999999999</v>
      </c>
      <c r="H59" s="57">
        <f>H56*'[1]🎛️ Assumptions'!$B$70</f>
        <v>23632.972999999998</v>
      </c>
      <c r="I59" s="57">
        <f>I56*'[1]🎛️ Assumptions'!$B$70</f>
        <v>26417.962999999996</v>
      </c>
      <c r="J59" s="57">
        <f>J56*'[1]🎛️ Assumptions'!$B$70</f>
        <v>29047.239000000005</v>
      </c>
      <c r="K59" s="57">
        <f>K56*'[1]🎛️ Assumptions'!$B$70</f>
        <v>31523.387999999999</v>
      </c>
      <c r="L59" s="57">
        <f>L56*'[1]🎛️ Assumptions'!$B$70</f>
        <v>33856.796999999999</v>
      </c>
      <c r="M59" s="57">
        <f>M56*'[1]🎛️ Assumptions'!$B$70</f>
        <v>36051.352999999996</v>
      </c>
      <c r="N59" s="57">
        <f>N56*'[1]🎛️ Assumptions'!$B$70</f>
        <v>38823.395000000004</v>
      </c>
      <c r="O59" s="57">
        <f>O56*'[1]🎛️ Assumptions'!$B$70</f>
        <v>41439.723000000005</v>
      </c>
      <c r="P59" s="57">
        <f>P56*'[1]🎛️ Assumptions'!$B$70</f>
        <v>43902.923999999999</v>
      </c>
      <c r="Q59" s="57">
        <f>Q56*'[1]🎛️ Assumptions'!$B$70</f>
        <v>46229.872000000003</v>
      </c>
      <c r="R59" s="57">
        <f>R56*'[1]🎛️ Assumptions'!$B$70</f>
        <v>48424.453999999991</v>
      </c>
      <c r="S59" s="57">
        <f>S56*'[1]🎛️ Assumptions'!$B$70</f>
        <v>50495.757000000005</v>
      </c>
      <c r="T59" s="57">
        <f>T56*'[1]🎛️ Assumptions'!$B$70</f>
        <v>52448.968000000001</v>
      </c>
      <c r="U59" s="57">
        <f>U56*'[1]🎛️ Assumptions'!$B$70</f>
        <v>54293.174000000006</v>
      </c>
      <c r="V59" s="57">
        <f>V56*'[1]🎛️ Assumptions'!$B$70</f>
        <v>56042.648999999998</v>
      </c>
      <c r="W59" s="57">
        <f>W56*'[1]🎛️ Assumptions'!$B$70</f>
        <v>57697.392999999996</v>
      </c>
      <c r="X59" s="57">
        <f>X56*'[1]🎛️ Assumptions'!$B$70</f>
        <v>59253.506000000001</v>
      </c>
      <c r="Y59" s="57">
        <f>Y56*'[1]🎛️ Assumptions'!$B$70</f>
        <v>60735.648999999998</v>
      </c>
      <c r="Z59" s="8"/>
    </row>
    <row r="60" spans="1:26" hidden="1" outlineLevel="2" x14ac:dyDescent="0.2">
      <c r="A60" s="56" t="s">
        <v>96</v>
      </c>
      <c r="B60" s="8">
        <f t="shared" ref="B60:Y60" si="1">B56-B57-B58-B59</f>
        <v>-39536.271399999998</v>
      </c>
      <c r="C60" s="57">
        <f t="shared" si="1"/>
        <v>-17284.09792</v>
      </c>
      <c r="D60" s="57">
        <f t="shared" si="1"/>
        <v>3583.3807399999951</v>
      </c>
      <c r="E60" s="57">
        <f t="shared" si="1"/>
        <v>23141.332699999999</v>
      </c>
      <c r="F60" s="57">
        <f t="shared" si="1"/>
        <v>41561.169320000001</v>
      </c>
      <c r="G60" s="57">
        <f t="shared" si="1"/>
        <v>58862.787349999999</v>
      </c>
      <c r="H60" s="57">
        <f t="shared" si="1"/>
        <v>75087.158659999986</v>
      </c>
      <c r="I60" s="57">
        <f t="shared" si="1"/>
        <v>90364.722739999997</v>
      </c>
      <c r="J60" s="57">
        <f t="shared" si="1"/>
        <v>104774.03552000003</v>
      </c>
      <c r="K60" s="57">
        <f t="shared" si="1"/>
        <v>118334.99374999997</v>
      </c>
      <c r="L60" s="57">
        <f t="shared" si="1"/>
        <v>131102.8688</v>
      </c>
      <c r="M60" s="57">
        <f t="shared" si="1"/>
        <v>143100.94522999995</v>
      </c>
      <c r="N60" s="57">
        <f t="shared" si="1"/>
        <v>143284.62280999997</v>
      </c>
      <c r="O60" s="57">
        <f t="shared" si="1"/>
        <v>157600.04909000004</v>
      </c>
      <c r="P60" s="57">
        <f t="shared" si="1"/>
        <v>171067.12081999995</v>
      </c>
      <c r="Q60" s="57">
        <f t="shared" si="1"/>
        <v>183778.69343000001</v>
      </c>
      <c r="R60" s="57">
        <f t="shared" si="1"/>
        <v>195758.05147999994</v>
      </c>
      <c r="S60" s="57">
        <f t="shared" si="1"/>
        <v>207057.07853000003</v>
      </c>
      <c r="T60" s="57">
        <f t="shared" si="1"/>
        <v>217702.44695000001</v>
      </c>
      <c r="U60" s="57">
        <f t="shared" si="1"/>
        <v>227746.04030000005</v>
      </c>
      <c r="V60" s="57">
        <f t="shared" si="1"/>
        <v>237266.41451</v>
      </c>
      <c r="W60" s="57">
        <f t="shared" si="1"/>
        <v>246263.56958000001</v>
      </c>
      <c r="X60" s="57">
        <f t="shared" si="1"/>
        <v>254719.81820000004</v>
      </c>
      <c r="Y60" s="57">
        <f t="shared" si="1"/>
        <v>262768.98767</v>
      </c>
      <c r="Z60" s="8"/>
    </row>
    <row r="61" spans="1:26" hidden="1" outlineLevel="2" x14ac:dyDescent="0.2">
      <c r="A61" s="5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idden="1" outlineLevel="2" x14ac:dyDescent="0.2">
      <c r="A62" s="56" t="s">
        <v>97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idden="1" outlineLevel="2" x14ac:dyDescent="0.2">
      <c r="A63" s="56" t="s">
        <v>87</v>
      </c>
      <c r="B63" s="8">
        <f>'[1]🎛️ Assumptions'!$B$64</f>
        <v>2000</v>
      </c>
      <c r="C63" s="57">
        <f>'[1]🎛️ Assumptions'!$C$31</f>
        <v>3500</v>
      </c>
      <c r="D63" s="57">
        <f>'[1]🎛️ Assumptions'!$C$31</f>
        <v>3500</v>
      </c>
      <c r="E63" s="57">
        <f>'[1]🎛️ Assumptions'!$C$31</f>
        <v>3500</v>
      </c>
      <c r="F63" s="57">
        <f>'[1]🎛️ Assumptions'!$C$31</f>
        <v>3500</v>
      </c>
      <c r="G63" s="57">
        <f>'[1]🎛️ Assumptions'!$C$31</f>
        <v>3500</v>
      </c>
      <c r="H63" s="57">
        <f>'[1]🎛️ Assumptions'!$C$31</f>
        <v>3500</v>
      </c>
      <c r="I63" s="57">
        <f>'[1]🎛️ Assumptions'!$C$31</f>
        <v>3500</v>
      </c>
      <c r="J63" s="57">
        <f>'[1]🎛️ Assumptions'!$C$31</f>
        <v>3500</v>
      </c>
      <c r="K63" s="57">
        <f>'[1]🎛️ Assumptions'!$C$31</f>
        <v>3500</v>
      </c>
      <c r="L63" s="57">
        <f>'[1]🎛️ Assumptions'!$C$31</f>
        <v>3500</v>
      </c>
      <c r="M63" s="57">
        <f>'[1]🎛️ Assumptions'!$C$31</f>
        <v>3500</v>
      </c>
      <c r="N63" s="57">
        <f>'[1]🎛️ Assumptions'!$C$32</f>
        <v>4000</v>
      </c>
      <c r="O63" s="57">
        <f>'[1]🎛️ Assumptions'!$C$32</f>
        <v>4000</v>
      </c>
      <c r="P63" s="57">
        <f>'[1]🎛️ Assumptions'!$C$32</f>
        <v>4000</v>
      </c>
      <c r="Q63" s="57">
        <f>'[1]🎛️ Assumptions'!$C$32</f>
        <v>4000</v>
      </c>
      <c r="R63" s="57">
        <f>'[1]🎛️ Assumptions'!$C$32</f>
        <v>4000</v>
      </c>
      <c r="S63" s="57">
        <f>'[1]🎛️ Assumptions'!$C$32</f>
        <v>4000</v>
      </c>
      <c r="T63" s="57">
        <f>'[1]🎛️ Assumptions'!$C$32</f>
        <v>4000</v>
      </c>
      <c r="U63" s="57">
        <f>'[1]🎛️ Assumptions'!$C$32</f>
        <v>4000</v>
      </c>
      <c r="V63" s="57">
        <f>'[1]🎛️ Assumptions'!$C$32</f>
        <v>4000</v>
      </c>
      <c r="W63" s="57">
        <f>'[1]🎛️ Assumptions'!$C$32</f>
        <v>4000</v>
      </c>
      <c r="X63" s="57">
        <f>'[1]🎛️ Assumptions'!$C$32</f>
        <v>4000</v>
      </c>
      <c r="Y63" s="57">
        <f>'[1]🎛️ Assumptions'!$C$32</f>
        <v>4000</v>
      </c>
      <c r="Z63" s="8"/>
    </row>
    <row r="64" spans="1:26" hidden="1" outlineLevel="2" x14ac:dyDescent="0.2">
      <c r="A64" s="56" t="s">
        <v>88</v>
      </c>
      <c r="B64" s="8">
        <f>ROUND(B63*'[1]🎛️ Assumptions'!$C$33,0)</f>
        <v>300</v>
      </c>
      <c r="C64" s="8">
        <f>ROUND(B64*(1-'[1]🎛️ Assumptions'!$C$36)+C63*'[1]🎛️ Assumptions'!$C$33,0)</f>
        <v>804</v>
      </c>
      <c r="D64" s="8">
        <f>ROUND(C64*(1-'[1]🎛️ Assumptions'!$C$36)+D63*'[1]🎛️ Assumptions'!$C$33,0)</f>
        <v>1273</v>
      </c>
      <c r="E64" s="8">
        <f>ROUND(D64*(1-'[1]🎛️ Assumptions'!$C$36)+E63*'[1]🎛️ Assumptions'!$C$33,0)</f>
        <v>1709</v>
      </c>
      <c r="F64" s="8">
        <f>ROUND(E64*(1-'[1]🎛️ Assumptions'!$C$36)+F63*'[1]🎛️ Assumptions'!$C$33,0)</f>
        <v>2114</v>
      </c>
      <c r="G64" s="8">
        <f>ROUND(F64*(1-'[1]🎛️ Assumptions'!$C$36)+G63*'[1]🎛️ Assumptions'!$C$33,0)</f>
        <v>2491</v>
      </c>
      <c r="H64" s="8">
        <f>ROUND(G64*(1-'[1]🎛️ Assumptions'!$C$36)+H63*'[1]🎛️ Assumptions'!$C$33,0)</f>
        <v>2842</v>
      </c>
      <c r="I64" s="8">
        <f>ROUND(H64*(1-'[1]🎛️ Assumptions'!$C$36)+I63*'[1]🎛️ Assumptions'!$C$33,0)</f>
        <v>3168</v>
      </c>
      <c r="J64" s="8">
        <f>ROUND(I64*(1-'[1]🎛️ Assumptions'!$C$36)+J63*'[1]🎛️ Assumptions'!$C$33,0)</f>
        <v>3471</v>
      </c>
      <c r="K64" s="8">
        <f>ROUND(J64*(1-'[1]🎛️ Assumptions'!$C$36)+K63*'[1]🎛️ Assumptions'!$C$33,0)</f>
        <v>3753</v>
      </c>
      <c r="L64" s="8">
        <f>ROUND(K64*(1-'[1]🎛️ Assumptions'!$C$36)+L63*'[1]🎛️ Assumptions'!$C$33,0)</f>
        <v>4015</v>
      </c>
      <c r="M64" s="8">
        <f>ROUND(L64*(1-'[1]🎛️ Assumptions'!$C$36)+M63*'[1]🎛️ Assumptions'!$C$33,0)</f>
        <v>4259</v>
      </c>
      <c r="N64" s="8">
        <f>ROUND(M64*(1-'[1]🎛️ Assumptions'!$C$36)+N63*'[1]🎛️ Assumptions'!$C$33,0)</f>
        <v>4561</v>
      </c>
      <c r="O64" s="8">
        <f>ROUND(N64*(1-'[1]🎛️ Assumptions'!$C$36)+O63*'[1]🎛️ Assumptions'!$C$33,0)</f>
        <v>4842</v>
      </c>
      <c r="P64" s="8">
        <f>ROUND(O64*(1-'[1]🎛️ Assumptions'!$C$36)+P63*'[1]🎛️ Assumptions'!$C$33,0)</f>
        <v>5103</v>
      </c>
      <c r="Q64" s="8">
        <f>ROUND(P64*(1-'[1]🎛️ Assumptions'!$C$36)+Q63*'[1]🎛️ Assumptions'!$C$33,0)</f>
        <v>5346</v>
      </c>
      <c r="R64" s="8">
        <f>ROUND(Q64*(1-'[1]🎛️ Assumptions'!$C$36)+R63*'[1]🎛️ Assumptions'!$C$33,0)</f>
        <v>5572</v>
      </c>
      <c r="S64" s="8">
        <f>ROUND(R64*(1-'[1]🎛️ Assumptions'!$C$36)+S63*'[1]🎛️ Assumptions'!$C$33,0)</f>
        <v>5782</v>
      </c>
      <c r="T64" s="8">
        <f>ROUND(S64*(1-'[1]🎛️ Assumptions'!$C$36)+T63*'[1]🎛️ Assumptions'!$C$33,0)</f>
        <v>5977</v>
      </c>
      <c r="U64" s="8">
        <f>ROUND(T64*(1-'[1]🎛️ Assumptions'!$C$36)+U63*'[1]🎛️ Assumptions'!$C$33,0)</f>
        <v>6159</v>
      </c>
      <c r="V64" s="8">
        <f>ROUND(U64*(1-'[1]🎛️ Assumptions'!$C$36)+V63*'[1]🎛️ Assumptions'!$C$33,0)</f>
        <v>6328</v>
      </c>
      <c r="W64" s="8">
        <f>ROUND(V64*(1-'[1]🎛️ Assumptions'!$C$36)+W63*'[1]🎛️ Assumptions'!$C$33,0)</f>
        <v>6485</v>
      </c>
      <c r="X64" s="8">
        <f>ROUND(W64*(1-'[1]🎛️ Assumptions'!$C$36)+X63*'[1]🎛️ Assumptions'!$C$33,0)</f>
        <v>6631</v>
      </c>
      <c r="Y64" s="8">
        <f>ROUND(X64*(1-'[1]🎛️ Assumptions'!$C$36)+Y63*'[1]🎛️ Assumptions'!$C$33,0)</f>
        <v>6767</v>
      </c>
      <c r="Z64" s="8"/>
    </row>
    <row r="65" spans="1:26" hidden="1" outlineLevel="2" x14ac:dyDescent="0.2">
      <c r="A65" s="56" t="s">
        <v>89</v>
      </c>
      <c r="B65" s="8">
        <f>ROUND(B63*'[1]🎛️ Assumptions'!$C$34,0)</f>
        <v>140</v>
      </c>
      <c r="C65" s="8">
        <f>ROUND(B65*(1-'[1]🎛️ Assumptions'!$C$37)+C63*'[1]🎛️ Assumptions'!$C$34,0)</f>
        <v>378</v>
      </c>
      <c r="D65" s="8">
        <f>ROUND(C65*(1-'[1]🎛️ Assumptions'!$C$37)+D63*'[1]🎛️ Assumptions'!$C$34,0)</f>
        <v>604</v>
      </c>
      <c r="E65" s="8">
        <f>ROUND(D65*(1-'[1]🎛️ Assumptions'!$C$37)+E63*'[1]🎛️ Assumptions'!$C$34,0)</f>
        <v>819</v>
      </c>
      <c r="F65" s="8">
        <f>ROUND(E65*(1-'[1]🎛️ Assumptions'!$C$37)+F63*'[1]🎛️ Assumptions'!$C$34,0)</f>
        <v>1023</v>
      </c>
      <c r="G65" s="8">
        <f>ROUND(F65*(1-'[1]🎛️ Assumptions'!$C$37)+G63*'[1]🎛️ Assumptions'!$C$34,0)</f>
        <v>1217</v>
      </c>
      <c r="H65" s="8">
        <f>ROUND(G65*(1-'[1]🎛️ Assumptions'!$C$37)+H63*'[1]🎛️ Assumptions'!$C$34,0)</f>
        <v>1401</v>
      </c>
      <c r="I65" s="8">
        <f>ROUND(H65*(1-'[1]🎛️ Assumptions'!$C$37)+I63*'[1]🎛️ Assumptions'!$C$34,0)</f>
        <v>1576</v>
      </c>
      <c r="J65" s="8">
        <f>ROUND(I65*(1-'[1]🎛️ Assumptions'!$C$37)+J63*'[1]🎛️ Assumptions'!$C$34,0)</f>
        <v>1742</v>
      </c>
      <c r="K65" s="8">
        <f>ROUND(J65*(1-'[1]🎛️ Assumptions'!$C$37)+K63*'[1]🎛️ Assumptions'!$C$34,0)</f>
        <v>1900</v>
      </c>
      <c r="L65" s="8">
        <f>ROUND(K65*(1-'[1]🎛️ Assumptions'!$C$37)+L63*'[1]🎛️ Assumptions'!$C$34,0)</f>
        <v>2050</v>
      </c>
      <c r="M65" s="8">
        <f>ROUND(L65*(1-'[1]🎛️ Assumptions'!$C$37)+M63*'[1]🎛️ Assumptions'!$C$34,0)</f>
        <v>2193</v>
      </c>
      <c r="N65" s="8">
        <f>ROUND(M65*(1-'[1]🎛️ Assumptions'!$C$37)+N63*'[1]🎛️ Assumptions'!$C$34,0)</f>
        <v>2363</v>
      </c>
      <c r="O65" s="8">
        <f>ROUND(N65*(1-'[1]🎛️ Assumptions'!$C$37)+O63*'[1]🎛️ Assumptions'!$C$34,0)</f>
        <v>2525</v>
      </c>
      <c r="P65" s="8">
        <f>ROUND(O65*(1-'[1]🎛️ Assumptions'!$C$37)+P63*'[1]🎛️ Assumptions'!$C$34,0)</f>
        <v>2679</v>
      </c>
      <c r="Q65" s="8">
        <f>ROUND(P65*(1-'[1]🎛️ Assumptions'!$C$37)+Q63*'[1]🎛️ Assumptions'!$C$34,0)</f>
        <v>2825</v>
      </c>
      <c r="R65" s="8">
        <f>ROUND(Q65*(1-'[1]🎛️ Assumptions'!$C$37)+R63*'[1]🎛️ Assumptions'!$C$34,0)</f>
        <v>2964</v>
      </c>
      <c r="S65" s="8">
        <f>ROUND(R65*(1-'[1]🎛️ Assumptions'!$C$37)+S63*'[1]🎛️ Assumptions'!$C$34,0)</f>
        <v>3096</v>
      </c>
      <c r="T65" s="8">
        <f>ROUND(S65*(1-'[1]🎛️ Assumptions'!$C$37)+T63*'[1]🎛️ Assumptions'!$C$34,0)</f>
        <v>3221</v>
      </c>
      <c r="U65" s="8">
        <f>ROUND(T65*(1-'[1]🎛️ Assumptions'!$C$37)+U63*'[1]🎛️ Assumptions'!$C$34,0)</f>
        <v>3340</v>
      </c>
      <c r="V65" s="8">
        <f>ROUND(U65*(1-'[1]🎛️ Assumptions'!$C$37)+V63*'[1]🎛️ Assumptions'!$C$34,0)</f>
        <v>3453</v>
      </c>
      <c r="W65" s="8">
        <f>ROUND(V65*(1-'[1]🎛️ Assumptions'!$C$37)+W63*'[1]🎛️ Assumptions'!$C$34,0)</f>
        <v>3560</v>
      </c>
      <c r="X65" s="8">
        <f>ROUND(W65*(1-'[1]🎛️ Assumptions'!$C$37)+X63*'[1]🎛️ Assumptions'!$C$34,0)</f>
        <v>3662</v>
      </c>
      <c r="Y65" s="8">
        <f>ROUND(X65*(1-'[1]🎛️ Assumptions'!$C$37)+Y63*'[1]🎛️ Assumptions'!$C$34,0)</f>
        <v>3759</v>
      </c>
      <c r="Z65" s="8"/>
    </row>
    <row r="66" spans="1:26" hidden="1" outlineLevel="2" x14ac:dyDescent="0.2">
      <c r="A66" s="56" t="s">
        <v>90</v>
      </c>
      <c r="B66" s="8">
        <f>ROUND(B63*'[1]🎛️ Assumptions'!$C$35,0)</f>
        <v>60</v>
      </c>
      <c r="C66" s="8">
        <f>ROUND(B66*(1-'[1]🎛️ Assumptions'!$C$38)+C63*'[1]🎛️ Assumptions'!$C$35,0)</f>
        <v>163</v>
      </c>
      <c r="D66" s="8">
        <f>ROUND(C66*(1-'[1]🎛️ Assumptions'!$C$38)+D63*'[1]🎛️ Assumptions'!$C$35,0)</f>
        <v>263</v>
      </c>
      <c r="E66" s="8">
        <f>ROUND(D66*(1-'[1]🎛️ Assumptions'!$C$38)+E63*'[1]🎛️ Assumptions'!$C$35,0)</f>
        <v>360</v>
      </c>
      <c r="F66" s="8">
        <f>ROUND(E66*(1-'[1]🎛️ Assumptions'!$C$38)+F63*'[1]🎛️ Assumptions'!$C$35,0)</f>
        <v>454</v>
      </c>
      <c r="G66" s="8">
        <f>ROUND(F66*(1-'[1]🎛️ Assumptions'!$C$38)+G63*'[1]🎛️ Assumptions'!$C$35,0)</f>
        <v>545</v>
      </c>
      <c r="H66" s="8">
        <f>ROUND(G66*(1-'[1]🎛️ Assumptions'!$C$38)+H63*'[1]🎛️ Assumptions'!$C$35,0)</f>
        <v>634</v>
      </c>
      <c r="I66" s="8">
        <f>ROUND(H66*(1-'[1]🎛️ Assumptions'!$C$38)+I63*'[1]🎛️ Assumptions'!$C$35,0)</f>
        <v>720</v>
      </c>
      <c r="J66" s="8">
        <f>ROUND(I66*(1-'[1]🎛️ Assumptions'!$C$38)+J63*'[1]🎛️ Assumptions'!$C$35,0)</f>
        <v>803</v>
      </c>
      <c r="K66" s="8">
        <f>ROUND(J66*(1-'[1]🎛️ Assumptions'!$C$38)+K63*'[1]🎛️ Assumptions'!$C$35,0)</f>
        <v>884</v>
      </c>
      <c r="L66" s="8">
        <f>ROUND(K66*(1-'[1]🎛️ Assumptions'!$C$38)+L63*'[1]🎛️ Assumptions'!$C$35,0)</f>
        <v>962</v>
      </c>
      <c r="M66" s="8">
        <f>ROUND(L66*(1-'[1]🎛️ Assumptions'!$C$38)+M63*'[1]🎛️ Assumptions'!$C$35,0)</f>
        <v>1038</v>
      </c>
      <c r="N66" s="8">
        <f>ROUND(M66*(1-'[1]🎛️ Assumptions'!$C$38)+N63*'[1]🎛️ Assumptions'!$C$35,0)</f>
        <v>1127</v>
      </c>
      <c r="O66" s="8">
        <f>ROUND(N66*(1-'[1]🎛️ Assumptions'!$C$38)+O63*'[1]🎛️ Assumptions'!$C$35,0)</f>
        <v>1213</v>
      </c>
      <c r="P66" s="8">
        <f>ROUND(O66*(1-'[1]🎛️ Assumptions'!$C$38)+P63*'[1]🎛️ Assumptions'!$C$35,0)</f>
        <v>1297</v>
      </c>
      <c r="Q66" s="8">
        <f>ROUND(P66*(1-'[1]🎛️ Assumptions'!$C$38)+Q63*'[1]🎛️ Assumptions'!$C$35,0)</f>
        <v>1378</v>
      </c>
      <c r="R66" s="8">
        <f>ROUND(Q66*(1-'[1]🎛️ Assumptions'!$C$38)+R63*'[1]🎛️ Assumptions'!$C$35,0)</f>
        <v>1457</v>
      </c>
      <c r="S66" s="8">
        <f>ROUND(R66*(1-'[1]🎛️ Assumptions'!$C$38)+S63*'[1]🎛️ Assumptions'!$C$35,0)</f>
        <v>1533</v>
      </c>
      <c r="T66" s="8">
        <f>ROUND(S66*(1-'[1]🎛️ Assumptions'!$C$38)+T63*'[1]🎛️ Assumptions'!$C$35,0)</f>
        <v>1607</v>
      </c>
      <c r="U66" s="8">
        <f>ROUND(T66*(1-'[1]🎛️ Assumptions'!$C$38)+U63*'[1]🎛️ Assumptions'!$C$35,0)</f>
        <v>1679</v>
      </c>
      <c r="V66" s="8">
        <f>ROUND(U66*(1-'[1]🎛️ Assumptions'!$C$38)+V63*'[1]🎛️ Assumptions'!$C$35,0)</f>
        <v>1749</v>
      </c>
      <c r="W66" s="8">
        <f>ROUND(V66*(1-'[1]🎛️ Assumptions'!$C$38)+W63*'[1]🎛️ Assumptions'!$C$35,0)</f>
        <v>1817</v>
      </c>
      <c r="X66" s="8">
        <f>ROUND(W66*(1-'[1]🎛️ Assumptions'!$C$38)+X63*'[1]🎛️ Assumptions'!$C$35,0)</f>
        <v>1882</v>
      </c>
      <c r="Y66" s="8">
        <f>ROUND(X66*(1-'[1]🎛️ Assumptions'!$C$38)+Y63*'[1]🎛️ Assumptions'!$C$35,0)</f>
        <v>1946</v>
      </c>
      <c r="Z66" s="8"/>
    </row>
    <row r="67" spans="1:26" hidden="1" outlineLevel="2" x14ac:dyDescent="0.2">
      <c r="A67" s="56" t="s">
        <v>91</v>
      </c>
      <c r="B67" s="8">
        <f t="shared" ref="B67:Y67" si="2">SUM(B64:B66)</f>
        <v>500</v>
      </c>
      <c r="C67" s="57">
        <f t="shared" si="2"/>
        <v>1345</v>
      </c>
      <c r="D67" s="57">
        <f t="shared" si="2"/>
        <v>2140</v>
      </c>
      <c r="E67" s="57">
        <f t="shared" si="2"/>
        <v>2888</v>
      </c>
      <c r="F67" s="57">
        <f t="shared" si="2"/>
        <v>3591</v>
      </c>
      <c r="G67" s="57">
        <f t="shared" si="2"/>
        <v>4253</v>
      </c>
      <c r="H67" s="57">
        <f t="shared" si="2"/>
        <v>4877</v>
      </c>
      <c r="I67" s="57">
        <f t="shared" si="2"/>
        <v>5464</v>
      </c>
      <c r="J67" s="57">
        <f t="shared" si="2"/>
        <v>6016</v>
      </c>
      <c r="K67" s="57">
        <f t="shared" si="2"/>
        <v>6537</v>
      </c>
      <c r="L67" s="57">
        <f t="shared" si="2"/>
        <v>7027</v>
      </c>
      <c r="M67" s="57">
        <f t="shared" si="2"/>
        <v>7490</v>
      </c>
      <c r="N67" s="57">
        <f t="shared" si="2"/>
        <v>8051</v>
      </c>
      <c r="O67" s="57">
        <f t="shared" si="2"/>
        <v>8580</v>
      </c>
      <c r="P67" s="57">
        <f t="shared" si="2"/>
        <v>9079</v>
      </c>
      <c r="Q67" s="57">
        <f t="shared" si="2"/>
        <v>9549</v>
      </c>
      <c r="R67" s="57">
        <f t="shared" si="2"/>
        <v>9993</v>
      </c>
      <c r="S67" s="57">
        <f t="shared" si="2"/>
        <v>10411</v>
      </c>
      <c r="T67" s="57">
        <f t="shared" si="2"/>
        <v>10805</v>
      </c>
      <c r="U67" s="57">
        <f t="shared" si="2"/>
        <v>11178</v>
      </c>
      <c r="V67" s="57">
        <f t="shared" si="2"/>
        <v>11530</v>
      </c>
      <c r="W67" s="57">
        <f t="shared" si="2"/>
        <v>11862</v>
      </c>
      <c r="X67" s="57">
        <f t="shared" si="2"/>
        <v>12175</v>
      </c>
      <c r="Y67" s="57">
        <f t="shared" si="2"/>
        <v>12472</v>
      </c>
      <c r="Z67" s="8"/>
    </row>
    <row r="68" spans="1:26" hidden="1" outlineLevel="2" x14ac:dyDescent="0.2">
      <c r="A68" s="56" t="s">
        <v>92</v>
      </c>
      <c r="B68" s="8">
        <f>B64*('[1]🎛️ Assumptions'!$C$5+'[1]🎛️ Assumptions'!$C$8)+B65*'[1]🎛️ Assumptions'!$C$6+B66*'[1]🎛️ Assumptions'!$C$7</f>
        <v>28150</v>
      </c>
      <c r="C68" s="8">
        <f>C64*('[1]🎛️ Assumptions'!$C$5+'[1]🎛️ Assumptions'!$C$8)+C65*'[1]🎛️ Assumptions'!$C$6+C66*'[1]🎛️ Assumptions'!$C$7</f>
        <v>75785.5</v>
      </c>
      <c r="D68" s="8">
        <f>D64*('[1]🎛️ Assumptions'!$C$5+'[1]🎛️ Assumptions'!$C$8)+D65*'[1]🎛️ Assumptions'!$C$6+D66*'[1]🎛️ Assumptions'!$C$7</f>
        <v>120715.99999999999</v>
      </c>
      <c r="E68" s="8">
        <f>E64*('[1]🎛️ Assumptions'!$C$5+'[1]🎛️ Assumptions'!$C$8)+E65*'[1]🎛️ Assumptions'!$C$6+E66*'[1]🎛️ Assumptions'!$C$7</f>
        <v>163101.19999999998</v>
      </c>
      <c r="F68" s="8">
        <f>F64*('[1]🎛️ Assumptions'!$C$5+'[1]🎛️ Assumptions'!$C$8)+F65*'[1]🎛️ Assumptions'!$C$6+F66*'[1]🎛️ Assumptions'!$C$7</f>
        <v>203040.9</v>
      </c>
      <c r="G68" s="8">
        <f>G64*('[1]🎛️ Assumptions'!$C$5+'[1]🎛️ Assumptions'!$C$8)+G65*'[1]🎛️ Assumptions'!$C$6+G66*'[1]🎛️ Assumptions'!$C$7</f>
        <v>240744.7</v>
      </c>
      <c r="H68" s="8">
        <f>H64*('[1]🎛️ Assumptions'!$C$5+'[1]🎛️ Assumptions'!$C$8)+H65*'[1]🎛️ Assumptions'!$C$6+H66*'[1]🎛️ Assumptions'!$C$7</f>
        <v>276392.3</v>
      </c>
      <c r="I68" s="8">
        <f>I64*('[1]🎛️ Assumptions'!$C$5+'[1]🎛️ Assumptions'!$C$8)+I65*'[1]🎛️ Assumptions'!$C$6+I66*'[1]🎛️ Assumptions'!$C$7</f>
        <v>310013.59999999998</v>
      </c>
      <c r="J68" s="8">
        <f>J64*('[1]🎛️ Assumptions'!$C$5+'[1]🎛️ Assumptions'!$C$8)+J65*'[1]🎛️ Assumptions'!$C$6+J66*'[1]🎛️ Assumptions'!$C$7</f>
        <v>341708.4</v>
      </c>
      <c r="K68" s="8">
        <f>K64*('[1]🎛️ Assumptions'!$C$5+'[1]🎛️ Assumptions'!$C$8)+K65*'[1]🎛️ Assumptions'!$C$6+K66*'[1]🎛️ Assumptions'!$C$7</f>
        <v>371716.29999999993</v>
      </c>
      <c r="L68" s="8">
        <f>L64*('[1]🎛️ Assumptions'!$C$5+'[1]🎛️ Assumptions'!$C$8)+L65*'[1]🎛️ Assumptions'!$C$6+L66*'[1]🎛️ Assumptions'!$C$7</f>
        <v>400007.3</v>
      </c>
      <c r="M68" s="8">
        <f>M64*('[1]🎛️ Assumptions'!$C$5+'[1]🎛️ Assumptions'!$C$8)+M65*'[1]🎛️ Assumptions'!$C$6+M66*'[1]🎛️ Assumptions'!$C$7</f>
        <v>426821</v>
      </c>
      <c r="N68" s="8">
        <f>N64*('[1]🎛️ Assumptions'!$C$5+'[1]🎛️ Assumptions'!$C$8)+N65*'[1]🎛️ Assumptions'!$C$6+N66*'[1]🎛️ Assumptions'!$C$7</f>
        <v>459184.89999999997</v>
      </c>
      <c r="O68" s="8">
        <f>O64*('[1]🎛️ Assumptions'!$C$5+'[1]🎛️ Assumptions'!$C$8)+O65*'[1]🎛️ Assumptions'!$C$6+O66*'[1]🎛️ Assumptions'!$C$7</f>
        <v>489782</v>
      </c>
      <c r="P68" s="8">
        <f>P64*('[1]🎛️ Assumptions'!$C$5+'[1]🎛️ Assumptions'!$C$8)+P65*'[1]🎛️ Assumptions'!$C$6+P66*'[1]🎛️ Assumptions'!$C$7</f>
        <v>518742.1</v>
      </c>
      <c r="Q68" s="8">
        <f>Q64*('[1]🎛️ Assumptions'!$C$5+'[1]🎛️ Assumptions'!$C$8)+Q65*'[1]🎛️ Assumptions'!$C$6+Q66*'[1]🎛️ Assumptions'!$C$7</f>
        <v>546085.1</v>
      </c>
      <c r="R68" s="8">
        <f>R64*('[1]🎛️ Assumptions'!$C$5+'[1]🎛️ Assumptions'!$C$8)+R65*'[1]🎛️ Assumptions'!$C$6+R66*'[1]🎛️ Assumptions'!$C$7</f>
        <v>572000.70000000007</v>
      </c>
      <c r="S68" s="8">
        <f>S64*('[1]🎛️ Assumptions'!$C$5+'[1]🎛️ Assumptions'!$C$8)+S65*'[1]🎛️ Assumptions'!$C$6+S66*'[1]🎛️ Assumptions'!$C$7</f>
        <v>596458.89999999991</v>
      </c>
      <c r="T68" s="8">
        <f>T64*('[1]🎛️ Assumptions'!$C$5+'[1]🎛️ Assumptions'!$C$8)+T65*'[1]🎛️ Assumptions'!$C$6+T66*'[1]🎛️ Assumptions'!$C$7</f>
        <v>619589.5</v>
      </c>
      <c r="U68" s="8">
        <f>U64*('[1]🎛️ Assumptions'!$C$5+'[1]🎛️ Assumptions'!$C$8)+U65*'[1]🎛️ Assumptions'!$C$6+U66*'[1]🎛️ Assumptions'!$C$7</f>
        <v>641552.19999999995</v>
      </c>
      <c r="V68" s="8">
        <f>V64*('[1]🎛️ Assumptions'!$C$5+'[1]🎛️ Assumptions'!$C$8)+V65*'[1]🎛️ Assumptions'!$C$6+V66*'[1]🎛️ Assumptions'!$C$7</f>
        <v>662347</v>
      </c>
      <c r="W68" s="8">
        <f>W64*('[1]🎛️ Assumptions'!$C$5+'[1]🎛️ Assumptions'!$C$8)+W65*'[1]🎛️ Assumptions'!$C$6+W66*'[1]🎛️ Assumptions'!$C$7</f>
        <v>682023.8</v>
      </c>
      <c r="X68" s="8">
        <f>X64*('[1]🎛️ Assumptions'!$C$5+'[1]🎛️ Assumptions'!$C$8)+X65*'[1]🎛️ Assumptions'!$C$6+X66*'[1]🎛️ Assumptions'!$C$7</f>
        <v>700612.5</v>
      </c>
      <c r="Y68" s="8">
        <f>Y64*('[1]🎛️ Assumptions'!$C$5+'[1]🎛️ Assumptions'!$C$8)+Y65*'[1]🎛️ Assumptions'!$C$6+Y66*'[1]🎛️ Assumptions'!$C$7</f>
        <v>718322.8</v>
      </c>
      <c r="Z68" s="8"/>
    </row>
    <row r="69" spans="1:26" hidden="1" outlineLevel="2" x14ac:dyDescent="0.2">
      <c r="A69" s="56" t="s">
        <v>93</v>
      </c>
      <c r="B69" s="8">
        <f>B63*('[1]🎛️ Assumptions'!$C$17*('[1]🎛️ Assumptions'!$C$18*('[1]🎛️ Assumptions'!$G$10/1000000)+'[1]🎛️ Assumptions'!$C$19*('[1]🎛️ Assumptions'!$G$13/1000000))*(1-'[1]🎛️ Assumptions'!$C$15)*'[1]🎛️ Assumptions'!$C$10*'[1]🎛️ Assumptions'!$C$20)+B64*('[1]🎛️ Assumptions'!$C$21*('[1]🎛️ Assumptions'!$C$22*('[1]🎛️ Assumptions'!$C$13/1000000)+'[1]🎛️ Assumptions'!$C$23*('[1]🎛️ Assumptions'!$C$14/1000000))*(1-'[1]🎛️ Assumptions'!$C$15)*'[1]🎛️ Assumptions'!$C$10)+B65*(('[1]🎛️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Assumptions'!$C$10))+B66*(('[1]🎛️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4542.9480000000003</v>
      </c>
      <c r="C69" s="8">
        <f>C63*('[1]🎛️ Assumptions'!$C$17*('[1]🎛️ Assumptions'!$C$18*('[1]🎛️ Assumptions'!$G$10/1000000)+'[1]🎛️ Assumptions'!$C$19*('[1]🎛️ Assumptions'!$G$13/1000000))*(1-'[1]🎛️ Assumptions'!$C$15)*'[1]🎛️ Assumptions'!$C$10*'[1]🎛️ Assumptions'!$C$20)+C64*('[1]🎛️ Assumptions'!$C$21*('[1]🎛️ Assumptions'!$C$22*('[1]🎛️ Assumptions'!$C$13/1000000)+'[1]🎛️ Assumptions'!$C$23*('[1]🎛️ Assumptions'!$C$14/1000000))*(1-'[1]🎛️ Assumptions'!$C$15)*'[1]🎛️ Assumptions'!$C$10)+C65*(('[1]🎛️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Assumptions'!$C$10))+C66*(('[1]🎛️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12242.3958</v>
      </c>
      <c r="D69" s="8">
        <f>D63*('[1]🎛️ Assumptions'!$C$17*('[1]🎛️ Assumptions'!$C$18*('[1]🎛️ Assumptions'!$G$10/1000000)+'[1]🎛️ Assumptions'!$C$19*('[1]🎛️ Assumptions'!$G$13/1000000))*(1-'[1]🎛️ Assumptions'!$C$15)*'[1]🎛️ Assumptions'!$C$10*'[1]🎛️ Assumptions'!$C$20)+D64*('[1]🎛️ Assumptions'!$C$21*('[1]🎛️ Assumptions'!$C$22*('[1]🎛️ Assumptions'!$C$13/1000000)+'[1]🎛️ Assumptions'!$C$23*('[1]🎛️ Assumptions'!$C$14/1000000))*(1-'[1]🎛️ Assumptions'!$C$15)*'[1]🎛️ Assumptions'!$C$10)+D65*(('[1]🎛️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Assumptions'!$C$10))+D66*(('[1]🎛️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19525.3272</v>
      </c>
      <c r="E69" s="8">
        <f>E63*('[1]🎛️ Assumptions'!$C$17*('[1]🎛️ Assumptions'!$C$18*('[1]🎛️ Assumptions'!$G$10/1000000)+'[1]🎛️ Assumptions'!$C$19*('[1]🎛️ Assumptions'!$G$13/1000000))*(1-'[1]🎛️ Assumptions'!$C$15)*'[1]🎛️ Assumptions'!$C$10*'[1]🎛️ Assumptions'!$C$20)+E64*('[1]🎛️ Assumptions'!$C$21*('[1]🎛️ Assumptions'!$C$22*('[1]🎛️ Assumptions'!$C$13/1000000)+'[1]🎛️ Assumptions'!$C$23*('[1]🎛️ Assumptions'!$C$14/1000000))*(1-'[1]🎛️ Assumptions'!$C$15)*'[1]🎛️ Assumptions'!$C$10)+E65*(('[1]🎛️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Assumptions'!$C$10))+E66*(('[1]🎛️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26416.527120000002</v>
      </c>
      <c r="F69" s="8">
        <f>F63*('[1]🎛️ Assumptions'!$C$17*('[1]🎛️ Assumptions'!$C$18*('[1]🎛️ Assumptions'!$G$10/1000000)+'[1]🎛️ Assumptions'!$C$19*('[1]🎛️ Assumptions'!$G$13/1000000))*(1-'[1]🎛️ Assumptions'!$C$15)*'[1]🎛️ Assumptions'!$C$10*'[1]🎛️ Assumptions'!$C$20)+F64*('[1]🎛️ Assumptions'!$C$21*('[1]🎛️ Assumptions'!$C$22*('[1]🎛️ Assumptions'!$C$13/1000000)+'[1]🎛️ Assumptions'!$C$23*('[1]🎛️ Assumptions'!$C$14/1000000))*(1-'[1]🎛️ Assumptions'!$C$15)*'[1]🎛️ Assumptions'!$C$10)+F65*(('[1]🎛️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Assumptions'!$C$10))+F66*(('[1]🎛️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32929.084439999999</v>
      </c>
      <c r="G69" s="8">
        <f>G63*('[1]🎛️ Assumptions'!$C$17*('[1]🎛️ Assumptions'!$C$18*('[1]🎛️ Assumptions'!$G$10/1000000)+'[1]🎛️ Assumptions'!$C$19*('[1]🎛️ Assumptions'!$G$13/1000000))*(1-'[1]🎛️ Assumptions'!$C$15)*'[1]🎛️ Assumptions'!$C$10*'[1]🎛️ Assumptions'!$C$20)+G64*('[1]🎛️ Assumptions'!$C$21*('[1]🎛️ Assumptions'!$C$22*('[1]🎛️ Assumptions'!$C$13/1000000)+'[1]🎛️ Assumptions'!$C$23*('[1]🎛️ Assumptions'!$C$14/1000000))*(1-'[1]🎛️ Assumptions'!$C$15)*'[1]🎛️ Assumptions'!$C$10)+G65*(('[1]🎛️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Assumptions'!$C$10))+G66*(('[1]🎛️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39094.328520000003</v>
      </c>
      <c r="H69" s="8">
        <f>H63*('[1]🎛️ Assumptions'!$C$17*('[1]🎛️ Assumptions'!$C$18*('[1]🎛️ Assumptions'!$G$10/1000000)+'[1]🎛️ Assumptions'!$C$19*('[1]🎛️ Assumptions'!$G$13/1000000))*(1-'[1]🎛️ Assumptions'!$C$15)*'[1]🎛️ Assumptions'!$C$10*'[1]🎛️ Assumptions'!$C$20)+H64*('[1]🎛️ Assumptions'!$C$21*('[1]🎛️ Assumptions'!$C$22*('[1]🎛️ Assumptions'!$C$13/1000000)+'[1]🎛️ Assumptions'!$C$23*('[1]🎛️ Assumptions'!$C$14/1000000))*(1-'[1]🎛️ Assumptions'!$C$15)*'[1]🎛️ Assumptions'!$C$10)+H65*(('[1]🎛️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Assumptions'!$C$10))+H66*(('[1]🎛️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44941.051079999997</v>
      </c>
      <c r="I69" s="8">
        <f>I63*('[1]🎛️ Assumptions'!$C$17*('[1]🎛️ Assumptions'!$C$18*('[1]🎛️ Assumptions'!$G$10/1000000)+'[1]🎛️ Assumptions'!$C$19*('[1]🎛️ Assumptions'!$G$13/1000000))*(1-'[1]🎛️ Assumptions'!$C$15)*'[1]🎛️ Assumptions'!$C$10*'[1]🎛️ Assumptions'!$C$20)+I64*('[1]🎛️ Assumptions'!$C$21*('[1]🎛️ Assumptions'!$C$22*('[1]🎛️ Assumptions'!$C$13/1000000)+'[1]🎛️ Assumptions'!$C$23*('[1]🎛️ Assumptions'!$C$14/1000000))*(1-'[1]🎛️ Assumptions'!$C$15)*'[1]🎛️ Assumptions'!$C$10)+I65*(('[1]🎛️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Assumptions'!$C$10))+I66*(('[1]🎛️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50471.789760000007</v>
      </c>
      <c r="J69" s="8">
        <f>J63*('[1]🎛️ Assumptions'!$C$17*('[1]🎛️ Assumptions'!$C$18*('[1]🎛️ Assumptions'!$G$10/1000000)+'[1]🎛️ Assumptions'!$C$19*('[1]🎛️ Assumptions'!$G$13/1000000))*(1-'[1]🎛️ Assumptions'!$C$15)*'[1]🎛️ Assumptions'!$C$10*'[1]🎛️ Assumptions'!$C$20)+J64*('[1]🎛️ Assumptions'!$C$21*('[1]🎛️ Assumptions'!$C$22*('[1]🎛️ Assumptions'!$C$13/1000000)+'[1]🎛️ Assumptions'!$C$23*('[1]🎛️ Assumptions'!$C$14/1000000))*(1-'[1]🎛️ Assumptions'!$C$15)*'[1]🎛️ Assumptions'!$C$10)+J65*(('[1]🎛️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Assumptions'!$C$10))+J66*(('[1]🎛️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55699.633440000005</v>
      </c>
      <c r="K69" s="8">
        <f>K63*('[1]🎛️ Assumptions'!$C$17*('[1]🎛️ Assumptions'!$C$18*('[1]🎛️ Assumptions'!$G$10/1000000)+'[1]🎛️ Assumptions'!$C$19*('[1]🎛️ Assumptions'!$G$13/1000000))*(1-'[1]🎛️ Assumptions'!$C$15)*'[1]🎛️ Assumptions'!$C$10*'[1]🎛️ Assumptions'!$C$20)+K64*('[1]🎛️ Assumptions'!$C$21*('[1]🎛️ Assumptions'!$C$22*('[1]🎛️ Assumptions'!$C$13/1000000)+'[1]🎛️ Assumptions'!$C$23*('[1]🎛️ Assumptions'!$C$14/1000000))*(1-'[1]🎛️ Assumptions'!$C$15)*'[1]🎛️ Assumptions'!$C$10)+K65*(('[1]🎛️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Assumptions'!$C$10))+K66*(('[1]🎛️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60665.069879999995</v>
      </c>
      <c r="L69" s="8">
        <f>L63*('[1]🎛️ Assumptions'!$C$17*('[1]🎛️ Assumptions'!$C$18*('[1]🎛️ Assumptions'!$G$10/1000000)+'[1]🎛️ Assumptions'!$C$19*('[1]🎛️ Assumptions'!$G$13/1000000))*(1-'[1]🎛️ Assumptions'!$C$15)*'[1]🎛️ Assumptions'!$C$10*'[1]🎛️ Assumptions'!$C$20)+L64*('[1]🎛️ Assumptions'!$C$21*('[1]🎛️ Assumptions'!$C$22*('[1]🎛️ Assumptions'!$C$13/1000000)+'[1]🎛️ Assumptions'!$C$23*('[1]🎛️ Assumptions'!$C$14/1000000))*(1-'[1]🎛️ Assumptions'!$C$15)*'[1]🎛️ Assumptions'!$C$10)+L65*(('[1]🎛️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Assumptions'!$C$10))+L66*(('[1]🎛️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65358.940680000007</v>
      </c>
      <c r="M69" s="8">
        <f>M63*('[1]🎛️ Assumptions'!$C$17*('[1]🎛️ Assumptions'!$C$18*('[1]🎛️ Assumptions'!$G$10/1000000)+'[1]🎛️ Assumptions'!$C$19*('[1]🎛️ Assumptions'!$G$13/1000000))*(1-'[1]🎛️ Assumptions'!$C$15)*'[1]🎛️ Assumptions'!$C$10*'[1]🎛️ Assumptions'!$C$20)+M64*('[1]🎛️ Assumptions'!$C$21*('[1]🎛️ Assumptions'!$C$22*('[1]🎛️ Assumptions'!$C$13/1000000)+'[1]🎛️ Assumptions'!$C$23*('[1]🎛️ Assumptions'!$C$14/1000000))*(1-'[1]🎛️ Assumptions'!$C$15)*'[1]🎛️ Assumptions'!$C$10)+M65*(('[1]🎛️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Assumptions'!$C$10))+M66*(('[1]🎛️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69821.733600000007</v>
      </c>
      <c r="N69" s="8">
        <f>N63*('[1]🎛️ Assumptions'!$C$17*('[1]🎛️ Assumptions'!$C$18*('[1]🎛️ Assumptions'!$G$10/1000000)+'[1]🎛️ Assumptions'!$C$19*('[1]🎛️ Assumptions'!$G$13/1000000))*(1-'[1]🎛️ Assumptions'!$C$15)*'[1]🎛️ Assumptions'!$C$10*'[1]🎛️ Assumptions'!$C$20)+N64*('[1]🎛️ Assumptions'!$C$21*('[1]🎛️ Assumptions'!$C$22*('[1]🎛️ Assumptions'!$C$13/1000000)+'[1]🎛️ Assumptions'!$C$23*('[1]🎛️ Assumptions'!$C$14/1000000))*(1-'[1]🎛️ Assumptions'!$C$15)*'[1]🎛️ Assumptions'!$C$10)+N65*(('[1]🎛️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Assumptions'!$C$10))+N66*(('[1]🎛️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75184.034039999999</v>
      </c>
      <c r="O69" s="8">
        <f>O63*('[1]🎛️ Assumptions'!$C$17*('[1]🎛️ Assumptions'!$C$18*('[1]🎛️ Assumptions'!$G$10/1000000)+'[1]🎛️ Assumptions'!$C$19*('[1]🎛️ Assumptions'!$G$13/1000000))*(1-'[1]🎛️ Assumptions'!$C$15)*'[1]🎛️ Assumptions'!$C$10*'[1]🎛️ Assumptions'!$C$20)+O64*('[1]🎛️ Assumptions'!$C$21*('[1]🎛️ Assumptions'!$C$22*('[1]🎛️ Assumptions'!$C$13/1000000)+'[1]🎛️ Assumptions'!$C$23*('[1]🎛️ Assumptions'!$C$14/1000000))*(1-'[1]🎛️ Assumptions'!$C$15)*'[1]🎛️ Assumptions'!$C$10)+O65*(('[1]🎛️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Assumptions'!$C$10))+O66*(('[1]🎛️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80268.224400000006</v>
      </c>
      <c r="P69" s="8">
        <f>P63*('[1]🎛️ Assumptions'!$C$17*('[1]🎛️ Assumptions'!$C$18*('[1]🎛️ Assumptions'!$G$10/1000000)+'[1]🎛️ Assumptions'!$C$19*('[1]🎛️ Assumptions'!$G$13/1000000))*(1-'[1]🎛️ Assumptions'!$C$15)*'[1]🎛️ Assumptions'!$C$10*'[1]🎛️ Assumptions'!$C$20)+P64*('[1]🎛️ Assumptions'!$C$21*('[1]🎛️ Assumptions'!$C$22*('[1]🎛️ Assumptions'!$C$13/1000000)+'[1]🎛️ Assumptions'!$C$23*('[1]🎛️ Assumptions'!$C$14/1000000))*(1-'[1]🎛️ Assumptions'!$C$15)*'[1]🎛️ Assumptions'!$C$10)+P65*(('[1]🎛️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Assumptions'!$C$10))+P66*(('[1]🎛️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85096.551959999997</v>
      </c>
      <c r="Q69" s="8">
        <f>Q63*('[1]🎛️ Assumptions'!$C$17*('[1]🎛️ Assumptions'!$C$18*('[1]🎛️ Assumptions'!$G$10/1000000)+'[1]🎛️ Assumptions'!$C$19*('[1]🎛️ Assumptions'!$G$13/1000000))*(1-'[1]🎛️ Assumptions'!$C$15)*'[1]🎛️ Assumptions'!$C$10*'[1]🎛️ Assumptions'!$C$20)+Q64*('[1]🎛️ Assumptions'!$C$21*('[1]🎛️ Assumptions'!$C$22*('[1]🎛️ Assumptions'!$C$13/1000000)+'[1]🎛️ Assumptions'!$C$23*('[1]🎛️ Assumptions'!$C$14/1000000))*(1-'[1]🎛️ Assumptions'!$C$15)*'[1]🎛️ Assumptions'!$C$10)+Q65*(('[1]🎛️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Assumptions'!$C$10))+Q66*(('[1]🎛️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89666.402760000012</v>
      </c>
      <c r="R69" s="8">
        <f>R63*('[1]🎛️ Assumptions'!$C$17*('[1]🎛️ Assumptions'!$C$18*('[1]🎛️ Assumptions'!$G$10/1000000)+'[1]🎛️ Assumptions'!$C$19*('[1]🎛️ Assumptions'!$G$13/1000000))*(1-'[1]🎛️ Assumptions'!$C$15)*'[1]🎛️ Assumptions'!$C$10*'[1]🎛️ Assumptions'!$C$20)+R64*('[1]🎛️ Assumptions'!$C$21*('[1]🎛️ Assumptions'!$C$22*('[1]🎛️ Assumptions'!$C$13/1000000)+'[1]🎛️ Assumptions'!$C$23*('[1]🎛️ Assumptions'!$C$14/1000000))*(1-'[1]🎛️ Assumptions'!$C$15)*'[1]🎛️ Assumptions'!$C$10)+R65*(('[1]🎛️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Assumptions'!$C$10))+R66*(('[1]🎛️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94011.720119999998</v>
      </c>
      <c r="S69" s="8">
        <f>S63*('[1]🎛️ Assumptions'!$C$17*('[1]🎛️ Assumptions'!$C$18*('[1]🎛️ Assumptions'!$G$10/1000000)+'[1]🎛️ Assumptions'!$C$19*('[1]🎛️ Assumptions'!$G$13/1000000))*(1-'[1]🎛️ Assumptions'!$C$15)*'[1]🎛️ Assumptions'!$C$10*'[1]🎛️ Assumptions'!$C$20)+S64*('[1]🎛️ Assumptions'!$C$21*('[1]🎛️ Assumptions'!$C$22*('[1]🎛️ Assumptions'!$C$13/1000000)+'[1]🎛️ Assumptions'!$C$23*('[1]🎛️ Assumptions'!$C$14/1000000))*(1-'[1]🎛️ Assumptions'!$C$15)*'[1]🎛️ Assumptions'!$C$10)+S65*(('[1]🎛️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Assumptions'!$C$10))+S66*(('[1]🎛️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98123.34564</v>
      </c>
      <c r="T69" s="8">
        <f>T63*('[1]🎛️ Assumptions'!$C$17*('[1]🎛️ Assumptions'!$C$18*('[1]🎛️ Assumptions'!$G$10/1000000)+'[1]🎛️ Assumptions'!$C$19*('[1]🎛️ Assumptions'!$G$13/1000000))*(1-'[1]🎛️ Assumptions'!$C$15)*'[1]🎛️ Assumptions'!$C$10*'[1]🎛️ Assumptions'!$C$20)+T64*('[1]🎛️ Assumptions'!$C$21*('[1]🎛️ Assumptions'!$C$22*('[1]🎛️ Assumptions'!$C$13/1000000)+'[1]🎛️ Assumptions'!$C$23*('[1]🎛️ Assumptions'!$C$14/1000000))*(1-'[1]🎛️ Assumptions'!$C$15)*'[1]🎛️ Assumptions'!$C$10)+T65*(('[1]🎛️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Assumptions'!$C$10))+T66*(('[1]🎛️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102023.52660000001</v>
      </c>
      <c r="U69" s="8">
        <f>U63*('[1]🎛️ Assumptions'!$C$17*('[1]🎛️ Assumptions'!$C$18*('[1]🎛️ Assumptions'!$G$10/1000000)+'[1]🎛️ Assumptions'!$C$19*('[1]🎛️ Assumptions'!$G$13/1000000))*(1-'[1]🎛️ Assumptions'!$C$15)*'[1]🎛️ Assumptions'!$C$10*'[1]🎛️ Assumptions'!$C$20)+U64*('[1]🎛️ Assumptions'!$C$21*('[1]🎛️ Assumptions'!$C$22*('[1]🎛️ Assumptions'!$C$13/1000000)+'[1]🎛️ Assumptions'!$C$23*('[1]🎛️ Assumptions'!$C$14/1000000))*(1-'[1]🎛️ Assumptions'!$C$15)*'[1]🎛️ Assumptions'!$C$10)+U65*(('[1]🎛️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Assumptions'!$C$10))+U66*(('[1]🎛️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105737.04792000001</v>
      </c>
      <c r="V69" s="8">
        <f>V63*('[1]🎛️ Assumptions'!$C$17*('[1]🎛️ Assumptions'!$C$18*('[1]🎛️ Assumptions'!$G$10/1000000)+'[1]🎛️ Assumptions'!$C$19*('[1]🎛️ Assumptions'!$G$13/1000000))*(1-'[1]🎛️ Assumptions'!$C$15)*'[1]🎛️ Assumptions'!$C$10*'[1]🎛️ Assumptions'!$C$20)+V64*('[1]🎛️ Assumptions'!$C$21*('[1]🎛️ Assumptions'!$C$22*('[1]🎛️ Assumptions'!$C$13/1000000)+'[1]🎛️ Assumptions'!$C$23*('[1]🎛️ Assumptions'!$C$14/1000000))*(1-'[1]🎛️ Assumptions'!$C$15)*'[1]🎛️ Assumptions'!$C$10)+V65*(('[1]🎛️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Assumptions'!$C$10))+V66*(('[1]🎛️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109263.9096</v>
      </c>
      <c r="W69" s="8">
        <f>W63*('[1]🎛️ Assumptions'!$C$17*('[1]🎛️ Assumptions'!$C$18*('[1]🎛️ Assumptions'!$G$10/1000000)+'[1]🎛️ Assumptions'!$C$19*('[1]🎛️ Assumptions'!$G$13/1000000))*(1-'[1]🎛️ Assumptions'!$C$15)*'[1]🎛️ Assumptions'!$C$10*'[1]🎛️ Assumptions'!$C$20)+W64*('[1]🎛️ Assumptions'!$C$21*('[1]🎛️ Assumptions'!$C$22*('[1]🎛️ Assumptions'!$C$13/1000000)+'[1]🎛️ Assumptions'!$C$23*('[1]🎛️ Assumptions'!$C$14/1000000))*(1-'[1]🎛️ Assumptions'!$C$15)*'[1]🎛️ Assumptions'!$C$10)+W65*(('[1]🎛️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Assumptions'!$C$10))+W66*(('[1]🎛️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112610.65608000002</v>
      </c>
      <c r="X69" s="8">
        <f>X63*('[1]🎛️ Assumptions'!$C$17*('[1]🎛️ Assumptions'!$C$18*('[1]🎛️ Assumptions'!$G$10/1000000)+'[1]🎛️ Assumptions'!$C$19*('[1]🎛️ Assumptions'!$G$13/1000000))*(1-'[1]🎛️ Assumptions'!$C$15)*'[1]🎛️ Assumptions'!$C$10*'[1]🎛️ Assumptions'!$C$20)+X64*('[1]🎛️ Assumptions'!$C$21*('[1]🎛️ Assumptions'!$C$22*('[1]🎛️ Assumptions'!$C$13/1000000)+'[1]🎛️ Assumptions'!$C$23*('[1]🎛️ Assumptions'!$C$14/1000000))*(1-'[1]🎛️ Assumptions'!$C$15)*'[1]🎛️ Assumptions'!$C$10)+X65*(('[1]🎛️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Assumptions'!$C$10))+X66*(('[1]🎛️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115779.825</v>
      </c>
      <c r="Y69" s="8">
        <f>Y63*('[1]🎛️ Assumptions'!$C$17*('[1]🎛️ Assumptions'!$C$18*('[1]🎛️ Assumptions'!$G$10/1000000)+'[1]🎛️ Assumptions'!$C$19*('[1]🎛️ Assumptions'!$G$13/1000000))*(1-'[1]🎛️ Assumptions'!$C$15)*'[1]🎛️ Assumptions'!$C$10*'[1]🎛️ Assumptions'!$C$20)+Y64*('[1]🎛️ Assumptions'!$C$21*('[1]🎛️ Assumptions'!$C$22*('[1]🎛️ Assumptions'!$C$13/1000000)+'[1]🎛️ Assumptions'!$C$23*('[1]🎛️ Assumptions'!$C$14/1000000))*(1-'[1]🎛️ Assumptions'!$C$15)*'[1]🎛️ Assumptions'!$C$10)+Y65*(('[1]🎛️ Assumptions'!$C$24*('[1]🎛️ Assumptions'!$C$22*('[1]🎛️ Assumptions'!$C$13/1000000)+'[1]🎛️ Assumptions'!$C$23*('[1]🎛️ Assumptions'!$C$14/1000000))*(1-'[1]🎛️ Assumptions'!$C$15)*'[1]🎛️ Assumptions'!$C$10)+('[1]🎛️ Assumptions'!$C$25*('[1]🎛️ Assumptions'!$C$26*('[1]🎛️ Assumptions'!$C$13/1000000)+'[1]🎛️ Assumptions'!$C$27*('[1]🎛️ Assumptions'!$C$14/1000000))*(1-'[1]🎛️ Assumptions'!$C$15)*'[1]🎛️ Assumptions'!$C$10))+Y66*(('[1]🎛️ Assumptions'!$C$28*('[1]🎛️ Assumptions'!$C$22*('[1]🎛️ Assumptions'!$C$13/1000000)+'[1]🎛️ Assumptions'!$C$23*('[1]🎛️ Assumptions'!$C$14/1000000))*(1-'[1]🎛️ Assumptions'!$C$15)*'[1]🎛️ Assumptions'!$C$10)+('[1]🎛️ Assumptions'!$C$29*('[1]🎛️ Assumptions'!$C$26*('[1]🎛️ Assumptions'!$C$13/1000000)+'[1]🎛️ Assumptions'!$C$27*('[1]🎛️ Assumptions'!$C$14/1000000))*(1-'[1]🎛️ Assumptions'!$C$15)*'[1]🎛️ Assumptions'!$C$10))</f>
        <v>118809.36648000003</v>
      </c>
      <c r="Z69" s="8"/>
    </row>
    <row r="70" spans="1:26" hidden="1" outlineLevel="2" x14ac:dyDescent="0.2">
      <c r="A70" s="56" t="s">
        <v>94</v>
      </c>
      <c r="B70" s="8">
        <f>'[1]🎛️ Assumptions'!$C$40+'[1]🎛️ Assumptions'!$C$42+'[1]🎛️ Assumptions'!$C$44+'[1]🎛️ Assumptions'!$C$46</f>
        <v>63000</v>
      </c>
      <c r="C70" s="8">
        <f>'[1]🎛️ Assumptions'!$C$40+'[1]🎛️ Assumptions'!$C$42+'[1]🎛️ Assumptions'!$C$44+'[1]🎛️ Assumptions'!$C$46</f>
        <v>63000</v>
      </c>
      <c r="D70" s="8">
        <f>'[1]🎛️ Assumptions'!$C$40+'[1]🎛️ Assumptions'!$C$42+'[1]🎛️ Assumptions'!$C$44+'[1]🎛️ Assumptions'!$C$46</f>
        <v>63000</v>
      </c>
      <c r="E70" s="8">
        <f>'[1]🎛️ Assumptions'!$C$40+'[1]🎛️ Assumptions'!$C$42+'[1]🎛️ Assumptions'!$C$44+'[1]🎛️ Assumptions'!$C$46</f>
        <v>63000</v>
      </c>
      <c r="F70" s="8">
        <f>'[1]🎛️ Assumptions'!$C$40+'[1]🎛️ Assumptions'!$C$42+'[1]🎛️ Assumptions'!$C$44+'[1]🎛️ Assumptions'!$C$46</f>
        <v>63000</v>
      </c>
      <c r="G70" s="8">
        <f>'[1]🎛️ Assumptions'!$C$40+'[1]🎛️ Assumptions'!$C$42+'[1]🎛️ Assumptions'!$C$44+'[1]🎛️ Assumptions'!$C$46</f>
        <v>63000</v>
      </c>
      <c r="H70" s="8">
        <f>'[1]🎛️ Assumptions'!$C$40+'[1]🎛️ Assumptions'!$C$42+'[1]🎛️ Assumptions'!$C$44+'[1]🎛️ Assumptions'!$C$46</f>
        <v>63000</v>
      </c>
      <c r="I70" s="8">
        <f>'[1]🎛️ Assumptions'!$C$40+'[1]🎛️ Assumptions'!$C$42+'[1]🎛️ Assumptions'!$C$44+'[1]🎛️ Assumptions'!$C$46</f>
        <v>63000</v>
      </c>
      <c r="J70" s="8">
        <f>'[1]🎛️ Assumptions'!$C$40+'[1]🎛️ Assumptions'!$C$42+'[1]🎛️ Assumptions'!$C$44+'[1]🎛️ Assumptions'!$C$46</f>
        <v>63000</v>
      </c>
      <c r="K70" s="8">
        <f>'[1]🎛️ Assumptions'!$C$40+'[1]🎛️ Assumptions'!$C$42+'[1]🎛️ Assumptions'!$C$44+'[1]🎛️ Assumptions'!$C$46</f>
        <v>63000</v>
      </c>
      <c r="L70" s="8">
        <f>'[1]🎛️ Assumptions'!$C$40+'[1]🎛️ Assumptions'!$C$42+'[1]🎛️ Assumptions'!$C$44+'[1]🎛️ Assumptions'!$C$46</f>
        <v>63000</v>
      </c>
      <c r="M70" s="8">
        <f>'[1]🎛️ Assumptions'!$C$40+'[1]🎛️ Assumptions'!$C$42+'[1]🎛️ Assumptions'!$C$44+'[1]🎛️ Assumptions'!$C$46</f>
        <v>63000</v>
      </c>
      <c r="N70" s="8">
        <f>'[1]🎛️ Assumptions'!$C$41+'[1]🎛️ Assumptions'!$C$43+'[1]🎛️ Assumptions'!$C$45+'[1]🎛️ Assumptions'!$C$46</f>
        <v>84000</v>
      </c>
      <c r="O70" s="8">
        <f>'[1]🎛️ Assumptions'!$C$41+'[1]🎛️ Assumptions'!$C$43+'[1]🎛️ Assumptions'!$C$45+'[1]🎛️ Assumptions'!$C$46</f>
        <v>84000</v>
      </c>
      <c r="P70" s="8">
        <f>'[1]🎛️ Assumptions'!$C$41+'[1]🎛️ Assumptions'!$C$43+'[1]🎛️ Assumptions'!$C$45+'[1]🎛️ Assumptions'!$C$46</f>
        <v>84000</v>
      </c>
      <c r="Q70" s="8">
        <f>'[1]🎛️ Assumptions'!$C$41+'[1]🎛️ Assumptions'!$C$43+'[1]🎛️ Assumptions'!$C$45+'[1]🎛️ Assumptions'!$C$46</f>
        <v>84000</v>
      </c>
      <c r="R70" s="8">
        <f>'[1]🎛️ Assumptions'!$C$41+'[1]🎛️ Assumptions'!$C$43+'[1]🎛️ Assumptions'!$C$45+'[1]🎛️ Assumptions'!$C$46</f>
        <v>84000</v>
      </c>
      <c r="S70" s="8">
        <f>'[1]🎛️ Assumptions'!$C$41+'[1]🎛️ Assumptions'!$C$43+'[1]🎛️ Assumptions'!$C$45+'[1]🎛️ Assumptions'!$C$46</f>
        <v>84000</v>
      </c>
      <c r="T70" s="8">
        <f>'[1]🎛️ Assumptions'!$C$41+'[1]🎛️ Assumptions'!$C$43+'[1]🎛️ Assumptions'!$C$45+'[1]🎛️ Assumptions'!$C$46</f>
        <v>84000</v>
      </c>
      <c r="U70" s="8">
        <f>'[1]🎛️ Assumptions'!$C$41+'[1]🎛️ Assumptions'!$C$43+'[1]🎛️ Assumptions'!$C$45+'[1]🎛️ Assumptions'!$C$46</f>
        <v>84000</v>
      </c>
      <c r="V70" s="8">
        <f>'[1]🎛️ Assumptions'!$C$41+'[1]🎛️ Assumptions'!$C$43+'[1]🎛️ Assumptions'!$C$45+'[1]🎛️ Assumptions'!$C$46</f>
        <v>84000</v>
      </c>
      <c r="W70" s="8">
        <f>'[1]🎛️ Assumptions'!$C$41+'[1]🎛️ Assumptions'!$C$43+'[1]🎛️ Assumptions'!$C$45+'[1]🎛️ Assumptions'!$C$46</f>
        <v>84000</v>
      </c>
      <c r="X70" s="8">
        <f>'[1]🎛️ Assumptions'!$C$41+'[1]🎛️ Assumptions'!$C$43+'[1]🎛️ Assumptions'!$C$45+'[1]🎛️ Assumptions'!$C$46</f>
        <v>84000</v>
      </c>
      <c r="Y70" s="8">
        <f>'[1]🎛️ Assumptions'!$C$41+'[1]🎛️ Assumptions'!$C$43+'[1]🎛️ Assumptions'!$C$45+'[1]🎛️ Assumptions'!$C$46</f>
        <v>84000</v>
      </c>
      <c r="Z70" s="8"/>
    </row>
    <row r="71" spans="1:26" hidden="1" outlineLevel="2" x14ac:dyDescent="0.2">
      <c r="A71" s="56" t="s">
        <v>95</v>
      </c>
      <c r="B71" s="8">
        <f>B68*'[1]🎛️ Assumptions'!$C$70</f>
        <v>3659.5</v>
      </c>
      <c r="C71" s="8">
        <f>C68*'[1]🎛️ Assumptions'!$C$70</f>
        <v>9852.1149999999998</v>
      </c>
      <c r="D71" s="8">
        <f>D68*'[1]🎛️ Assumptions'!$C$70</f>
        <v>15693.079999999998</v>
      </c>
      <c r="E71" s="8">
        <f>E68*'[1]🎛️ Assumptions'!$C$70</f>
        <v>21203.155999999999</v>
      </c>
      <c r="F71" s="8">
        <f>F68*'[1]🎛️ Assumptions'!$C$70</f>
        <v>26395.316999999999</v>
      </c>
      <c r="G71" s="8">
        <f>G68*'[1]🎛️ Assumptions'!$C$70</f>
        <v>31296.811000000002</v>
      </c>
      <c r="H71" s="8">
        <f>H68*'[1]🎛️ Assumptions'!$C$70</f>
        <v>35930.998999999996</v>
      </c>
      <c r="I71" s="8">
        <f>I68*'[1]🎛️ Assumptions'!$C$70</f>
        <v>40301.767999999996</v>
      </c>
      <c r="J71" s="8">
        <f>J68*'[1]🎛️ Assumptions'!$C$70</f>
        <v>44422.092000000004</v>
      </c>
      <c r="K71" s="8">
        <f>K68*'[1]🎛️ Assumptions'!$C$70</f>
        <v>48323.118999999992</v>
      </c>
      <c r="L71" s="8">
        <f>L68*'[1]🎛️ Assumptions'!$C$70</f>
        <v>52000.949000000001</v>
      </c>
      <c r="M71" s="8">
        <f>M68*'[1]🎛️ Assumptions'!$C$70</f>
        <v>55486.73</v>
      </c>
      <c r="N71" s="8">
        <f>N68*'[1]🎛️ Assumptions'!$C$70</f>
        <v>59694.036999999997</v>
      </c>
      <c r="O71" s="8">
        <f>O68*'[1]🎛️ Assumptions'!$C$70</f>
        <v>63671.66</v>
      </c>
      <c r="P71" s="8">
        <f>P68*'[1]🎛️ Assumptions'!$C$70</f>
        <v>67436.472999999998</v>
      </c>
      <c r="Q71" s="8">
        <f>Q68*'[1]🎛️ Assumptions'!$C$70</f>
        <v>70991.062999999995</v>
      </c>
      <c r="R71" s="8">
        <f>R68*'[1]🎛️ Assumptions'!$C$70</f>
        <v>74360.091000000015</v>
      </c>
      <c r="S71" s="8">
        <f>S68*'[1]🎛️ Assumptions'!$C$70</f>
        <v>77539.656999999992</v>
      </c>
      <c r="T71" s="8">
        <f>T68*'[1]🎛️ Assumptions'!$C$70</f>
        <v>80546.635000000009</v>
      </c>
      <c r="U71" s="8">
        <f>U68*'[1]🎛️ Assumptions'!$C$70</f>
        <v>83401.785999999993</v>
      </c>
      <c r="V71" s="8">
        <f>V68*'[1]🎛️ Assumptions'!$C$70</f>
        <v>86105.11</v>
      </c>
      <c r="W71" s="8">
        <f>W68*'[1]🎛️ Assumptions'!$C$70</f>
        <v>88663.094000000012</v>
      </c>
      <c r="X71" s="8">
        <f>X68*'[1]🎛️ Assumptions'!$C$70</f>
        <v>91079.625</v>
      </c>
      <c r="Y71" s="8">
        <f>Y68*'[1]🎛️ Assumptions'!$C$70</f>
        <v>93381.964000000007</v>
      </c>
      <c r="Z71" s="8"/>
    </row>
    <row r="72" spans="1:26" hidden="1" outlineLevel="2" x14ac:dyDescent="0.2">
      <c r="A72" s="56" t="s">
        <v>96</v>
      </c>
      <c r="B72" s="8">
        <f t="shared" ref="B72:Y72" si="3">B68-B69-B70-B71</f>
        <v>-43052.448000000004</v>
      </c>
      <c r="C72" s="57">
        <f t="shared" si="3"/>
        <v>-9309.0107999999982</v>
      </c>
      <c r="D72" s="57">
        <f t="shared" si="3"/>
        <v>22497.592799999988</v>
      </c>
      <c r="E72" s="57">
        <f t="shared" si="3"/>
        <v>52481.516879999966</v>
      </c>
      <c r="F72" s="57">
        <f t="shared" si="3"/>
        <v>80716.498559999993</v>
      </c>
      <c r="G72" s="57">
        <f t="shared" si="3"/>
        <v>107353.56048</v>
      </c>
      <c r="H72" s="57">
        <f t="shared" si="3"/>
        <v>132520.24991999997</v>
      </c>
      <c r="I72" s="57">
        <f t="shared" si="3"/>
        <v>156240.04223999998</v>
      </c>
      <c r="J72" s="57">
        <f t="shared" si="3"/>
        <v>178586.67456000001</v>
      </c>
      <c r="K72" s="57">
        <f t="shared" si="3"/>
        <v>199728.11111999996</v>
      </c>
      <c r="L72" s="57">
        <f t="shared" si="3"/>
        <v>219647.41032</v>
      </c>
      <c r="M72" s="57">
        <f t="shared" si="3"/>
        <v>238512.53639999995</v>
      </c>
      <c r="N72" s="57">
        <f t="shared" si="3"/>
        <v>240306.82895999996</v>
      </c>
      <c r="O72" s="57">
        <f t="shared" si="3"/>
        <v>261842.11559999999</v>
      </c>
      <c r="P72" s="57">
        <f t="shared" si="3"/>
        <v>282209.07503999997</v>
      </c>
      <c r="Q72" s="57">
        <f t="shared" si="3"/>
        <v>301427.63423999993</v>
      </c>
      <c r="R72" s="57">
        <f t="shared" si="3"/>
        <v>319628.88888000004</v>
      </c>
      <c r="S72" s="57">
        <f t="shared" si="3"/>
        <v>336795.89735999989</v>
      </c>
      <c r="T72" s="57">
        <f t="shared" si="3"/>
        <v>353019.33840000001</v>
      </c>
      <c r="U72" s="57">
        <f t="shared" si="3"/>
        <v>368413.36607999995</v>
      </c>
      <c r="V72" s="57">
        <f t="shared" si="3"/>
        <v>382977.9804</v>
      </c>
      <c r="W72" s="57">
        <f t="shared" si="3"/>
        <v>396750.04992000002</v>
      </c>
      <c r="X72" s="57">
        <f t="shared" si="3"/>
        <v>409753.05000000005</v>
      </c>
      <c r="Y72" s="57">
        <f t="shared" si="3"/>
        <v>422131.46951999993</v>
      </c>
      <c r="Z72" s="8"/>
    </row>
    <row r="73" spans="1:26" hidden="1" outlineLevel="1" collapsed="1" x14ac:dyDescent="0.2">
      <c r="A73" s="5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idden="1" outlineLevel="1" x14ac:dyDescent="0.2">
      <c r="A74" s="56" t="s">
        <v>98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idden="1" outlineLevel="1" x14ac:dyDescent="0.2">
      <c r="A75" s="56" t="s">
        <v>87</v>
      </c>
      <c r="B75" s="8">
        <f>'[1]🎛️ Assumptions'!$B$64</f>
        <v>2000</v>
      </c>
      <c r="C75" s="57">
        <f>'[1]🎛️ Assumptions'!$D$31</f>
        <v>4000</v>
      </c>
      <c r="D75" s="57">
        <f>'[1]🎛️ Assumptions'!$D$31</f>
        <v>4000</v>
      </c>
      <c r="E75" s="57">
        <f>'[1]🎛️ Assumptions'!$D$31</f>
        <v>4000</v>
      </c>
      <c r="F75" s="57">
        <f>'[1]🎛️ Assumptions'!$D$31</f>
        <v>4000</v>
      </c>
      <c r="G75" s="57">
        <f>'[1]🎛️ Assumptions'!$D$31</f>
        <v>4000</v>
      </c>
      <c r="H75" s="57">
        <f>'[1]🎛️ Assumptions'!$D$31</f>
        <v>4000</v>
      </c>
      <c r="I75" s="57">
        <f>'[1]🎛️ Assumptions'!$D$31</f>
        <v>4000</v>
      </c>
      <c r="J75" s="57">
        <f>'[1]🎛️ Assumptions'!$D$31</f>
        <v>4000</v>
      </c>
      <c r="K75" s="57">
        <f>'[1]🎛️ Assumptions'!$D$31</f>
        <v>4000</v>
      </c>
      <c r="L75" s="57">
        <f>'[1]🎛️ Assumptions'!$D$31</f>
        <v>4000</v>
      </c>
      <c r="M75" s="57">
        <f>'[1]🎛️ Assumptions'!$D$31</f>
        <v>4000</v>
      </c>
      <c r="N75" s="57">
        <f>'[1]🎛️ Assumptions'!$D$32</f>
        <v>4500</v>
      </c>
      <c r="O75" s="57">
        <f>'[1]🎛️ Assumptions'!$D$32</f>
        <v>4500</v>
      </c>
      <c r="P75" s="57">
        <f>'[1]🎛️ Assumptions'!$D$32</f>
        <v>4500</v>
      </c>
      <c r="Q75" s="57">
        <f>'[1]🎛️ Assumptions'!$D$32</f>
        <v>4500</v>
      </c>
      <c r="R75" s="57">
        <f>'[1]🎛️ Assumptions'!$D$32</f>
        <v>4500</v>
      </c>
      <c r="S75" s="57">
        <f>'[1]🎛️ Assumptions'!$D$32</f>
        <v>4500</v>
      </c>
      <c r="T75" s="57">
        <f>'[1]🎛️ Assumptions'!$D$32</f>
        <v>4500</v>
      </c>
      <c r="U75" s="57">
        <f>'[1]🎛️ Assumptions'!$D$32</f>
        <v>4500</v>
      </c>
      <c r="V75" s="57">
        <f>'[1]🎛️ Assumptions'!$D$32</f>
        <v>4500</v>
      </c>
      <c r="W75" s="57">
        <f>'[1]🎛️ Assumptions'!$D$32</f>
        <v>4500</v>
      </c>
      <c r="X75" s="57">
        <f>'[1]🎛️ Assumptions'!$D$32</f>
        <v>4500</v>
      </c>
      <c r="Y75" s="57">
        <f>'[1]🎛️ Assumptions'!$D$32</f>
        <v>4500</v>
      </c>
      <c r="Z75" s="8"/>
    </row>
    <row r="76" spans="1:26" hidden="1" outlineLevel="1" x14ac:dyDescent="0.2">
      <c r="A76" s="56" t="s">
        <v>88</v>
      </c>
      <c r="B76" s="8">
        <f>ROUND(B75*'[1]🎛️ Assumptions'!$D$33,0)</f>
        <v>400</v>
      </c>
      <c r="C76" s="8">
        <f>ROUND(B76*(1-'[1]🎛️ Assumptions'!$D$36)+C75*'[1]🎛️ Assumptions'!$D$33,0)</f>
        <v>1180</v>
      </c>
      <c r="D76" s="8">
        <f>ROUND(C76*(1-'[1]🎛️ Assumptions'!$D$36)+D75*'[1]🎛️ Assumptions'!$D$33,0)</f>
        <v>1921</v>
      </c>
      <c r="E76" s="8">
        <f>ROUND(D76*(1-'[1]🎛️ Assumptions'!$D$36)+E75*'[1]🎛️ Assumptions'!$D$33,0)</f>
        <v>2625</v>
      </c>
      <c r="F76" s="8">
        <f>ROUND(E76*(1-'[1]🎛️ Assumptions'!$D$36)+F75*'[1]🎛️ Assumptions'!$D$33,0)</f>
        <v>3294</v>
      </c>
      <c r="G76" s="8">
        <f>ROUND(F76*(1-'[1]🎛️ Assumptions'!$D$36)+G75*'[1]🎛️ Assumptions'!$D$33,0)</f>
        <v>3929</v>
      </c>
      <c r="H76" s="8">
        <f>ROUND(G76*(1-'[1]🎛️ Assumptions'!$D$36)+H75*'[1]🎛️ Assumptions'!$D$33,0)</f>
        <v>4533</v>
      </c>
      <c r="I76" s="8">
        <f>ROUND(H76*(1-'[1]🎛️ Assumptions'!$D$36)+I75*'[1]🎛️ Assumptions'!$D$33,0)</f>
        <v>5106</v>
      </c>
      <c r="J76" s="8">
        <f>ROUND(I76*(1-'[1]🎛️ Assumptions'!$D$36)+J75*'[1]🎛️ Assumptions'!$D$33,0)</f>
        <v>5651</v>
      </c>
      <c r="K76" s="8">
        <f>ROUND(J76*(1-'[1]🎛️ Assumptions'!$D$36)+K75*'[1]🎛️ Assumptions'!$D$33,0)</f>
        <v>6168</v>
      </c>
      <c r="L76" s="8">
        <f>ROUND(K76*(1-'[1]🎛️ Assumptions'!$D$36)+L75*'[1]🎛️ Assumptions'!$D$33,0)</f>
        <v>6660</v>
      </c>
      <c r="M76" s="8">
        <f>ROUND(L76*(1-'[1]🎛️ Assumptions'!$D$36)+M75*'[1]🎛️ Assumptions'!$D$33,0)</f>
        <v>7127</v>
      </c>
      <c r="N76" s="8">
        <f>ROUND(M76*(1-'[1]🎛️ Assumptions'!$D$36)+N75*'[1]🎛️ Assumptions'!$D$33,0)</f>
        <v>7671</v>
      </c>
      <c r="O76" s="8">
        <f>ROUND(N76*(1-'[1]🎛️ Assumptions'!$D$36)+O75*'[1]🎛️ Assumptions'!$D$33,0)</f>
        <v>8187</v>
      </c>
      <c r="P76" s="8">
        <f>ROUND(O76*(1-'[1]🎛️ Assumptions'!$D$36)+P75*'[1]🎛️ Assumptions'!$D$33,0)</f>
        <v>8678</v>
      </c>
      <c r="Q76" s="8">
        <f>ROUND(P76*(1-'[1]🎛️ Assumptions'!$D$36)+Q75*'[1]🎛️ Assumptions'!$D$33,0)</f>
        <v>9144</v>
      </c>
      <c r="R76" s="8">
        <f>ROUND(Q76*(1-'[1]🎛️ Assumptions'!$D$36)+R75*'[1]🎛️ Assumptions'!$D$33,0)</f>
        <v>9587</v>
      </c>
      <c r="S76" s="8">
        <f>ROUND(R76*(1-'[1]🎛️ Assumptions'!$D$36)+S75*'[1]🎛️ Assumptions'!$D$33,0)</f>
        <v>10008</v>
      </c>
      <c r="T76" s="8">
        <f>ROUND(S76*(1-'[1]🎛️ Assumptions'!$D$36)+T75*'[1]🎛️ Assumptions'!$D$33,0)</f>
        <v>10408</v>
      </c>
      <c r="U76" s="8">
        <f>ROUND(T76*(1-'[1]🎛️ Assumptions'!$D$36)+U75*'[1]🎛️ Assumptions'!$D$33,0)</f>
        <v>10788</v>
      </c>
      <c r="V76" s="8">
        <f>ROUND(U76*(1-'[1]🎛️ Assumptions'!$D$36)+V75*'[1]🎛️ Assumptions'!$D$33,0)</f>
        <v>11149</v>
      </c>
      <c r="W76" s="8">
        <f>ROUND(V76*(1-'[1]🎛️ Assumptions'!$D$36)+W75*'[1]🎛️ Assumptions'!$D$33,0)</f>
        <v>11492</v>
      </c>
      <c r="X76" s="8">
        <f>ROUND(W76*(1-'[1]🎛️ Assumptions'!$D$36)+X75*'[1]🎛️ Assumptions'!$D$33,0)</f>
        <v>11817</v>
      </c>
      <c r="Y76" s="8">
        <f>ROUND(X76*(1-'[1]🎛️ Assumptions'!$D$36)+Y75*'[1]🎛️ Assumptions'!$D$33,0)</f>
        <v>12126</v>
      </c>
      <c r="Z76" s="8"/>
    </row>
    <row r="77" spans="1:26" hidden="1" outlineLevel="1" x14ac:dyDescent="0.2">
      <c r="A77" s="56" t="s">
        <v>89</v>
      </c>
      <c r="B77" s="8">
        <f>ROUND(B75*'[1]🎛️ Assumptions'!$D$34,0)</f>
        <v>140</v>
      </c>
      <c r="C77" s="8">
        <f>ROUND(B77*(1-'[1]🎛️ Assumptions'!$D$37)+C75*'[1]🎛️ Assumptions'!$D$34,0)</f>
        <v>412</v>
      </c>
      <c r="D77" s="8">
        <f>ROUND(C77*(1-'[1]🎛️ Assumptions'!$D$37)+D75*'[1]🎛️ Assumptions'!$D$34,0)</f>
        <v>667</v>
      </c>
      <c r="E77" s="8">
        <f>ROUND(D77*(1-'[1]🎛️ Assumptions'!$D$37)+E75*'[1]🎛️ Assumptions'!$D$34,0)</f>
        <v>907</v>
      </c>
      <c r="F77" s="8">
        <f>ROUND(E77*(1-'[1]🎛️ Assumptions'!$D$37)+F75*'[1]🎛️ Assumptions'!$D$34,0)</f>
        <v>1133</v>
      </c>
      <c r="G77" s="8">
        <f>ROUND(F77*(1-'[1]🎛️ Assumptions'!$D$37)+G75*'[1]🎛️ Assumptions'!$D$34,0)</f>
        <v>1345</v>
      </c>
      <c r="H77" s="8">
        <f>ROUND(G77*(1-'[1]🎛️ Assumptions'!$D$37)+H75*'[1]🎛️ Assumptions'!$D$34,0)</f>
        <v>1544</v>
      </c>
      <c r="I77" s="8">
        <f>ROUND(H77*(1-'[1]🎛️ Assumptions'!$D$37)+I75*'[1]🎛️ Assumptions'!$D$34,0)</f>
        <v>1731</v>
      </c>
      <c r="J77" s="8">
        <f>ROUND(I77*(1-'[1]🎛️ Assumptions'!$D$37)+J75*'[1]🎛️ Assumptions'!$D$34,0)</f>
        <v>1907</v>
      </c>
      <c r="K77" s="8">
        <f>ROUND(J77*(1-'[1]🎛️ Assumptions'!$D$37)+K75*'[1]🎛️ Assumptions'!$D$34,0)</f>
        <v>2073</v>
      </c>
      <c r="L77" s="8">
        <f>ROUND(K77*(1-'[1]🎛️ Assumptions'!$D$37)+L75*'[1]🎛️ Assumptions'!$D$34,0)</f>
        <v>2229</v>
      </c>
      <c r="M77" s="8">
        <f>ROUND(L77*(1-'[1]🎛️ Assumptions'!$D$37)+M75*'[1]🎛️ Assumptions'!$D$34,0)</f>
        <v>2375</v>
      </c>
      <c r="N77" s="8">
        <f>ROUND(M77*(1-'[1]🎛️ Assumptions'!$D$37)+N75*'[1]🎛️ Assumptions'!$D$34,0)</f>
        <v>2548</v>
      </c>
      <c r="O77" s="8">
        <f>ROUND(N77*(1-'[1]🎛️ Assumptions'!$D$37)+O75*'[1]🎛️ Assumptions'!$D$34,0)</f>
        <v>2710</v>
      </c>
      <c r="P77" s="8">
        <f>ROUND(O77*(1-'[1]🎛️ Assumptions'!$D$37)+P75*'[1]🎛️ Assumptions'!$D$34,0)</f>
        <v>2862</v>
      </c>
      <c r="Q77" s="8">
        <f>ROUND(P77*(1-'[1]🎛️ Assumptions'!$D$37)+Q75*'[1]🎛️ Assumptions'!$D$34,0)</f>
        <v>3005</v>
      </c>
      <c r="R77" s="8">
        <f>ROUND(Q77*(1-'[1]🎛️ Assumptions'!$D$37)+R75*'[1]🎛️ Assumptions'!$D$34,0)</f>
        <v>3140</v>
      </c>
      <c r="S77" s="8">
        <f>ROUND(R77*(1-'[1]🎛️ Assumptions'!$D$37)+S75*'[1]🎛️ Assumptions'!$D$34,0)</f>
        <v>3267</v>
      </c>
      <c r="T77" s="8">
        <f>ROUND(S77*(1-'[1]🎛️ Assumptions'!$D$37)+T75*'[1]🎛️ Assumptions'!$D$34,0)</f>
        <v>3386</v>
      </c>
      <c r="U77" s="8">
        <f>ROUND(T77*(1-'[1]🎛️ Assumptions'!$D$37)+U75*'[1]🎛️ Assumptions'!$D$34,0)</f>
        <v>3498</v>
      </c>
      <c r="V77" s="8">
        <f>ROUND(U77*(1-'[1]🎛️ Assumptions'!$D$37)+V75*'[1]🎛️ Assumptions'!$D$34,0)</f>
        <v>3603</v>
      </c>
      <c r="W77" s="8">
        <f>ROUND(V77*(1-'[1]🎛️ Assumptions'!$D$37)+W75*'[1]🎛️ Assumptions'!$D$34,0)</f>
        <v>3702</v>
      </c>
      <c r="X77" s="8">
        <f>ROUND(W77*(1-'[1]🎛️ Assumptions'!$D$37)+X75*'[1]🎛️ Assumptions'!$D$34,0)</f>
        <v>3795</v>
      </c>
      <c r="Y77" s="8">
        <f>ROUND(X77*(1-'[1]🎛️ Assumptions'!$D$37)+Y75*'[1]🎛️ Assumptions'!$D$34,0)</f>
        <v>3882</v>
      </c>
      <c r="Z77" s="8"/>
    </row>
    <row r="78" spans="1:26" hidden="1" outlineLevel="1" x14ac:dyDescent="0.2">
      <c r="A78" s="56" t="s">
        <v>90</v>
      </c>
      <c r="B78" s="8">
        <f>ROUND(B75*'[1]🎛️ Assumptions'!$D$35,0)</f>
        <v>60</v>
      </c>
      <c r="C78" s="8">
        <f>ROUND(B78*(1-'[1]🎛️ Assumptions'!$D$38)+C75*'[1]🎛️ Assumptions'!$D$35,0)</f>
        <v>179</v>
      </c>
      <c r="D78" s="8">
        <f>ROUND(C78*(1-'[1]🎛️ Assumptions'!$D$38)+D75*'[1]🎛️ Assumptions'!$D$35,0)</f>
        <v>295</v>
      </c>
      <c r="E78" s="8">
        <f>ROUND(D78*(1-'[1]🎛️ Assumptions'!$D$38)+E75*'[1]🎛️ Assumptions'!$D$35,0)</f>
        <v>409</v>
      </c>
      <c r="F78" s="8">
        <f>ROUND(E78*(1-'[1]🎛️ Assumptions'!$D$38)+F75*'[1]🎛️ Assumptions'!$D$35,0)</f>
        <v>521</v>
      </c>
      <c r="G78" s="8">
        <f>ROUND(F78*(1-'[1]🎛️ Assumptions'!$D$38)+G75*'[1]🎛️ Assumptions'!$D$35,0)</f>
        <v>631</v>
      </c>
      <c r="H78" s="8">
        <f>ROUND(G78*(1-'[1]🎛️ Assumptions'!$D$38)+H75*'[1]🎛️ Assumptions'!$D$35,0)</f>
        <v>738</v>
      </c>
      <c r="I78" s="8">
        <f>ROUND(H78*(1-'[1]🎛️ Assumptions'!$D$38)+I75*'[1]🎛️ Assumptions'!$D$35,0)</f>
        <v>843</v>
      </c>
      <c r="J78" s="8">
        <f>ROUND(I78*(1-'[1]🎛️ Assumptions'!$D$38)+J75*'[1]🎛️ Assumptions'!$D$35,0)</f>
        <v>946</v>
      </c>
      <c r="K78" s="8">
        <f>ROUND(J78*(1-'[1]🎛️ Assumptions'!$D$38)+K75*'[1]🎛️ Assumptions'!$D$35,0)</f>
        <v>1047</v>
      </c>
      <c r="L78" s="8">
        <f>ROUND(K78*(1-'[1]🎛️ Assumptions'!$D$38)+L75*'[1]🎛️ Assumptions'!$D$35,0)</f>
        <v>1146</v>
      </c>
      <c r="M78" s="8">
        <f>ROUND(L78*(1-'[1]🎛️ Assumptions'!$D$38)+M75*'[1]🎛️ Assumptions'!$D$35,0)</f>
        <v>1243</v>
      </c>
      <c r="N78" s="8">
        <f>ROUND(M78*(1-'[1]🎛️ Assumptions'!$D$38)+N75*'[1]🎛️ Assumptions'!$D$35,0)</f>
        <v>1353</v>
      </c>
      <c r="O78" s="8">
        <f>ROUND(N78*(1-'[1]🎛️ Assumptions'!$D$38)+O75*'[1]🎛️ Assumptions'!$D$35,0)</f>
        <v>1461</v>
      </c>
      <c r="P78" s="8">
        <f>ROUND(O78*(1-'[1]🎛️ Assumptions'!$D$38)+P75*'[1]🎛️ Assumptions'!$D$35,0)</f>
        <v>1567</v>
      </c>
      <c r="Q78" s="8">
        <f>ROUND(P78*(1-'[1]🎛️ Assumptions'!$D$38)+Q75*'[1]🎛️ Assumptions'!$D$35,0)</f>
        <v>1671</v>
      </c>
      <c r="R78" s="8">
        <f>ROUND(Q78*(1-'[1]🎛️ Assumptions'!$D$38)+R75*'[1]🎛️ Assumptions'!$D$35,0)</f>
        <v>1773</v>
      </c>
      <c r="S78" s="8">
        <f>ROUND(R78*(1-'[1]🎛️ Assumptions'!$D$38)+S75*'[1]🎛️ Assumptions'!$D$35,0)</f>
        <v>1873</v>
      </c>
      <c r="T78" s="8">
        <f>ROUND(S78*(1-'[1]🎛️ Assumptions'!$D$38)+T75*'[1]🎛️ Assumptions'!$D$35,0)</f>
        <v>1971</v>
      </c>
      <c r="U78" s="8">
        <f>ROUND(T78*(1-'[1]🎛️ Assumptions'!$D$38)+U75*'[1]🎛️ Assumptions'!$D$35,0)</f>
        <v>2067</v>
      </c>
      <c r="V78" s="8">
        <f>ROUND(U78*(1-'[1]🎛️ Assumptions'!$D$38)+V75*'[1]🎛️ Assumptions'!$D$35,0)</f>
        <v>2161</v>
      </c>
      <c r="W78" s="8">
        <f>ROUND(V78*(1-'[1]🎛️ Assumptions'!$D$38)+W75*'[1]🎛️ Assumptions'!$D$35,0)</f>
        <v>2253</v>
      </c>
      <c r="X78" s="8">
        <f>ROUND(W78*(1-'[1]🎛️ Assumptions'!$D$38)+X75*'[1]🎛️ Assumptions'!$D$35,0)</f>
        <v>2343</v>
      </c>
      <c r="Y78" s="8">
        <f>ROUND(X78*(1-'[1]🎛️ Assumptions'!$D$38)+Y75*'[1]🎛️ Assumptions'!$D$35,0)</f>
        <v>2431</v>
      </c>
      <c r="Z78" s="8"/>
    </row>
    <row r="79" spans="1:26" hidden="1" outlineLevel="1" x14ac:dyDescent="0.2">
      <c r="A79" s="56" t="s">
        <v>91</v>
      </c>
      <c r="B79" s="8">
        <f t="shared" ref="B79:Y79" si="4">SUM(B76:B78)</f>
        <v>600</v>
      </c>
      <c r="C79" s="8">
        <f t="shared" si="4"/>
        <v>1771</v>
      </c>
      <c r="D79" s="8">
        <f t="shared" si="4"/>
        <v>2883</v>
      </c>
      <c r="E79" s="8">
        <f t="shared" si="4"/>
        <v>3941</v>
      </c>
      <c r="F79" s="8">
        <f t="shared" si="4"/>
        <v>4948</v>
      </c>
      <c r="G79" s="8">
        <f t="shared" si="4"/>
        <v>5905</v>
      </c>
      <c r="H79" s="8">
        <f t="shared" si="4"/>
        <v>6815</v>
      </c>
      <c r="I79" s="8">
        <f t="shared" si="4"/>
        <v>7680</v>
      </c>
      <c r="J79" s="8">
        <f t="shared" si="4"/>
        <v>8504</v>
      </c>
      <c r="K79" s="8">
        <f t="shared" si="4"/>
        <v>9288</v>
      </c>
      <c r="L79" s="8">
        <f t="shared" si="4"/>
        <v>10035</v>
      </c>
      <c r="M79" s="8">
        <f t="shared" si="4"/>
        <v>10745</v>
      </c>
      <c r="N79" s="8">
        <f t="shared" si="4"/>
        <v>11572</v>
      </c>
      <c r="O79" s="8">
        <f t="shared" si="4"/>
        <v>12358</v>
      </c>
      <c r="P79" s="8">
        <f t="shared" si="4"/>
        <v>13107</v>
      </c>
      <c r="Q79" s="8">
        <f t="shared" si="4"/>
        <v>13820</v>
      </c>
      <c r="R79" s="8">
        <f t="shared" si="4"/>
        <v>14500</v>
      </c>
      <c r="S79" s="8">
        <f t="shared" si="4"/>
        <v>15148</v>
      </c>
      <c r="T79" s="8">
        <f t="shared" si="4"/>
        <v>15765</v>
      </c>
      <c r="U79" s="8">
        <f t="shared" si="4"/>
        <v>16353</v>
      </c>
      <c r="V79" s="8">
        <f t="shared" si="4"/>
        <v>16913</v>
      </c>
      <c r="W79" s="8">
        <f t="shared" si="4"/>
        <v>17447</v>
      </c>
      <c r="X79" s="8">
        <f t="shared" si="4"/>
        <v>17955</v>
      </c>
      <c r="Y79" s="8">
        <f t="shared" si="4"/>
        <v>18439</v>
      </c>
      <c r="Z79" s="8"/>
    </row>
    <row r="80" spans="1:26" hidden="1" outlineLevel="1" x14ac:dyDescent="0.2">
      <c r="A80" s="56" t="s">
        <v>92</v>
      </c>
      <c r="B80" s="8">
        <f>B76*('[1]🎛️ Assumptions'!$D$5+'[1]🎛️ Assumptions'!$D$8)+B77*'[1]🎛️ Assumptions'!$D$6+B78*'[1]🎛️ Assumptions'!$D$7</f>
        <v>33560</v>
      </c>
      <c r="C80" s="8">
        <f>C76*('[1]🎛️ Assumptions'!$D$5+'[1]🎛️ Assumptions'!$D$8)+C77*'[1]🎛️ Assumptions'!$D$6+C78*'[1]🎛️ Assumptions'!$D$7</f>
        <v>99098.900000000009</v>
      </c>
      <c r="D80" s="8">
        <f>D76*('[1]🎛️ Assumptions'!$D$5+'[1]🎛️ Assumptions'!$D$8)+D77*'[1]🎛️ Assumptions'!$D$6+D78*'[1]🎛️ Assumptions'!$D$7</f>
        <v>161382.69999999998</v>
      </c>
      <c r="E80" s="8">
        <f>E76*('[1]🎛️ Assumptions'!$D$5+'[1]🎛️ Assumptions'!$D$8)+E77*'[1]🎛️ Assumptions'!$D$6+E78*'[1]🎛️ Assumptions'!$D$7</f>
        <v>220716.9</v>
      </c>
      <c r="F80" s="8">
        <f>F76*('[1]🎛️ Assumptions'!$D$5+'[1]🎛️ Assumptions'!$D$8)+F77*'[1]🎛️ Assumptions'!$D$6+F78*'[1]🎛️ Assumptions'!$D$7</f>
        <v>277264.2</v>
      </c>
      <c r="G80" s="8">
        <f>G76*('[1]🎛️ Assumptions'!$D$5+'[1]🎛️ Assumptions'!$D$8)+G77*'[1]🎛️ Assumptions'!$D$6+G78*'[1]🎛️ Assumptions'!$D$7</f>
        <v>331074.5</v>
      </c>
      <c r="H80" s="8">
        <f>H76*('[1]🎛️ Assumptions'!$D$5+'[1]🎛️ Assumptions'!$D$8)+H77*'[1]🎛️ Assumptions'!$D$6+H78*'[1]🎛️ Assumptions'!$D$7</f>
        <v>382280.5</v>
      </c>
      <c r="I80" s="8">
        <f>I76*('[1]🎛️ Assumptions'!$D$5+'[1]🎛️ Assumptions'!$D$8)+I77*'[1]🎛️ Assumptions'!$D$6+I78*'[1]🎛️ Assumptions'!$D$7</f>
        <v>431025</v>
      </c>
      <c r="J80" s="8">
        <f>J76*('[1]🎛️ Assumptions'!$D$5+'[1]🎛️ Assumptions'!$D$8)+J77*'[1]🎛️ Assumptions'!$D$6+J78*'[1]🎛️ Assumptions'!$D$7</f>
        <v>477520.6</v>
      </c>
      <c r="K80" s="8">
        <f>K76*('[1]🎛️ Assumptions'!$D$5+'[1]🎛️ Assumptions'!$D$8)+K77*'[1]🎛️ Assumptions'!$D$6+K78*'[1]🎛️ Assumptions'!$D$7</f>
        <v>521830.2</v>
      </c>
      <c r="L80" s="8">
        <f>L76*('[1]🎛️ Assumptions'!$D$5+'[1]🎛️ Assumptions'!$D$8)+L77*'[1]🎛️ Assumptions'!$D$6+L78*'[1]🎛️ Assumptions'!$D$7</f>
        <v>564103.5</v>
      </c>
      <c r="M80" s="8">
        <f>M76*('[1]🎛️ Assumptions'!$D$5+'[1]🎛️ Assumptions'!$D$8)+M77*'[1]🎛️ Assumptions'!$D$6+M78*'[1]🎛️ Assumptions'!$D$7</f>
        <v>604340.5</v>
      </c>
      <c r="N80" s="8">
        <f>N76*('[1]🎛️ Assumptions'!$D$5+'[1]🎛️ Assumptions'!$D$8)+N77*'[1]🎛️ Assumptions'!$D$6+N78*'[1]🎛️ Assumptions'!$D$7</f>
        <v>651156.80000000005</v>
      </c>
      <c r="O80" s="8">
        <f>O76*('[1]🎛️ Assumptions'!$D$5+'[1]🎛️ Assumptions'!$D$8)+O77*'[1]🎛️ Assumptions'!$D$6+O78*'[1]🎛️ Assumptions'!$D$7</f>
        <v>695724.20000000007</v>
      </c>
      <c r="P80" s="8">
        <f>P76*('[1]🎛️ Assumptions'!$D$5+'[1]🎛️ Assumptions'!$D$8)+P77*'[1]🎛️ Assumptions'!$D$6+P78*'[1]🎛️ Assumptions'!$D$7</f>
        <v>738255.3</v>
      </c>
      <c r="Q80" s="8">
        <f>Q76*('[1]🎛️ Assumptions'!$D$5+'[1]🎛️ Assumptions'!$D$8)+Q77*'[1]🎛️ Assumptions'!$D$6+Q78*'[1]🎛️ Assumptions'!$D$7</f>
        <v>778813</v>
      </c>
      <c r="R80" s="8">
        <f>R76*('[1]🎛️ Assumptions'!$D$5+'[1]🎛️ Assumptions'!$D$8)+R77*'[1]🎛️ Assumptions'!$D$6+R78*'[1]🎛️ Assumptions'!$D$7</f>
        <v>817560</v>
      </c>
      <c r="S80" s="8">
        <f>S76*('[1]🎛️ Assumptions'!$D$5+'[1]🎛️ Assumptions'!$D$8)+S77*'[1]🎛️ Assumptions'!$D$6+S78*'[1]🎛️ Assumptions'!$D$7</f>
        <v>854546.2</v>
      </c>
      <c r="T80" s="8">
        <f>T76*('[1]🎛️ Assumptions'!$D$5+'[1]🎛️ Assumptions'!$D$8)+T77*'[1]🎛️ Assumptions'!$D$6+T78*'[1]🎛️ Assumptions'!$D$7</f>
        <v>889821.5</v>
      </c>
      <c r="U80" s="8">
        <f>U76*('[1]🎛️ Assumptions'!$D$5+'[1]🎛️ Assumptions'!$D$8)+U77*'[1]🎛️ Assumptions'!$D$6+U78*'[1]🎛️ Assumptions'!$D$7</f>
        <v>923498.7</v>
      </c>
      <c r="V80" s="8">
        <f>V76*('[1]🎛️ Assumptions'!$D$5+'[1]🎛️ Assumptions'!$D$8)+V77*'[1]🎛️ Assumptions'!$D$6+V78*'[1]🎛️ Assumptions'!$D$7</f>
        <v>955627.7</v>
      </c>
      <c r="W80" s="8">
        <f>W76*('[1]🎛️ Assumptions'!$D$5+'[1]🎛️ Assumptions'!$D$8)+W77*'[1]🎛️ Assumptions'!$D$6+W78*'[1]🎛️ Assumptions'!$D$7</f>
        <v>986321.29999999981</v>
      </c>
      <c r="X80" s="8">
        <f>X76*('[1]🎛️ Assumptions'!$D$5+'[1]🎛️ Assumptions'!$D$8)+X77*'[1]🎛️ Assumptions'!$D$6+X78*'[1]🎛️ Assumptions'!$D$7</f>
        <v>1015579.5</v>
      </c>
      <c r="Y80" s="8">
        <f>Y76*('[1]🎛️ Assumptions'!$D$5+'[1]🎛️ Assumptions'!$D$8)+Y77*'[1]🎛️ Assumptions'!$D$6+Y78*'[1]🎛️ Assumptions'!$D$7</f>
        <v>1043502.1</v>
      </c>
      <c r="Z80" s="8"/>
    </row>
    <row r="81" spans="1:26" hidden="1" outlineLevel="1" x14ac:dyDescent="0.2">
      <c r="A81" s="56" t="s">
        <v>93</v>
      </c>
      <c r="B81" s="8">
        <f>B75*('[1]🎛️ Assumptions'!$D$17*('[1]🎛️ Assumptions'!$D$18*('[1]🎛️ Assumptions'!$G$10/1000000)+'[1]🎛️ Assumptions'!$D$19*('[1]🎛️ Assumptions'!$G$13/1000000))*(1-'[1]🎛️ Assumptions'!$D$15)*'[1]🎛️ Assumptions'!$D$10*'[1]🎛️ Assumptions'!$D$20)+B76*('[1]🎛️ Assumptions'!$D$21*('[1]🎛️ Assumptions'!$D$22*('[1]🎛️ Assumptions'!$D$13/1000000)+'[1]🎛️ Assumptions'!$D$23*('[1]🎛️ Assumptions'!$D$14/1000000))*(1-'[1]🎛️ Assumptions'!$D$15)*'[1]🎛️ Assumptions'!$D$10)+B77*(('[1]🎛️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Assumptions'!$D$10))+B78*(('[1]🎛️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6145.9860000000017</v>
      </c>
      <c r="C81" s="8">
        <f>C75*('[1]🎛️ Assumptions'!$D$17*('[1]🎛️ Assumptions'!$D$18*('[1]🎛️ Assumptions'!$G$10/1000000)+'[1]🎛️ Assumptions'!$D$19*('[1]🎛️ Assumptions'!$G$13/1000000))*(1-'[1]🎛️ Assumptions'!$D$15)*'[1]🎛️ Assumptions'!$D$10*'[1]🎛️ Assumptions'!$D$20)+C76*('[1]🎛️ Assumptions'!$D$21*('[1]🎛️ Assumptions'!$D$22*('[1]🎛️ Assumptions'!$D$13/1000000)+'[1]🎛️ Assumptions'!$D$23*('[1]🎛️ Assumptions'!$D$14/1000000))*(1-'[1]🎛️ Assumptions'!$D$15)*'[1]🎛️ Assumptions'!$D$10)+C77*(('[1]🎛️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Assumptions'!$D$10))+C78*(('[1]🎛️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18151.839090000001</v>
      </c>
      <c r="D81" s="8">
        <f>D75*('[1]🎛️ Assumptions'!$D$17*('[1]🎛️ Assumptions'!$D$18*('[1]🎛️ Assumptions'!$G$10/1000000)+'[1]🎛️ Assumptions'!$D$19*('[1]🎛️ Assumptions'!$G$13/1000000))*(1-'[1]🎛️ Assumptions'!$D$15)*'[1]🎛️ Assumptions'!$D$10*'[1]🎛️ Assumptions'!$D$20)+D76*('[1]🎛️ Assumptions'!$D$21*('[1]🎛️ Assumptions'!$D$22*('[1]🎛️ Assumptions'!$D$13/1000000)+'[1]🎛️ Assumptions'!$D$23*('[1]🎛️ Assumptions'!$D$14/1000000))*(1-'[1]🎛️ Assumptions'!$D$15)*'[1]🎛️ Assumptions'!$D$10)+D77*(('[1]🎛️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Assumptions'!$D$10))+D78*(('[1]🎛️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29564.029110000007</v>
      </c>
      <c r="E81" s="8">
        <f>E75*('[1]🎛️ Assumptions'!$D$17*('[1]🎛️ Assumptions'!$D$18*('[1]🎛️ Assumptions'!$G$10/1000000)+'[1]🎛️ Assumptions'!$D$19*('[1]🎛️ Assumptions'!$G$13/1000000))*(1-'[1]🎛️ Assumptions'!$D$15)*'[1]🎛️ Assumptions'!$D$10*'[1]🎛️ Assumptions'!$D$20)+E76*('[1]🎛️ Assumptions'!$D$21*('[1]🎛️ Assumptions'!$D$22*('[1]🎛️ Assumptions'!$D$13/1000000)+'[1]🎛️ Assumptions'!$D$23*('[1]🎛️ Assumptions'!$D$14/1000000))*(1-'[1]🎛️ Assumptions'!$D$15)*'[1]🎛️ Assumptions'!$D$10)+E77*(('[1]🎛️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Assumptions'!$D$10))+E78*(('[1]🎛️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40441.79469000001</v>
      </c>
      <c r="F81" s="8">
        <f>F75*('[1]🎛️ Assumptions'!$D$17*('[1]🎛️ Assumptions'!$D$18*('[1]🎛️ Assumptions'!$G$10/1000000)+'[1]🎛️ Assumptions'!$D$19*('[1]🎛️ Assumptions'!$G$13/1000000))*(1-'[1]🎛️ Assumptions'!$D$15)*'[1]🎛️ Assumptions'!$D$10*'[1]🎛️ Assumptions'!$D$20)+F76*('[1]🎛️ Assumptions'!$D$21*('[1]🎛️ Assumptions'!$D$22*('[1]🎛️ Assumptions'!$D$13/1000000)+'[1]🎛️ Assumptions'!$D$23*('[1]🎛️ Assumptions'!$D$14/1000000))*(1-'[1]🎛️ Assumptions'!$D$15)*'[1]🎛️ Assumptions'!$D$10)+F77*(('[1]🎛️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Assumptions'!$D$10))+F78*(('[1]🎛️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50814.606480000002</v>
      </c>
      <c r="G81" s="8">
        <f>G75*('[1]🎛️ Assumptions'!$D$17*('[1]🎛️ Assumptions'!$D$18*('[1]🎛️ Assumptions'!$G$10/1000000)+'[1]🎛️ Assumptions'!$D$19*('[1]🎛️ Assumptions'!$G$13/1000000))*(1-'[1]🎛️ Assumptions'!$D$15)*'[1]🎛️ Assumptions'!$D$10*'[1]🎛️ Assumptions'!$D$20)+G76*('[1]🎛️ Assumptions'!$D$21*('[1]🎛️ Assumptions'!$D$22*('[1]🎛️ Assumptions'!$D$13/1000000)+'[1]🎛️ Assumptions'!$D$23*('[1]🎛️ Assumptions'!$D$14/1000000))*(1-'[1]🎛️ Assumptions'!$D$15)*'[1]🎛️ Assumptions'!$D$10)+G77*(('[1]🎛️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Assumptions'!$D$10))+G78*(('[1]🎛️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60690.807210000014</v>
      </c>
      <c r="H81" s="8">
        <f>H75*('[1]🎛️ Assumptions'!$D$17*('[1]🎛️ Assumptions'!$D$18*('[1]🎛️ Assumptions'!$G$10/1000000)+'[1]🎛️ Assumptions'!$D$19*('[1]🎛️ Assumptions'!$G$13/1000000))*(1-'[1]🎛️ Assumptions'!$D$15)*'[1]🎛️ Assumptions'!$D$10*'[1]🎛️ Assumptions'!$D$20)+H76*('[1]🎛️ Assumptions'!$D$21*('[1]🎛️ Assumptions'!$D$22*('[1]🎛️ Assumptions'!$D$13/1000000)+'[1]🎛️ Assumptions'!$D$23*('[1]🎛️ Assumptions'!$D$14/1000000))*(1-'[1]🎛️ Assumptions'!$D$15)*'[1]🎛️ Assumptions'!$D$10)+H77*(('[1]🎛️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Assumptions'!$D$10))+H78*(('[1]🎛️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70091.227470000013</v>
      </c>
      <c r="I81" s="8">
        <f>I75*('[1]🎛️ Assumptions'!$D$17*('[1]🎛️ Assumptions'!$D$18*('[1]🎛️ Assumptions'!$G$10/1000000)+'[1]🎛️ Assumptions'!$D$19*('[1]🎛️ Assumptions'!$G$13/1000000))*(1-'[1]🎛️ Assumptions'!$D$15)*'[1]🎛️ Assumptions'!$D$10*'[1]🎛️ Assumptions'!$D$20)+I76*('[1]🎛️ Assumptions'!$D$21*('[1]🎛️ Assumptions'!$D$22*('[1]🎛️ Assumptions'!$D$13/1000000)+'[1]🎛️ Assumptions'!$D$23*('[1]🎛️ Assumptions'!$D$14/1000000))*(1-'[1]🎛️ Assumptions'!$D$15)*'[1]🎛️ Assumptions'!$D$10)+I77*(('[1]🎛️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Assumptions'!$D$10))+I78*(('[1]🎛️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79045.635240000003</v>
      </c>
      <c r="J81" s="8">
        <f>J75*('[1]🎛️ Assumptions'!$D$17*('[1]🎛️ Assumptions'!$D$18*('[1]🎛️ Assumptions'!$G$10/1000000)+'[1]🎛️ Assumptions'!$D$19*('[1]🎛️ Assumptions'!$G$13/1000000))*(1-'[1]🎛️ Assumptions'!$D$15)*'[1]🎛️ Assumptions'!$D$10*'[1]🎛️ Assumptions'!$D$20)+J76*('[1]🎛️ Assumptions'!$D$21*('[1]🎛️ Assumptions'!$D$22*('[1]🎛️ Assumptions'!$D$13/1000000)+'[1]🎛️ Assumptions'!$D$23*('[1]🎛️ Assumptions'!$D$14/1000000))*(1-'[1]🎛️ Assumptions'!$D$15)*'[1]🎛️ Assumptions'!$D$10)+J77*(('[1]🎛️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Assumptions'!$D$10))+J78*(('[1]🎛️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87591.843900000007</v>
      </c>
      <c r="K81" s="8">
        <f>K75*('[1]🎛️ Assumptions'!$D$17*('[1]🎛️ Assumptions'!$D$18*('[1]🎛️ Assumptions'!$G$10/1000000)+'[1]🎛️ Assumptions'!$D$19*('[1]🎛️ Assumptions'!$G$13/1000000))*(1-'[1]🎛️ Assumptions'!$D$15)*'[1]🎛️ Assumptions'!$D$10*'[1]🎛️ Assumptions'!$D$20)+K76*('[1]🎛️ Assumptions'!$D$21*('[1]🎛️ Assumptions'!$D$22*('[1]🎛️ Assumptions'!$D$13/1000000)+'[1]🎛️ Assumptions'!$D$23*('[1]🎛️ Assumptions'!$D$14/1000000))*(1-'[1]🎛️ Assumptions'!$D$15)*'[1]🎛️ Assumptions'!$D$10)+K77*(('[1]🎛️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Assumptions'!$D$10))+K78*(('[1]🎛️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95742.638640000019</v>
      </c>
      <c r="L81" s="8">
        <f>L75*('[1]🎛️ Assumptions'!$D$17*('[1]🎛️ Assumptions'!$D$18*('[1]🎛️ Assumptions'!$G$10/1000000)+'[1]🎛️ Assumptions'!$D$19*('[1]🎛️ Assumptions'!$G$13/1000000))*(1-'[1]🎛️ Assumptions'!$D$15)*'[1]🎛️ Assumptions'!$D$10*'[1]🎛️ Assumptions'!$D$20)+L76*('[1]🎛️ Assumptions'!$D$21*('[1]🎛️ Assumptions'!$D$22*('[1]🎛️ Assumptions'!$D$13/1000000)+'[1]🎛️ Assumptions'!$D$23*('[1]🎛️ Assumptions'!$D$14/1000000))*(1-'[1]🎛️ Assumptions'!$D$15)*'[1]🎛️ Assumptions'!$D$10)+L77*(('[1]🎛️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Assumptions'!$D$10))+L78*(('[1]🎛️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103523.04765000001</v>
      </c>
      <c r="M81" s="8">
        <f>M75*('[1]🎛️ Assumptions'!$D$17*('[1]🎛️ Assumptions'!$D$18*('[1]🎛️ Assumptions'!$G$10/1000000)+'[1]🎛️ Assumptions'!$D$19*('[1]🎛️ Assumptions'!$G$13/1000000))*(1-'[1]🎛️ Assumptions'!$D$15)*'[1]🎛️ Assumptions'!$D$10*'[1]🎛️ Assumptions'!$D$20)+M76*('[1]🎛️ Assumptions'!$D$21*('[1]🎛️ Assumptions'!$D$22*('[1]🎛️ Assumptions'!$D$13/1000000)+'[1]🎛️ Assumptions'!$D$23*('[1]🎛️ Assumptions'!$D$14/1000000))*(1-'[1]🎛️ Assumptions'!$D$15)*'[1]🎛️ Assumptions'!$D$10)+M77*(('[1]🎛️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Assumptions'!$D$10))+M78*(('[1]🎛️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110933.07093</v>
      </c>
      <c r="N81" s="8">
        <f>N75*('[1]🎛️ Assumptions'!$D$17*('[1]🎛️ Assumptions'!$D$18*('[1]🎛️ Assumptions'!$G$10/1000000)+'[1]🎛️ Assumptions'!$D$19*('[1]🎛️ Assumptions'!$G$13/1000000))*(1-'[1]🎛️ Assumptions'!$D$15)*'[1]🎛️ Assumptions'!$D$10*'[1]🎛️ Assumptions'!$D$20)+N76*('[1]🎛️ Assumptions'!$D$21*('[1]🎛️ Assumptions'!$D$22*('[1]🎛️ Assumptions'!$D$13/1000000)+'[1]🎛️ Assumptions'!$D$23*('[1]🎛️ Assumptions'!$D$14/1000000))*(1-'[1]🎛️ Assumptions'!$D$15)*'[1]🎛️ Assumptions'!$D$10)+N77*(('[1]🎛️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Assumptions'!$D$10))+N78*(('[1]🎛️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119551.46082000001</v>
      </c>
      <c r="O81" s="8">
        <f>O75*('[1]🎛️ Assumptions'!$D$17*('[1]🎛️ Assumptions'!$D$18*('[1]🎛️ Assumptions'!$G$10/1000000)+'[1]🎛️ Assumptions'!$D$19*('[1]🎛️ Assumptions'!$G$13/1000000))*(1-'[1]🎛️ Assumptions'!$D$15)*'[1]🎛️ Assumptions'!$D$10*'[1]🎛️ Assumptions'!$D$20)+O76*('[1]🎛️ Assumptions'!$D$21*('[1]🎛️ Assumptions'!$D$22*('[1]🎛️ Assumptions'!$D$13/1000000)+'[1]🎛️ Assumptions'!$D$23*('[1]🎛️ Assumptions'!$D$14/1000000))*(1-'[1]🎛️ Assumptions'!$D$15)*'[1]🎛️ Assumptions'!$D$10)+O77*(('[1]🎛️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Assumptions'!$D$10))+O78*(('[1]🎛️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127761.65160000003</v>
      </c>
      <c r="P81" s="8">
        <f>P75*('[1]🎛️ Assumptions'!$D$17*('[1]🎛️ Assumptions'!$D$18*('[1]🎛️ Assumptions'!$G$10/1000000)+'[1]🎛️ Assumptions'!$D$19*('[1]🎛️ Assumptions'!$G$13/1000000))*(1-'[1]🎛️ Assumptions'!$D$15)*'[1]🎛️ Assumptions'!$D$10*'[1]🎛️ Assumptions'!$D$20)+P76*('[1]🎛️ Assumptions'!$D$21*('[1]🎛️ Assumptions'!$D$22*('[1]🎛️ Assumptions'!$D$13/1000000)+'[1]🎛️ Assumptions'!$D$23*('[1]🎛️ Assumptions'!$D$14/1000000))*(1-'[1]🎛️ Assumptions'!$D$15)*'[1]🎛️ Assumptions'!$D$10)+P77*(('[1]🎛️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Assumptions'!$D$10))+P78*(('[1]🎛️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135601.45665000001</v>
      </c>
      <c r="Q81" s="8">
        <f>Q75*('[1]🎛️ Assumptions'!$D$17*('[1]🎛️ Assumptions'!$D$18*('[1]🎛️ Assumptions'!$G$10/1000000)+'[1]🎛️ Assumptions'!$D$19*('[1]🎛️ Assumptions'!$G$13/1000000))*(1-'[1]🎛️ Assumptions'!$D$15)*'[1]🎛️ Assumptions'!$D$10*'[1]🎛️ Assumptions'!$D$20)+Q76*('[1]🎛️ Assumptions'!$D$21*('[1]🎛️ Assumptions'!$D$22*('[1]🎛️ Assumptions'!$D$13/1000000)+'[1]🎛️ Assumptions'!$D$23*('[1]🎛️ Assumptions'!$D$14/1000000))*(1-'[1]🎛️ Assumptions'!$D$15)*'[1]🎛️ Assumptions'!$D$10)+Q77*(('[1]🎛️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Assumptions'!$D$10))+Q78*(('[1]🎛️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143083.66116000002</v>
      </c>
      <c r="R81" s="8">
        <f>R75*('[1]🎛️ Assumptions'!$D$17*('[1]🎛️ Assumptions'!$D$18*('[1]🎛️ Assumptions'!$G$10/1000000)+'[1]🎛️ Assumptions'!$D$19*('[1]🎛️ Assumptions'!$G$13/1000000))*(1-'[1]🎛️ Assumptions'!$D$15)*'[1]🎛️ Assumptions'!$D$10*'[1]🎛️ Assumptions'!$D$20)+R76*('[1]🎛️ Assumptions'!$D$21*('[1]🎛️ Assumptions'!$D$22*('[1]🎛️ Assumptions'!$D$13/1000000)+'[1]🎛️ Assumptions'!$D$23*('[1]🎛️ Assumptions'!$D$14/1000000))*(1-'[1]🎛️ Assumptions'!$D$15)*'[1]🎛️ Assumptions'!$D$10)+R77*(('[1]🎛️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Assumptions'!$D$10))+R78*(('[1]🎛️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150237.73578000002</v>
      </c>
      <c r="S81" s="8">
        <f>S75*('[1]🎛️ Assumptions'!$D$17*('[1]🎛️ Assumptions'!$D$18*('[1]🎛️ Assumptions'!$G$10/1000000)+'[1]🎛️ Assumptions'!$D$19*('[1]🎛️ Assumptions'!$G$13/1000000))*(1-'[1]🎛️ Assumptions'!$D$15)*'[1]🎛️ Assumptions'!$D$10*'[1]🎛️ Assumptions'!$D$20)+S76*('[1]🎛️ Assumptions'!$D$21*('[1]🎛️ Assumptions'!$D$22*('[1]🎛️ Assumptions'!$D$13/1000000)+'[1]🎛️ Assumptions'!$D$23*('[1]🎛️ Assumptions'!$D$14/1000000))*(1-'[1]🎛️ Assumptions'!$D$15)*'[1]🎛️ Assumptions'!$D$10)+S77*(('[1]🎛️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Assumptions'!$D$10))+S78*(('[1]🎛️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157072.02324000001</v>
      </c>
      <c r="T81" s="8">
        <f>T75*('[1]🎛️ Assumptions'!$D$17*('[1]🎛️ Assumptions'!$D$18*('[1]🎛️ Assumptions'!$G$10/1000000)+'[1]🎛️ Assumptions'!$D$19*('[1]🎛️ Assumptions'!$G$13/1000000))*(1-'[1]🎛️ Assumptions'!$D$15)*'[1]🎛️ Assumptions'!$D$10*'[1]🎛️ Assumptions'!$D$20)+T76*('[1]🎛️ Assumptions'!$D$21*('[1]🎛️ Assumptions'!$D$22*('[1]🎛️ Assumptions'!$D$13/1000000)+'[1]🎛️ Assumptions'!$D$23*('[1]🎛️ Assumptions'!$D$14/1000000))*(1-'[1]🎛️ Assumptions'!$D$15)*'[1]🎛️ Assumptions'!$D$10)+T77*(('[1]🎛️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Assumptions'!$D$10))+T78*(('[1]🎛️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163594.86627</v>
      </c>
      <c r="U81" s="8">
        <f>U75*('[1]🎛️ Assumptions'!$D$17*('[1]🎛️ Assumptions'!$D$18*('[1]🎛️ Assumptions'!$G$10/1000000)+'[1]🎛️ Assumptions'!$D$19*('[1]🎛️ Assumptions'!$G$13/1000000))*(1-'[1]🎛️ Assumptions'!$D$15)*'[1]🎛️ Assumptions'!$D$10*'[1]🎛️ Assumptions'!$D$20)+U76*('[1]🎛️ Assumptions'!$D$21*('[1]🎛️ Assumptions'!$D$22*('[1]🎛️ Assumptions'!$D$13/1000000)+'[1]🎛️ Assumptions'!$D$23*('[1]🎛️ Assumptions'!$D$14/1000000))*(1-'[1]🎛️ Assumptions'!$D$15)*'[1]🎛️ Assumptions'!$D$10)+U77*(('[1]🎛️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Assumptions'!$D$10))+U78*(('[1]🎛️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169827.39279000001</v>
      </c>
      <c r="V81" s="8">
        <f>V75*('[1]🎛️ Assumptions'!$D$17*('[1]🎛️ Assumptions'!$D$18*('[1]🎛️ Assumptions'!$G$10/1000000)+'[1]🎛️ Assumptions'!$D$19*('[1]🎛️ Assumptions'!$G$13/1000000))*(1-'[1]🎛️ Assumptions'!$D$15)*'[1]🎛️ Assumptions'!$D$10*'[1]🎛️ Assumptions'!$D$20)+V76*('[1]🎛️ Assumptions'!$D$21*('[1]🎛️ Assumptions'!$D$22*('[1]🎛️ Assumptions'!$D$13/1000000)+'[1]🎛️ Assumptions'!$D$23*('[1]🎛️ Assumptions'!$D$14/1000000))*(1-'[1]🎛️ Assumptions'!$D$15)*'[1]🎛️ Assumptions'!$D$10)+V77*(('[1]🎛️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Assumptions'!$D$10))+V78*(('[1]🎛️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175777.94553000003</v>
      </c>
      <c r="W81" s="8">
        <f>W75*('[1]🎛️ Assumptions'!$D$17*('[1]🎛️ Assumptions'!$D$18*('[1]🎛️ Assumptions'!$G$10/1000000)+'[1]🎛️ Assumptions'!$D$19*('[1]🎛️ Assumptions'!$G$13/1000000))*(1-'[1]🎛️ Assumptions'!$D$15)*'[1]🎛️ Assumptions'!$D$10*'[1]🎛️ Assumptions'!$D$20)+W76*('[1]🎛️ Assumptions'!$D$21*('[1]🎛️ Assumptions'!$D$22*('[1]🎛️ Assumptions'!$D$13/1000000)+'[1]🎛️ Assumptions'!$D$23*('[1]🎛️ Assumptions'!$D$14/1000000))*(1-'[1]🎛️ Assumptions'!$D$15)*'[1]🎛️ Assumptions'!$D$10)+W77*(('[1]🎛️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Assumptions'!$D$10))+W78*(('[1]🎛️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181467.65241000001</v>
      </c>
      <c r="X81" s="8">
        <f>X75*('[1]🎛️ Assumptions'!$D$17*('[1]🎛️ Assumptions'!$D$18*('[1]🎛️ Assumptions'!$G$10/1000000)+'[1]🎛️ Assumptions'!$D$19*('[1]🎛️ Assumptions'!$G$13/1000000))*(1-'[1]🎛️ Assumptions'!$D$15)*'[1]🎛️ Assumptions'!$D$10*'[1]🎛️ Assumptions'!$D$20)+X76*('[1]🎛️ Assumptions'!$D$21*('[1]🎛️ Assumptions'!$D$22*('[1]🎛️ Assumptions'!$D$13/1000000)+'[1]🎛️ Assumptions'!$D$23*('[1]🎛️ Assumptions'!$D$14/1000000))*(1-'[1]🎛️ Assumptions'!$D$15)*'[1]🎛️ Assumptions'!$D$10)+X77*(('[1]🎛️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Assumptions'!$D$10))+X78*(('[1]🎛️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186896.51343000002</v>
      </c>
      <c r="Y81" s="8">
        <f>Y75*('[1]🎛️ Assumptions'!$D$17*('[1]🎛️ Assumptions'!$D$18*('[1]🎛️ Assumptions'!$G$10/1000000)+'[1]🎛️ Assumptions'!$D$19*('[1]🎛️ Assumptions'!$G$13/1000000))*(1-'[1]🎛️ Assumptions'!$D$15)*'[1]🎛️ Assumptions'!$D$10*'[1]🎛️ Assumptions'!$D$20)+Y76*('[1]🎛️ Assumptions'!$D$21*('[1]🎛️ Assumptions'!$D$22*('[1]🎛️ Assumptions'!$D$13/1000000)+'[1]🎛️ Assumptions'!$D$23*('[1]🎛️ Assumptions'!$D$14/1000000))*(1-'[1]🎛️ Assumptions'!$D$15)*'[1]🎛️ Assumptions'!$D$10)+Y77*(('[1]🎛️ Assumptions'!$D$24*('[1]🎛️ Assumptions'!$D$22*('[1]🎛️ Assumptions'!$D$13/1000000)+'[1]🎛️ Assumptions'!$D$23*('[1]🎛️ Assumptions'!$D$14/1000000))*(1-'[1]🎛️ Assumptions'!$D$15)*'[1]🎛️ Assumptions'!$D$10)+('[1]🎛️ Assumptions'!$D$25*('[1]🎛️ Assumptions'!$D$26*('[1]🎛️ Assumptions'!$D$13/1000000)+'[1]🎛️ Assumptions'!$D$27*('[1]🎛️ Assumptions'!$D$14/1000000))*(1-'[1]🎛️ Assumptions'!$D$15)*'[1]🎛️ Assumptions'!$D$10))+Y78*(('[1]🎛️ Assumptions'!$D$28*('[1]🎛️ Assumptions'!$D$22*('[1]🎛️ Assumptions'!$D$13/1000000)+'[1]🎛️ Assumptions'!$D$23*('[1]🎛️ Assumptions'!$D$14/1000000))*(1-'[1]🎛️ Assumptions'!$D$15)*'[1]🎛️ Assumptions'!$D$10)+('[1]🎛️ Assumptions'!$D$29*('[1]🎛️ Assumptions'!$D$26*('[1]🎛️ Assumptions'!$D$13/1000000)+'[1]🎛️ Assumptions'!$D$27*('[1]🎛️ Assumptions'!$D$14/1000000))*(1-'[1]🎛️ Assumptions'!$D$15)*'[1]🎛️ Assumptions'!$D$10))</f>
        <v>192081.21405000001</v>
      </c>
      <c r="Z81" s="8"/>
    </row>
    <row r="82" spans="1:26" hidden="1" outlineLevel="1" x14ac:dyDescent="0.2">
      <c r="A82" s="56" t="s">
        <v>94</v>
      </c>
      <c r="B82" s="8">
        <f>'[1]🎛️ Assumptions'!$D$40+'[1]🎛️ Assumptions'!$D$42+'[1]🎛️ Assumptions'!$D$44+'[1]🎛️ Assumptions'!$D$46</f>
        <v>74000</v>
      </c>
      <c r="C82" s="8">
        <f>'[1]🎛️ Assumptions'!$D$40+'[1]🎛️ Assumptions'!$D$42+'[1]🎛️ Assumptions'!$D$44+'[1]🎛️ Assumptions'!$D$46</f>
        <v>74000</v>
      </c>
      <c r="D82" s="8">
        <f>'[1]🎛️ Assumptions'!$D$40+'[1]🎛️ Assumptions'!$D$42+'[1]🎛️ Assumptions'!$D$44+'[1]🎛️ Assumptions'!$D$46</f>
        <v>74000</v>
      </c>
      <c r="E82" s="8">
        <f>'[1]🎛️ Assumptions'!$D$40+'[1]🎛️ Assumptions'!$D$42+'[1]🎛️ Assumptions'!$D$44+'[1]🎛️ Assumptions'!$D$46</f>
        <v>74000</v>
      </c>
      <c r="F82" s="8">
        <f>'[1]🎛️ Assumptions'!$D$40+'[1]🎛️ Assumptions'!$D$42+'[1]🎛️ Assumptions'!$D$44+'[1]🎛️ Assumptions'!$D$46</f>
        <v>74000</v>
      </c>
      <c r="G82" s="8">
        <f>'[1]🎛️ Assumptions'!$D$40+'[1]🎛️ Assumptions'!$D$42+'[1]🎛️ Assumptions'!$D$44+'[1]🎛️ Assumptions'!$D$46</f>
        <v>74000</v>
      </c>
      <c r="H82" s="8">
        <f>'[1]🎛️ Assumptions'!$D$40+'[1]🎛️ Assumptions'!$D$42+'[1]🎛️ Assumptions'!$D$44+'[1]🎛️ Assumptions'!$D$46</f>
        <v>74000</v>
      </c>
      <c r="I82" s="8">
        <f>'[1]🎛️ Assumptions'!$D$40+'[1]🎛️ Assumptions'!$D$42+'[1]🎛️ Assumptions'!$D$44+'[1]🎛️ Assumptions'!$D$46</f>
        <v>74000</v>
      </c>
      <c r="J82" s="8">
        <f>'[1]🎛️ Assumptions'!$D$40+'[1]🎛️ Assumptions'!$D$42+'[1]🎛️ Assumptions'!$D$44+'[1]🎛️ Assumptions'!$D$46</f>
        <v>74000</v>
      </c>
      <c r="K82" s="8">
        <f>'[1]🎛️ Assumptions'!$D$40+'[1]🎛️ Assumptions'!$D$42+'[1]🎛️ Assumptions'!$D$44+'[1]🎛️ Assumptions'!$D$46</f>
        <v>74000</v>
      </c>
      <c r="L82" s="8">
        <f>'[1]🎛️ Assumptions'!$D$40+'[1]🎛️ Assumptions'!$D$42+'[1]🎛️ Assumptions'!$D$44+'[1]🎛️ Assumptions'!$D$46</f>
        <v>74000</v>
      </c>
      <c r="M82" s="8">
        <f>'[1]🎛️ Assumptions'!$D$40+'[1]🎛️ Assumptions'!$D$42+'[1]🎛️ Assumptions'!$D$44+'[1]🎛️ Assumptions'!$D$46</f>
        <v>74000</v>
      </c>
      <c r="N82" s="8">
        <f>'[1]🎛️ Assumptions'!$D$41+'[1]🎛️ Assumptions'!$D$43+'[1]🎛️ Assumptions'!$D$45+'[1]🎛️ Assumptions'!$D$46</f>
        <v>103000</v>
      </c>
      <c r="O82" s="8">
        <f>'[1]🎛️ Assumptions'!$D$41+'[1]🎛️ Assumptions'!$D$43+'[1]🎛️ Assumptions'!$D$45+'[1]🎛️ Assumptions'!$D$46</f>
        <v>103000</v>
      </c>
      <c r="P82" s="8">
        <f>'[1]🎛️ Assumptions'!$D$41+'[1]🎛️ Assumptions'!$D$43+'[1]🎛️ Assumptions'!$D$45+'[1]🎛️ Assumptions'!$D$46</f>
        <v>103000</v>
      </c>
      <c r="Q82" s="8">
        <f>'[1]🎛️ Assumptions'!$D$41+'[1]🎛️ Assumptions'!$D$43+'[1]🎛️ Assumptions'!$D$45+'[1]🎛️ Assumptions'!$D$46</f>
        <v>103000</v>
      </c>
      <c r="R82" s="8">
        <f>'[1]🎛️ Assumptions'!$D$41+'[1]🎛️ Assumptions'!$D$43+'[1]🎛️ Assumptions'!$D$45+'[1]🎛️ Assumptions'!$D$46</f>
        <v>103000</v>
      </c>
      <c r="S82" s="8">
        <f>'[1]🎛️ Assumptions'!$D$41+'[1]🎛️ Assumptions'!$D$43+'[1]🎛️ Assumptions'!$D$45+'[1]🎛️ Assumptions'!$D$46</f>
        <v>103000</v>
      </c>
      <c r="T82" s="8">
        <f>'[1]🎛️ Assumptions'!$D$41+'[1]🎛️ Assumptions'!$D$43+'[1]🎛️ Assumptions'!$D$45+'[1]🎛️ Assumptions'!$D$46</f>
        <v>103000</v>
      </c>
      <c r="U82" s="8">
        <f>'[1]🎛️ Assumptions'!$D$41+'[1]🎛️ Assumptions'!$D$43+'[1]🎛️ Assumptions'!$D$45+'[1]🎛️ Assumptions'!$D$46</f>
        <v>103000</v>
      </c>
      <c r="V82" s="8">
        <f>'[1]🎛️ Assumptions'!$D$41+'[1]🎛️ Assumptions'!$D$43+'[1]🎛️ Assumptions'!$D$45+'[1]🎛️ Assumptions'!$D$46</f>
        <v>103000</v>
      </c>
      <c r="W82" s="8">
        <f>'[1]🎛️ Assumptions'!$D$41+'[1]🎛️ Assumptions'!$D$43+'[1]🎛️ Assumptions'!$D$45+'[1]🎛️ Assumptions'!$D$46</f>
        <v>103000</v>
      </c>
      <c r="X82" s="8">
        <f>'[1]🎛️ Assumptions'!$D$41+'[1]🎛️ Assumptions'!$D$43+'[1]🎛️ Assumptions'!$D$45+'[1]🎛️ Assumptions'!$D$46</f>
        <v>103000</v>
      </c>
      <c r="Y82" s="8">
        <f>'[1]🎛️ Assumptions'!$D$41+'[1]🎛️ Assumptions'!$D$43+'[1]🎛️ Assumptions'!$D$45+'[1]🎛️ Assumptions'!$D$46</f>
        <v>103000</v>
      </c>
      <c r="Z82" s="8"/>
    </row>
    <row r="83" spans="1:26" hidden="1" outlineLevel="1" x14ac:dyDescent="0.2">
      <c r="A83" s="56" t="s">
        <v>95</v>
      </c>
      <c r="B83" s="8">
        <f>B80*'[1]🎛️ Assumptions'!$D$70</f>
        <v>5034</v>
      </c>
      <c r="C83" s="8">
        <f>C80*'[1]🎛️ Assumptions'!$D$70</f>
        <v>14864.835000000001</v>
      </c>
      <c r="D83" s="8">
        <f>D80*'[1]🎛️ Assumptions'!$D$70</f>
        <v>24207.404999999995</v>
      </c>
      <c r="E83" s="8">
        <f>E80*'[1]🎛️ Assumptions'!$D$70</f>
        <v>33107.534999999996</v>
      </c>
      <c r="F83" s="8">
        <f>F80*'[1]🎛️ Assumptions'!$D$70</f>
        <v>41589.629999999997</v>
      </c>
      <c r="G83" s="8">
        <f>G80*'[1]🎛️ Assumptions'!$D$70</f>
        <v>49661.174999999996</v>
      </c>
      <c r="H83" s="8">
        <f>H80*'[1]🎛️ Assumptions'!$D$70</f>
        <v>57342.074999999997</v>
      </c>
      <c r="I83" s="8">
        <f>I80*'[1]🎛️ Assumptions'!$D$70</f>
        <v>64653.75</v>
      </c>
      <c r="J83" s="8">
        <f>J80*'[1]🎛️ Assumptions'!$D$70</f>
        <v>71628.09</v>
      </c>
      <c r="K83" s="8">
        <f>K80*'[1]🎛️ Assumptions'!$D$70</f>
        <v>78274.53</v>
      </c>
      <c r="L83" s="8">
        <f>L80*'[1]🎛️ Assumptions'!$D$70</f>
        <v>84615.524999999994</v>
      </c>
      <c r="M83" s="8">
        <f>M80*'[1]🎛️ Assumptions'!$D$70</f>
        <v>90651.074999999997</v>
      </c>
      <c r="N83" s="8">
        <f>N80*'[1]🎛️ Assumptions'!$D$70</f>
        <v>97673.52</v>
      </c>
      <c r="O83" s="8">
        <f>O80*'[1]🎛️ Assumptions'!$D$70</f>
        <v>104358.63</v>
      </c>
      <c r="P83" s="8">
        <f>P80*'[1]🎛️ Assumptions'!$D$70</f>
        <v>110738.295</v>
      </c>
      <c r="Q83" s="8">
        <f>Q80*'[1]🎛️ Assumptions'!$D$70</f>
        <v>116821.95</v>
      </c>
      <c r="R83" s="8">
        <f>R80*'[1]🎛️ Assumptions'!$D$70</f>
        <v>122634</v>
      </c>
      <c r="S83" s="8">
        <f>S80*'[1]🎛️ Assumptions'!$D$70</f>
        <v>128181.93</v>
      </c>
      <c r="T83" s="8">
        <f>T80*'[1]🎛️ Assumptions'!$D$70</f>
        <v>133473.22500000001</v>
      </c>
      <c r="U83" s="8">
        <f>U80*'[1]🎛️ Assumptions'!$D$70</f>
        <v>138524.80499999999</v>
      </c>
      <c r="V83" s="8">
        <f>V80*'[1]🎛️ Assumptions'!$D$70</f>
        <v>143344.155</v>
      </c>
      <c r="W83" s="8">
        <f>W80*'[1]🎛️ Assumptions'!$D$70</f>
        <v>147948.19499999998</v>
      </c>
      <c r="X83" s="8">
        <f>X80*'[1]🎛️ Assumptions'!$D$70</f>
        <v>152336.92499999999</v>
      </c>
      <c r="Y83" s="8">
        <f>Y80*'[1]🎛️ Assumptions'!$D$70</f>
        <v>156525.315</v>
      </c>
      <c r="Z83" s="8"/>
    </row>
    <row r="84" spans="1:26" hidden="1" outlineLevel="1" x14ac:dyDescent="0.2">
      <c r="A84" s="56" t="s">
        <v>96</v>
      </c>
      <c r="B84" s="8">
        <f t="shared" ref="B84:Y84" si="5">B80-B81-B82-B83</f>
        <v>-51619.986000000004</v>
      </c>
      <c r="C84" s="8">
        <f t="shared" si="5"/>
        <v>-7917.7740900000008</v>
      </c>
      <c r="D84" s="8">
        <f t="shared" si="5"/>
        <v>33611.265889999981</v>
      </c>
      <c r="E84" s="8">
        <f t="shared" si="5"/>
        <v>73167.570309999981</v>
      </c>
      <c r="F84" s="8">
        <f t="shared" si="5"/>
        <v>110859.96351999999</v>
      </c>
      <c r="G84" s="8">
        <f t="shared" si="5"/>
        <v>146722.51779000001</v>
      </c>
      <c r="H84" s="8">
        <f t="shared" si="5"/>
        <v>180847.19752999995</v>
      </c>
      <c r="I84" s="8">
        <f t="shared" si="5"/>
        <v>213325.61476000003</v>
      </c>
      <c r="J84" s="8">
        <f t="shared" si="5"/>
        <v>244300.6661</v>
      </c>
      <c r="K84" s="8">
        <f t="shared" si="5"/>
        <v>273813.03136000002</v>
      </c>
      <c r="L84" s="8">
        <f t="shared" si="5"/>
        <v>301964.92735000001</v>
      </c>
      <c r="M84" s="8">
        <f t="shared" si="5"/>
        <v>328756.35407</v>
      </c>
      <c r="N84" s="8">
        <f t="shared" si="5"/>
        <v>330931.81917999999</v>
      </c>
      <c r="O84" s="8">
        <f t="shared" si="5"/>
        <v>360603.91840000008</v>
      </c>
      <c r="P84" s="8">
        <f t="shared" si="5"/>
        <v>388915.54835</v>
      </c>
      <c r="Q84" s="8">
        <f t="shared" si="5"/>
        <v>415907.38883999997</v>
      </c>
      <c r="R84" s="8">
        <f t="shared" si="5"/>
        <v>441688.26422000001</v>
      </c>
      <c r="S84" s="8">
        <f t="shared" si="5"/>
        <v>466292.24675999995</v>
      </c>
      <c r="T84" s="8">
        <f t="shared" si="5"/>
        <v>489753.40873000002</v>
      </c>
      <c r="U84" s="8">
        <f t="shared" si="5"/>
        <v>512146.50221000001</v>
      </c>
      <c r="V84" s="8">
        <f t="shared" si="5"/>
        <v>533505.5994699999</v>
      </c>
      <c r="W84" s="8">
        <f t="shared" si="5"/>
        <v>553905.45258999988</v>
      </c>
      <c r="X84" s="8">
        <f t="shared" si="5"/>
        <v>573346.0615699999</v>
      </c>
      <c r="Y84" s="8">
        <f t="shared" si="5"/>
        <v>591895.57095000008</v>
      </c>
      <c r="Z84" s="8"/>
    </row>
    <row r="85" spans="1:26" collapsed="1" x14ac:dyDescent="0.2">
      <c r="A85" s="5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idden="1" outlineLevel="1" x14ac:dyDescent="0.2">
      <c r="A86" s="56" t="s">
        <v>99</v>
      </c>
      <c r="B86" s="8">
        <f>-'[1]🎛️ Assumptions'!$B$58</f>
        <v>-1000000</v>
      </c>
      <c r="C86" s="8">
        <f t="shared" ref="C86:Z86" si="6">B60</f>
        <v>-39536.271399999998</v>
      </c>
      <c r="D86" s="8">
        <f t="shared" si="6"/>
        <v>-17284.09792</v>
      </c>
      <c r="E86" s="8">
        <f t="shared" si="6"/>
        <v>3583.3807399999951</v>
      </c>
      <c r="F86" s="8">
        <f t="shared" si="6"/>
        <v>23141.332699999999</v>
      </c>
      <c r="G86" s="8">
        <f t="shared" si="6"/>
        <v>41561.169320000001</v>
      </c>
      <c r="H86" s="8">
        <f t="shared" si="6"/>
        <v>58862.787349999999</v>
      </c>
      <c r="I86" s="8">
        <f t="shared" si="6"/>
        <v>75087.158659999986</v>
      </c>
      <c r="J86" s="8">
        <f t="shared" si="6"/>
        <v>90364.722739999997</v>
      </c>
      <c r="K86" s="8">
        <f t="shared" si="6"/>
        <v>104774.03552000003</v>
      </c>
      <c r="L86" s="8">
        <f t="shared" si="6"/>
        <v>118334.99374999997</v>
      </c>
      <c r="M86" s="8">
        <f t="shared" si="6"/>
        <v>131102.8688</v>
      </c>
      <c r="N86" s="8">
        <f t="shared" si="6"/>
        <v>143100.94522999995</v>
      </c>
      <c r="O86" s="8">
        <f t="shared" si="6"/>
        <v>143284.62280999997</v>
      </c>
      <c r="P86" s="8">
        <f t="shared" si="6"/>
        <v>157600.04909000004</v>
      </c>
      <c r="Q86" s="8">
        <f t="shared" si="6"/>
        <v>171067.12081999995</v>
      </c>
      <c r="R86" s="8">
        <f t="shared" si="6"/>
        <v>183778.69343000001</v>
      </c>
      <c r="S86" s="8">
        <f t="shared" si="6"/>
        <v>195758.05147999994</v>
      </c>
      <c r="T86" s="8">
        <f t="shared" si="6"/>
        <v>207057.07853000003</v>
      </c>
      <c r="U86" s="8">
        <f t="shared" si="6"/>
        <v>217702.44695000001</v>
      </c>
      <c r="V86" s="8">
        <f t="shared" si="6"/>
        <v>227746.04030000005</v>
      </c>
      <c r="W86" s="8">
        <f t="shared" si="6"/>
        <v>237266.41451</v>
      </c>
      <c r="X86" s="8">
        <f t="shared" si="6"/>
        <v>246263.56958000001</v>
      </c>
      <c r="Y86" s="8">
        <f t="shared" si="6"/>
        <v>254719.81820000004</v>
      </c>
      <c r="Z86" s="8">
        <f t="shared" si="6"/>
        <v>262768.98767</v>
      </c>
    </row>
    <row r="87" spans="1:26" hidden="1" outlineLevel="1" x14ac:dyDescent="0.2">
      <c r="A87" s="56" t="s">
        <v>100</v>
      </c>
      <c r="B87" s="8">
        <f>-'[1]🎛️ Assumptions'!$B$58</f>
        <v>-1000000</v>
      </c>
      <c r="C87" s="8">
        <f t="shared" ref="C87:Z87" si="7">B72</f>
        <v>-43052.448000000004</v>
      </c>
      <c r="D87" s="8">
        <f t="shared" si="7"/>
        <v>-9309.0107999999982</v>
      </c>
      <c r="E87" s="8">
        <f t="shared" si="7"/>
        <v>22497.592799999988</v>
      </c>
      <c r="F87" s="8">
        <f t="shared" si="7"/>
        <v>52481.516879999966</v>
      </c>
      <c r="G87" s="8">
        <f t="shared" si="7"/>
        <v>80716.498559999993</v>
      </c>
      <c r="H87" s="8">
        <f t="shared" si="7"/>
        <v>107353.56048</v>
      </c>
      <c r="I87" s="8">
        <f t="shared" si="7"/>
        <v>132520.24991999997</v>
      </c>
      <c r="J87" s="8">
        <f t="shared" si="7"/>
        <v>156240.04223999998</v>
      </c>
      <c r="K87" s="8">
        <f t="shared" si="7"/>
        <v>178586.67456000001</v>
      </c>
      <c r="L87" s="8">
        <f t="shared" si="7"/>
        <v>199728.11111999996</v>
      </c>
      <c r="M87" s="8">
        <f t="shared" si="7"/>
        <v>219647.41032</v>
      </c>
      <c r="N87" s="8">
        <f t="shared" si="7"/>
        <v>238512.53639999995</v>
      </c>
      <c r="O87" s="8">
        <f t="shared" si="7"/>
        <v>240306.82895999996</v>
      </c>
      <c r="P87" s="8">
        <f t="shared" si="7"/>
        <v>261842.11559999999</v>
      </c>
      <c r="Q87" s="8">
        <f t="shared" si="7"/>
        <v>282209.07503999997</v>
      </c>
      <c r="R87" s="8">
        <f t="shared" si="7"/>
        <v>301427.63423999993</v>
      </c>
      <c r="S87" s="8">
        <f t="shared" si="7"/>
        <v>319628.88888000004</v>
      </c>
      <c r="T87" s="8">
        <f t="shared" si="7"/>
        <v>336795.89735999989</v>
      </c>
      <c r="U87" s="8">
        <f t="shared" si="7"/>
        <v>353019.33840000001</v>
      </c>
      <c r="V87" s="8">
        <f t="shared" si="7"/>
        <v>368413.36607999995</v>
      </c>
      <c r="W87" s="8">
        <f t="shared" si="7"/>
        <v>382977.9804</v>
      </c>
      <c r="X87" s="8">
        <f t="shared" si="7"/>
        <v>396750.04992000002</v>
      </c>
      <c r="Y87" s="8">
        <f t="shared" si="7"/>
        <v>409753.05000000005</v>
      </c>
      <c r="Z87" s="8">
        <f t="shared" si="7"/>
        <v>422131.46951999993</v>
      </c>
    </row>
    <row r="88" spans="1:26" hidden="1" outlineLevel="1" x14ac:dyDescent="0.2">
      <c r="A88" s="56" t="s">
        <v>101</v>
      </c>
      <c r="B88" s="8">
        <f>-'[1]🎛️ Assumptions'!$B$58</f>
        <v>-1000000</v>
      </c>
      <c r="C88" s="8">
        <f t="shared" ref="C88:Z88" si="8">B84</f>
        <v>-51619.986000000004</v>
      </c>
      <c r="D88" s="8">
        <f t="shared" si="8"/>
        <v>-7917.7740900000008</v>
      </c>
      <c r="E88" s="8">
        <f t="shared" si="8"/>
        <v>33611.265889999981</v>
      </c>
      <c r="F88" s="8">
        <f t="shared" si="8"/>
        <v>73167.570309999981</v>
      </c>
      <c r="G88" s="8">
        <f t="shared" si="8"/>
        <v>110859.96351999999</v>
      </c>
      <c r="H88" s="8">
        <f t="shared" si="8"/>
        <v>146722.51779000001</v>
      </c>
      <c r="I88" s="8">
        <f t="shared" si="8"/>
        <v>180847.19752999995</v>
      </c>
      <c r="J88" s="8">
        <f t="shared" si="8"/>
        <v>213325.61476000003</v>
      </c>
      <c r="K88" s="8">
        <f t="shared" si="8"/>
        <v>244300.6661</v>
      </c>
      <c r="L88" s="8">
        <f t="shared" si="8"/>
        <v>273813.03136000002</v>
      </c>
      <c r="M88" s="8">
        <f t="shared" si="8"/>
        <v>301964.92735000001</v>
      </c>
      <c r="N88" s="8">
        <f t="shared" si="8"/>
        <v>328756.35407</v>
      </c>
      <c r="O88" s="8">
        <f t="shared" si="8"/>
        <v>330931.81917999999</v>
      </c>
      <c r="P88" s="8">
        <f t="shared" si="8"/>
        <v>360603.91840000008</v>
      </c>
      <c r="Q88" s="8">
        <f t="shared" si="8"/>
        <v>388915.54835</v>
      </c>
      <c r="R88" s="8">
        <f t="shared" si="8"/>
        <v>415907.38883999997</v>
      </c>
      <c r="S88" s="8">
        <f t="shared" si="8"/>
        <v>441688.26422000001</v>
      </c>
      <c r="T88" s="8">
        <f t="shared" si="8"/>
        <v>466292.24675999995</v>
      </c>
      <c r="U88" s="8">
        <f t="shared" si="8"/>
        <v>489753.40873000002</v>
      </c>
      <c r="V88" s="8">
        <f t="shared" si="8"/>
        <v>512146.50221000001</v>
      </c>
      <c r="W88" s="8">
        <f t="shared" si="8"/>
        <v>533505.5994699999</v>
      </c>
      <c r="X88" s="8">
        <f t="shared" si="8"/>
        <v>553905.45258999988</v>
      </c>
      <c r="Y88" s="8">
        <f t="shared" si="8"/>
        <v>573346.0615699999</v>
      </c>
      <c r="Z88" s="8">
        <f t="shared" si="8"/>
        <v>591895.57095000008</v>
      </c>
    </row>
    <row r="89" spans="1:26" collapsed="1" x14ac:dyDescent="0.2">
      <c r="A89" s="5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</sheetData>
  <mergeCells count="9">
    <mergeCell ref="A29:E29"/>
    <mergeCell ref="A34:E34"/>
    <mergeCell ref="A37:E38"/>
    <mergeCell ref="A1:E1"/>
    <mergeCell ref="A2:E2"/>
    <mergeCell ref="A4:E4"/>
    <mergeCell ref="A11:E11"/>
    <mergeCell ref="A18:E18"/>
    <mergeCell ref="A24:E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Claudio Angulski de Souza</dc:creator>
  <cp:lastModifiedBy>Luiz Claudio Angulski de Souza</cp:lastModifiedBy>
  <dcterms:created xsi:type="dcterms:W3CDTF">2026-06-12T14:49:55Z</dcterms:created>
  <dcterms:modified xsi:type="dcterms:W3CDTF">2026-06-12T14:50:43Z</dcterms:modified>
</cp:coreProperties>
</file>
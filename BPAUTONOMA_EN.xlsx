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adu 1/AUTONOMA/autonoma_investidor/autonoma/"/>
    </mc:Choice>
  </mc:AlternateContent>
  <xr:revisionPtr revIDLastSave="0" documentId="8_{234B8D1B-5B59-3441-9A9B-61EB498CC222}" xr6:coauthVersionLast="47" xr6:coauthVersionMax="47" xr10:uidLastSave="{00000000-0000-0000-0000-000000000000}"/>
  <bookViews>
    <workbookView xWindow="0" yWindow="500" windowWidth="33600" windowHeight="20500" tabRatio="500" firstSheet="3" activeTab="10" xr2:uid="{00000000-000D-0000-FFFF-FFFF00000000}"/>
  </bookViews>
  <sheets>
    <sheet name="🚀 Investor Dashboard" sheetId="1" r:id="rId1"/>
    <sheet name="📋 Executive Summary" sheetId="7" r:id="rId2"/>
    <sheet name="🌎 Market &amp; GTM" sheetId="8" r:id="rId3"/>
    <sheet name="💎 Angel Summary" sheetId="6" r:id="rId4"/>
    <sheet name="📈 Annual P&amp;L" sheetId="9" r:id="rId5"/>
    <sheet name="💰 Cash &amp; Runway" sheetId="10" r:id="rId6"/>
    <sheet name="⚠️ Risks &amp; Roadmap" sheetId="11" r:id="rId7"/>
    <sheet name="🔧 Active Scenario" sheetId="2" r:id="rId8"/>
    <sheet name="🎛️ Assumptions" sheetId="3" r:id="rId9"/>
    <sheet name="📊 Monthly Base" sheetId="4" r:id="rId10"/>
    <sheet name="📊 Scenario Summary" sheetId="5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1" l="1"/>
  <c r="E29" i="11"/>
  <c r="E28" i="11"/>
  <c r="E27" i="11"/>
  <c r="F23" i="11"/>
  <c r="F22" i="11"/>
  <c r="F21" i="11"/>
  <c r="F20" i="11" a="1"/>
  <c r="F20" i="11" s="1"/>
  <c r="F19" i="11"/>
  <c r="G13" i="10"/>
  <c r="B3" i="10"/>
  <c r="C22" i="9"/>
  <c r="F8" i="9"/>
  <c r="B3" i="9"/>
  <c r="F50" i="6"/>
  <c r="F49" i="6"/>
  <c r="F48" i="6"/>
  <c r="F47" i="6"/>
  <c r="F46" i="6"/>
  <c r="F45" i="6"/>
  <c r="F44" i="6"/>
  <c r="B33" i="6"/>
  <c r="F22" i="8"/>
  <c r="E35" i="7"/>
  <c r="O102" i="1"/>
  <c r="F16" i="1"/>
  <c r="G15" i="1"/>
  <c r="E15" i="1"/>
  <c r="C15" i="1"/>
  <c r="A15" i="1"/>
  <c r="I10" i="1"/>
  <c r="C10" i="1"/>
  <c r="A10" i="1"/>
  <c r="B59" i="2"/>
  <c r="B50" i="2"/>
  <c r="B48" i="2"/>
  <c r="C23" i="8" s="1"/>
  <c r="B47" i="2"/>
  <c r="B45" i="2"/>
  <c r="B44" i="2"/>
  <c r="D16" i="9" s="1"/>
  <c r="B43" i="2"/>
  <c r="B42" i="2"/>
  <c r="B41" i="2"/>
  <c r="B40" i="2"/>
  <c r="B39" i="2"/>
  <c r="B37" i="2"/>
  <c r="B36" i="2"/>
  <c r="B35" i="2"/>
  <c r="B34" i="2"/>
  <c r="C20" i="8" s="1"/>
  <c r="B33" i="2"/>
  <c r="B32" i="2"/>
  <c r="B31" i="2"/>
  <c r="B30" i="2"/>
  <c r="B28" i="2"/>
  <c r="B27" i="2"/>
  <c r="B26" i="2"/>
  <c r="B25" i="2"/>
  <c r="B24" i="2"/>
  <c r="B23" i="2"/>
  <c r="B22" i="2"/>
  <c r="B21" i="2"/>
  <c r="B20" i="2"/>
  <c r="B19" i="2"/>
  <c r="B18" i="2"/>
  <c r="B16" i="2"/>
  <c r="B15" i="2"/>
  <c r="B14" i="2"/>
  <c r="B13" i="2"/>
  <c r="B12" i="2"/>
  <c r="B11" i="2"/>
  <c r="B9" i="2"/>
  <c r="B8" i="2"/>
  <c r="C17" i="7" s="1"/>
  <c r="B7" i="2"/>
  <c r="C16" i="7" s="1"/>
  <c r="B6" i="2"/>
  <c r="B3" i="2"/>
  <c r="C36" i="7"/>
  <c r="C15" i="7"/>
  <c r="C21" i="7"/>
  <c r="C22" i="7"/>
  <c r="C23" i="7"/>
  <c r="O77" i="1"/>
  <c r="M103" i="1"/>
  <c r="N103" i="1"/>
  <c r="O103" i="1"/>
  <c r="M104" i="1"/>
  <c r="N104" i="1"/>
  <c r="O104" i="1"/>
  <c r="M105" i="1"/>
  <c r="N105" i="1"/>
  <c r="O105" i="1"/>
  <c r="B5" i="1"/>
  <c r="A9" i="1"/>
  <c r="C9" i="1" s="1"/>
  <c r="E9" i="1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D13" i="5"/>
  <c r="C13" i="5"/>
  <c r="B13" i="5"/>
  <c r="O75" i="5"/>
  <c r="P75" i="5"/>
  <c r="Q75" i="5"/>
  <c r="R75" i="5"/>
  <c r="S75" i="5"/>
  <c r="T75" i="5"/>
  <c r="U75" i="5"/>
  <c r="V75" i="5"/>
  <c r="W75" i="5"/>
  <c r="X75" i="5"/>
  <c r="Y75" i="5"/>
  <c r="N75" i="5"/>
  <c r="D75" i="5"/>
  <c r="E75" i="5"/>
  <c r="F75" i="5"/>
  <c r="G75" i="5"/>
  <c r="H75" i="5"/>
  <c r="I75" i="5"/>
  <c r="J75" i="5"/>
  <c r="K75" i="5"/>
  <c r="L75" i="5"/>
  <c r="M75" i="5"/>
  <c r="C75" i="5"/>
  <c r="O63" i="5"/>
  <c r="P63" i="5"/>
  <c r="Q63" i="5"/>
  <c r="R63" i="5"/>
  <c r="S63" i="5"/>
  <c r="T63" i="5"/>
  <c r="U63" i="5"/>
  <c r="V63" i="5"/>
  <c r="W63" i="5"/>
  <c r="X63" i="5"/>
  <c r="Y63" i="5"/>
  <c r="N63" i="5"/>
  <c r="D63" i="5"/>
  <c r="E63" i="5"/>
  <c r="F63" i="5"/>
  <c r="G63" i="5"/>
  <c r="H63" i="5"/>
  <c r="I63" i="5"/>
  <c r="J63" i="5"/>
  <c r="K63" i="5"/>
  <c r="L63" i="5"/>
  <c r="M63" i="5"/>
  <c r="C63" i="5"/>
  <c r="O51" i="5"/>
  <c r="P51" i="5"/>
  <c r="Q51" i="5"/>
  <c r="R51" i="5"/>
  <c r="S51" i="5"/>
  <c r="T51" i="5"/>
  <c r="U51" i="5"/>
  <c r="V51" i="5"/>
  <c r="W51" i="5"/>
  <c r="X51" i="5"/>
  <c r="Y51" i="5"/>
  <c r="N51" i="5"/>
  <c r="D51" i="5"/>
  <c r="E51" i="5"/>
  <c r="F51" i="5"/>
  <c r="G51" i="5"/>
  <c r="H51" i="5"/>
  <c r="I51" i="5"/>
  <c r="J51" i="5"/>
  <c r="K51" i="5"/>
  <c r="L51" i="5"/>
  <c r="M51" i="5"/>
  <c r="C51" i="5"/>
  <c r="O82" i="5"/>
  <c r="P82" i="5"/>
  <c r="Q82" i="5"/>
  <c r="R82" i="5"/>
  <c r="S82" i="5"/>
  <c r="T82" i="5"/>
  <c r="U82" i="5"/>
  <c r="V82" i="5"/>
  <c r="W82" i="5"/>
  <c r="X82" i="5"/>
  <c r="Y82" i="5"/>
  <c r="N82" i="5"/>
  <c r="O70" i="5"/>
  <c r="P70" i="5"/>
  <c r="Q70" i="5"/>
  <c r="R70" i="5"/>
  <c r="S70" i="5"/>
  <c r="T70" i="5"/>
  <c r="U70" i="5"/>
  <c r="V70" i="5"/>
  <c r="W70" i="5"/>
  <c r="X70" i="5"/>
  <c r="Y70" i="5"/>
  <c r="N70" i="5"/>
  <c r="O58" i="5"/>
  <c r="P58" i="5"/>
  <c r="Q58" i="5"/>
  <c r="R58" i="5"/>
  <c r="S58" i="5"/>
  <c r="T58" i="5"/>
  <c r="U58" i="5"/>
  <c r="V58" i="5"/>
  <c r="W58" i="5"/>
  <c r="X58" i="5"/>
  <c r="Y58" i="5"/>
  <c r="N58" i="5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E9" i="8"/>
  <c r="C27" i="7"/>
  <c r="C50" i="6"/>
  <c r="C49" i="6"/>
  <c r="C48" i="6"/>
  <c r="C47" i="6"/>
  <c r="C46" i="6"/>
  <c r="C45" i="6"/>
  <c r="C44" i="6"/>
  <c r="C30" i="6"/>
  <c r="D29" i="6"/>
  <c r="D28" i="6"/>
  <c r="D27" i="6"/>
  <c r="D26" i="6"/>
  <c r="C7" i="6"/>
  <c r="C6" i="6"/>
  <c r="D14" i="5"/>
  <c r="D15" i="5" s="1"/>
  <c r="C14" i="5"/>
  <c r="B14" i="5"/>
  <c r="B88" i="5"/>
  <c r="B87" i="5"/>
  <c r="B86" i="5"/>
  <c r="M82" i="5"/>
  <c r="L82" i="5"/>
  <c r="K82" i="5"/>
  <c r="J82" i="5"/>
  <c r="I82" i="5"/>
  <c r="H82" i="5"/>
  <c r="G82" i="5"/>
  <c r="F82" i="5"/>
  <c r="E82" i="5"/>
  <c r="D82" i="5"/>
  <c r="C82" i="5"/>
  <c r="B82" i="5"/>
  <c r="B75" i="5"/>
  <c r="M70" i="5"/>
  <c r="L70" i="5"/>
  <c r="K70" i="5"/>
  <c r="J70" i="5"/>
  <c r="I70" i="5"/>
  <c r="H70" i="5"/>
  <c r="G70" i="5"/>
  <c r="F70" i="5"/>
  <c r="E70" i="5"/>
  <c r="D70" i="5"/>
  <c r="C70" i="5"/>
  <c r="B70" i="5"/>
  <c r="B63" i="5"/>
  <c r="B66" i="5" s="1"/>
  <c r="C66" i="5" s="1"/>
  <c r="D66" i="5" s="1"/>
  <c r="E66" i="5" s="1"/>
  <c r="F66" i="5" s="1"/>
  <c r="G66" i="5" s="1"/>
  <c r="H66" i="5" s="1"/>
  <c r="I66" i="5" s="1"/>
  <c r="M58" i="5"/>
  <c r="L58" i="5"/>
  <c r="K58" i="5"/>
  <c r="J58" i="5"/>
  <c r="I58" i="5"/>
  <c r="H58" i="5"/>
  <c r="G58" i="5"/>
  <c r="F58" i="5"/>
  <c r="E58" i="5"/>
  <c r="D58" i="5"/>
  <c r="C58" i="5"/>
  <c r="B58" i="5"/>
  <c r="B51" i="5"/>
  <c r="B54" i="5" s="1"/>
  <c r="C54" i="5" s="1"/>
  <c r="D20" i="5"/>
  <c r="C20" i="5"/>
  <c r="B20" i="5"/>
  <c r="B61" i="3"/>
  <c r="C8" i="6" s="1"/>
  <c r="C5" i="4"/>
  <c r="C69" i="3"/>
  <c r="B8" i="5"/>
  <c r="C8" i="5"/>
  <c r="D8" i="5"/>
  <c r="D12" i="5"/>
  <c r="C12" i="5"/>
  <c r="B12" i="5"/>
  <c r="D10" i="5"/>
  <c r="C10" i="5"/>
  <c r="B10" i="5"/>
  <c r="D9" i="5"/>
  <c r="C9" i="5"/>
  <c r="B9" i="5"/>
  <c r="D7" i="5"/>
  <c r="C7" i="5"/>
  <c r="B7" i="5"/>
  <c r="D6" i="5"/>
  <c r="C6" i="5"/>
  <c r="B6" i="5"/>
  <c r="D5" i="5"/>
  <c r="C5" i="5"/>
  <c r="B5" i="5"/>
  <c r="C2" i="4"/>
  <c r="C22" i="8"/>
  <c r="D17" i="9"/>
  <c r="C16" i="9"/>
  <c r="D15" i="9"/>
  <c r="C15" i="9"/>
  <c r="D14" i="9"/>
  <c r="C14" i="9"/>
  <c r="C19" i="8"/>
  <c r="C18" i="8"/>
  <c r="T5" i="4"/>
  <c r="O94" i="1" s="1"/>
  <c r="D9" i="8"/>
  <c r="C14" i="4" l="1"/>
  <c r="T14" i="4"/>
  <c r="E15" i="9"/>
  <c r="J66" i="5"/>
  <c r="K66" i="5" s="1"/>
  <c r="L66" i="5" s="1"/>
  <c r="M66" i="5" s="1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C24" i="7"/>
  <c r="D54" i="5"/>
  <c r="E54" i="5" s="1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B15" i="5"/>
  <c r="D30" i="6"/>
  <c r="C21" i="8"/>
  <c r="C15" i="5"/>
  <c r="C16" i="5" s="1"/>
  <c r="D47" i="6"/>
  <c r="E47" i="6" s="1"/>
  <c r="D48" i="6"/>
  <c r="E48" i="6" s="1"/>
  <c r="D49" i="6"/>
  <c r="E49" i="6" s="1"/>
  <c r="D44" i="6"/>
  <c r="E44" i="6" s="1"/>
  <c r="C10" i="8"/>
  <c r="E14" i="9"/>
  <c r="E16" i="9"/>
  <c r="C16" i="8"/>
  <c r="C17" i="9"/>
  <c r="E17" i="9" s="1"/>
  <c r="L5" i="4"/>
  <c r="O5" i="4"/>
  <c r="S5" i="4"/>
  <c r="C17" i="8"/>
  <c r="C36" i="8"/>
  <c r="K5" i="4"/>
  <c r="Z5" i="4"/>
  <c r="R5" i="4"/>
  <c r="D50" i="6"/>
  <c r="E50" i="6" s="1"/>
  <c r="J5" i="4"/>
  <c r="Y5" i="4"/>
  <c r="Q5" i="4"/>
  <c r="I5" i="4"/>
  <c r="X5" i="4"/>
  <c r="P5" i="4"/>
  <c r="H5" i="4"/>
  <c r="W5" i="4"/>
  <c r="D45" i="6"/>
  <c r="E45" i="6" s="1"/>
  <c r="D8" i="8"/>
  <c r="D5" i="4"/>
  <c r="G5" i="4"/>
  <c r="V5" i="4"/>
  <c r="D46" i="6"/>
  <c r="E46" i="6" s="1"/>
  <c r="N5" i="4"/>
  <c r="F5" i="4"/>
  <c r="U5" i="4"/>
  <c r="M5" i="4"/>
  <c r="E5" i="4"/>
  <c r="B54" i="2"/>
  <c r="B78" i="5"/>
  <c r="C78" i="5" s="1"/>
  <c r="D78" i="5" s="1"/>
  <c r="E78" i="5" s="1"/>
  <c r="F78" i="5" s="1"/>
  <c r="G78" i="5" s="1"/>
  <c r="H78" i="5" s="1"/>
  <c r="I78" i="5" s="1"/>
  <c r="J78" i="5" s="1"/>
  <c r="K78" i="5" s="1"/>
  <c r="L78" i="5" s="1"/>
  <c r="M78" i="5" s="1"/>
  <c r="N78" i="5" s="1"/>
  <c r="O78" i="5" s="1"/>
  <c r="P78" i="5" s="1"/>
  <c r="Q78" i="5" s="1"/>
  <c r="R78" i="5" s="1"/>
  <c r="S78" i="5" s="1"/>
  <c r="T78" i="5" s="1"/>
  <c r="U78" i="5" s="1"/>
  <c r="V78" i="5" s="1"/>
  <c r="W78" i="5" s="1"/>
  <c r="X78" i="5" s="1"/>
  <c r="Y78" i="5" s="1"/>
  <c r="B77" i="5"/>
  <c r="C77" i="5" s="1"/>
  <c r="D77" i="5" s="1"/>
  <c r="E77" i="5" s="1"/>
  <c r="F77" i="5" s="1"/>
  <c r="G77" i="5" s="1"/>
  <c r="H77" i="5" s="1"/>
  <c r="I77" i="5" s="1"/>
  <c r="J77" i="5" s="1"/>
  <c r="K77" i="5" s="1"/>
  <c r="L77" i="5" s="1"/>
  <c r="M77" i="5" s="1"/>
  <c r="N77" i="5" s="1"/>
  <c r="O77" i="5" s="1"/>
  <c r="P77" i="5" s="1"/>
  <c r="Q77" i="5" s="1"/>
  <c r="R77" i="5" s="1"/>
  <c r="S77" i="5" s="1"/>
  <c r="T77" i="5" s="1"/>
  <c r="U77" i="5" s="1"/>
  <c r="V77" i="5" s="1"/>
  <c r="W77" i="5" s="1"/>
  <c r="X77" i="5" s="1"/>
  <c r="Y77" i="5" s="1"/>
  <c r="B76" i="5"/>
  <c r="B52" i="5"/>
  <c r="B56" i="5" s="1"/>
  <c r="B65" i="5"/>
  <c r="C65" i="5" s="1"/>
  <c r="D65" i="5" s="1"/>
  <c r="E65" i="5" s="1"/>
  <c r="F65" i="5" s="1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Y65" i="5" s="1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B64" i="5"/>
  <c r="B60" i="3"/>
  <c r="D16" i="5"/>
  <c r="B16" i="5"/>
  <c r="B17" i="5"/>
  <c r="C17" i="5"/>
  <c r="D17" i="5"/>
  <c r="C7" i="4"/>
  <c r="S77" i="1" s="1"/>
  <c r="C6" i="4"/>
  <c r="R77" i="1" s="1"/>
  <c r="C8" i="4"/>
  <c r="T77" i="1" s="1"/>
  <c r="B52" i="2"/>
  <c r="B53" i="2" s="1"/>
  <c r="M20" i="4"/>
  <c r="V87" i="1" s="1"/>
  <c r="Y20" i="4"/>
  <c r="V99" i="1" s="1"/>
  <c r="E20" i="4"/>
  <c r="V79" i="1" s="1"/>
  <c r="U20" i="4"/>
  <c r="V95" i="1" s="1"/>
  <c r="G20" i="4"/>
  <c r="V81" i="1" s="1"/>
  <c r="W20" i="4"/>
  <c r="V97" i="1" s="1"/>
  <c r="I20" i="4"/>
  <c r="V83" i="1" s="1"/>
  <c r="L20" i="4"/>
  <c r="V86" i="1" s="1"/>
  <c r="N20" i="4"/>
  <c r="V88" i="1" s="1"/>
  <c r="F20" i="4"/>
  <c r="V80" i="1" s="1"/>
  <c r="K20" i="4"/>
  <c r="V85" i="1" s="1"/>
  <c r="C20" i="4"/>
  <c r="V77" i="1" s="1"/>
  <c r="J20" i="4"/>
  <c r="V84" i="1" s="1"/>
  <c r="H20" i="4"/>
  <c r="V82" i="1" s="1"/>
  <c r="V20" i="4"/>
  <c r="V96" i="1" s="1"/>
  <c r="S20" i="4"/>
  <c r="V93" i="1" s="1"/>
  <c r="Z20" i="4"/>
  <c r="V100" i="1" s="1"/>
  <c r="R20" i="4"/>
  <c r="V92" i="1" s="1"/>
  <c r="X20" i="4"/>
  <c r="V98" i="1" s="1"/>
  <c r="P20" i="4"/>
  <c r="V90" i="1" s="1"/>
  <c r="O20" i="4"/>
  <c r="V89" i="1" s="1"/>
  <c r="Q20" i="4"/>
  <c r="V91" i="1" s="1"/>
  <c r="D20" i="4"/>
  <c r="V78" i="1" s="1"/>
  <c r="T20" i="4"/>
  <c r="V94" i="1" s="1"/>
  <c r="S14" i="4" l="1"/>
  <c r="O93" i="1"/>
  <c r="O14" i="4"/>
  <c r="O89" i="1"/>
  <c r="R14" i="4"/>
  <c r="O92" i="1"/>
  <c r="Q14" i="4"/>
  <c r="O91" i="1"/>
  <c r="Y14" i="4"/>
  <c r="O99" i="1"/>
  <c r="U14" i="4"/>
  <c r="O95" i="1"/>
  <c r="P14" i="4"/>
  <c r="O90" i="1"/>
  <c r="Z14" i="4"/>
  <c r="O100" i="1"/>
  <c r="W14" i="4"/>
  <c r="O97" i="1"/>
  <c r="V14" i="4"/>
  <c r="O96" i="1"/>
  <c r="X14" i="4"/>
  <c r="O98" i="1"/>
  <c r="E14" i="4"/>
  <c r="O79" i="1"/>
  <c r="J14" i="4"/>
  <c r="O84" i="1"/>
  <c r="G14" i="4"/>
  <c r="O81" i="1"/>
  <c r="D14" i="4"/>
  <c r="O78" i="1"/>
  <c r="I14" i="4"/>
  <c r="O83" i="1"/>
  <c r="M14" i="4"/>
  <c r="O87" i="1"/>
  <c r="F14" i="4"/>
  <c r="O80" i="1"/>
  <c r="L14" i="4"/>
  <c r="O86" i="1"/>
  <c r="N14" i="4"/>
  <c r="O88" i="1"/>
  <c r="H14" i="4"/>
  <c r="O82" i="1"/>
  <c r="K14" i="4"/>
  <c r="O85" i="1"/>
  <c r="B57" i="2"/>
  <c r="C11" i="4"/>
  <c r="M77" i="1" s="1"/>
  <c r="C76" i="5"/>
  <c r="B80" i="5"/>
  <c r="C64" i="5"/>
  <c r="C69" i="5" s="1"/>
  <c r="B68" i="5"/>
  <c r="B81" i="5"/>
  <c r="C81" i="5"/>
  <c r="D7" i="4"/>
  <c r="C52" i="5"/>
  <c r="C56" i="5" s="1"/>
  <c r="B57" i="5"/>
  <c r="C28" i="11"/>
  <c r="B69" i="5"/>
  <c r="C16" i="10"/>
  <c r="C13" i="9"/>
  <c r="D8" i="4"/>
  <c r="D13" i="9"/>
  <c r="D6" i="4"/>
  <c r="R78" i="1" s="1"/>
  <c r="C9" i="6"/>
  <c r="B79" i="5"/>
  <c r="B55" i="5"/>
  <c r="B67" i="5"/>
  <c r="B55" i="2"/>
  <c r="C15" i="4"/>
  <c r="E7" i="4" l="1"/>
  <c r="S78" i="1"/>
  <c r="E8" i="4"/>
  <c r="T78" i="1"/>
  <c r="G14" i="1"/>
  <c r="E13" i="9"/>
  <c r="D76" i="5"/>
  <c r="C80" i="5"/>
  <c r="E6" i="4"/>
  <c r="R79" i="1" s="1"/>
  <c r="D11" i="4"/>
  <c r="M78" i="1" s="1"/>
  <c r="D64" i="5"/>
  <c r="C68" i="5"/>
  <c r="D52" i="5"/>
  <c r="C57" i="5"/>
  <c r="B71" i="5"/>
  <c r="B72" i="5" s="1"/>
  <c r="C87" i="5" s="1"/>
  <c r="B59" i="5"/>
  <c r="B60" i="5" s="1"/>
  <c r="C86" i="5" s="1"/>
  <c r="C55" i="5"/>
  <c r="D57" i="5" s="1"/>
  <c r="B83" i="5"/>
  <c r="B84" i="5" s="1"/>
  <c r="C88" i="5" s="1"/>
  <c r="C67" i="5"/>
  <c r="C79" i="5"/>
  <c r="D9" i="4"/>
  <c r="N78" i="1" s="1"/>
  <c r="B56" i="2"/>
  <c r="E14" i="1" s="1"/>
  <c r="C16" i="4"/>
  <c r="F8" i="4" l="1"/>
  <c r="T79" i="1"/>
  <c r="F7" i="4"/>
  <c r="S79" i="1"/>
  <c r="E52" i="5"/>
  <c r="D56" i="5"/>
  <c r="D69" i="5"/>
  <c r="E76" i="5"/>
  <c r="D80" i="5"/>
  <c r="E64" i="5"/>
  <c r="D68" i="5"/>
  <c r="F6" i="4"/>
  <c r="R80" i="1" s="1"/>
  <c r="E11" i="4"/>
  <c r="M79" i="1" s="1"/>
  <c r="C27" i="11"/>
  <c r="C35" i="7"/>
  <c r="D81" i="5"/>
  <c r="C83" i="5"/>
  <c r="C84" i="5" s="1"/>
  <c r="D88" i="5" s="1"/>
  <c r="C59" i="5"/>
  <c r="C60" i="5" s="1"/>
  <c r="D86" i="5" s="1"/>
  <c r="D67" i="5"/>
  <c r="D55" i="5"/>
  <c r="D79" i="5"/>
  <c r="C71" i="5"/>
  <c r="C72" i="5" s="1"/>
  <c r="D87" i="5" s="1"/>
  <c r="C17" i="4"/>
  <c r="C18" i="4" s="1"/>
  <c r="U77" i="1" s="1"/>
  <c r="C9" i="4"/>
  <c r="N77" i="1" s="1"/>
  <c r="G7" i="4" l="1"/>
  <c r="S80" i="1"/>
  <c r="G8" i="4"/>
  <c r="T80" i="1"/>
  <c r="F52" i="5"/>
  <c r="E56" i="5"/>
  <c r="F76" i="5"/>
  <c r="E80" i="5"/>
  <c r="G6" i="4"/>
  <c r="R81" i="1" s="1"/>
  <c r="F11" i="4"/>
  <c r="M80" i="1" s="1"/>
  <c r="F64" i="5"/>
  <c r="E68" i="5"/>
  <c r="D83" i="5"/>
  <c r="D84" i="5" s="1"/>
  <c r="E88" i="5" s="1"/>
  <c r="D59" i="5"/>
  <c r="D60" i="5" s="1"/>
  <c r="E86" i="5" s="1"/>
  <c r="D71" i="5"/>
  <c r="D72" i="5" s="1"/>
  <c r="E87" i="5" s="1"/>
  <c r="C21" i="4"/>
  <c r="C23" i="4" s="1"/>
  <c r="C24" i="4" s="1"/>
  <c r="P77" i="1" s="1"/>
  <c r="C12" i="4"/>
  <c r="C26" i="4"/>
  <c r="W77" i="1" s="1"/>
  <c r="H8" i="4" l="1"/>
  <c r="T81" i="1"/>
  <c r="H7" i="4"/>
  <c r="S81" i="1"/>
  <c r="G52" i="5"/>
  <c r="F56" i="5"/>
  <c r="G76" i="5"/>
  <c r="F80" i="5"/>
  <c r="G64" i="5"/>
  <c r="F68" i="5"/>
  <c r="H6" i="4"/>
  <c r="R82" i="1" s="1"/>
  <c r="G11" i="4"/>
  <c r="M81" i="1" s="1"/>
  <c r="C9" i="10"/>
  <c r="C10" i="10" s="1"/>
  <c r="E79" i="5"/>
  <c r="E69" i="5"/>
  <c r="E55" i="5"/>
  <c r="E9" i="4"/>
  <c r="D15" i="4"/>
  <c r="C25" i="4"/>
  <c r="I7" i="4" l="1"/>
  <c r="S82" i="1"/>
  <c r="N79" i="1"/>
  <c r="I8" i="4"/>
  <c r="T82" i="1"/>
  <c r="Q77" i="1"/>
  <c r="H52" i="5"/>
  <c r="G56" i="5"/>
  <c r="H76" i="5"/>
  <c r="G80" i="5"/>
  <c r="I6" i="4"/>
  <c r="R83" i="1" s="1"/>
  <c r="H11" i="4"/>
  <c r="M82" i="1" s="1"/>
  <c r="H64" i="5"/>
  <c r="G68" i="5"/>
  <c r="E83" i="5"/>
  <c r="E81" i="5"/>
  <c r="E67" i="5"/>
  <c r="E71" i="5"/>
  <c r="E72" i="5" s="1"/>
  <c r="F87" i="5" s="1"/>
  <c r="E57" i="5"/>
  <c r="F55" i="5"/>
  <c r="E59" i="5"/>
  <c r="D16" i="4"/>
  <c r="J8" i="4" l="1"/>
  <c r="T83" i="1"/>
  <c r="J7" i="4"/>
  <c r="S83" i="1"/>
  <c r="I52" i="5"/>
  <c r="H56" i="5"/>
  <c r="I76" i="5"/>
  <c r="H80" i="5"/>
  <c r="I64" i="5"/>
  <c r="H68" i="5"/>
  <c r="J6" i="4"/>
  <c r="R84" i="1" s="1"/>
  <c r="I11" i="4"/>
  <c r="M83" i="1" s="1"/>
  <c r="F57" i="5"/>
  <c r="E60" i="5"/>
  <c r="F86" i="5" s="1"/>
  <c r="E84" i="5"/>
  <c r="F88" i="5" s="1"/>
  <c r="F79" i="5"/>
  <c r="F81" i="5"/>
  <c r="F59" i="5"/>
  <c r="D17" i="4"/>
  <c r="D18" i="4" s="1"/>
  <c r="U78" i="1" s="1"/>
  <c r="K8" i="4" l="1"/>
  <c r="T84" i="1"/>
  <c r="K7" i="4"/>
  <c r="S84" i="1"/>
  <c r="J52" i="5"/>
  <c r="I56" i="5"/>
  <c r="J76" i="5"/>
  <c r="I80" i="5"/>
  <c r="K6" i="4"/>
  <c r="R85" i="1" s="1"/>
  <c r="J11" i="4"/>
  <c r="M84" i="1" s="1"/>
  <c r="J64" i="5"/>
  <c r="I68" i="5"/>
  <c r="F60" i="5"/>
  <c r="G86" i="5" s="1"/>
  <c r="F83" i="5"/>
  <c r="F84" i="5" s="1"/>
  <c r="G88" i="5" s="1"/>
  <c r="G59" i="5"/>
  <c r="D21" i="4"/>
  <c r="D26" i="4"/>
  <c r="W78" i="1" s="1"/>
  <c r="D12" i="4"/>
  <c r="L7" i="4" l="1"/>
  <c r="S85" i="1"/>
  <c r="L8" i="4"/>
  <c r="T85" i="1"/>
  <c r="K52" i="5"/>
  <c r="J56" i="5"/>
  <c r="K76" i="5"/>
  <c r="J80" i="5"/>
  <c r="K64" i="5"/>
  <c r="J68" i="5"/>
  <c r="L6" i="4"/>
  <c r="R86" i="1" s="1"/>
  <c r="K11" i="4"/>
  <c r="M85" i="1" s="1"/>
  <c r="G55" i="5"/>
  <c r="D23" i="4"/>
  <c r="D24" i="4" s="1"/>
  <c r="G79" i="5"/>
  <c r="G81" i="5"/>
  <c r="F67" i="5"/>
  <c r="F71" i="5"/>
  <c r="F69" i="5"/>
  <c r="G57" i="5"/>
  <c r="G60" i="5" s="1"/>
  <c r="H86" i="5" s="1"/>
  <c r="E15" i="4"/>
  <c r="M8" i="4" l="1"/>
  <c r="T86" i="1"/>
  <c r="M7" i="4"/>
  <c r="S86" i="1"/>
  <c r="D25" i="4"/>
  <c r="P78" i="1"/>
  <c r="L52" i="5"/>
  <c r="K56" i="5"/>
  <c r="L76" i="5"/>
  <c r="K80" i="5"/>
  <c r="M6" i="4"/>
  <c r="R87" i="1" s="1"/>
  <c r="L11" i="4"/>
  <c r="M86" i="1" s="1"/>
  <c r="L64" i="5"/>
  <c r="K68" i="5"/>
  <c r="D9" i="10"/>
  <c r="G83" i="5"/>
  <c r="G84" i="5" s="1"/>
  <c r="H88" i="5" s="1"/>
  <c r="F72" i="5"/>
  <c r="G87" i="5" s="1"/>
  <c r="H57" i="5"/>
  <c r="E16" i="4"/>
  <c r="N7" i="4" l="1"/>
  <c r="S87" i="1"/>
  <c r="N8" i="4"/>
  <c r="T87" i="1"/>
  <c r="Q78" i="1"/>
  <c r="M52" i="5"/>
  <c r="L56" i="5"/>
  <c r="M76" i="5"/>
  <c r="L80" i="5"/>
  <c r="M64" i="5"/>
  <c r="L68" i="5"/>
  <c r="N6" i="4"/>
  <c r="R88" i="1" s="1"/>
  <c r="M11" i="4"/>
  <c r="M87" i="1" s="1"/>
  <c r="D10" i="10"/>
  <c r="H79" i="5"/>
  <c r="H83" i="5"/>
  <c r="H81" i="5"/>
  <c r="G67" i="5"/>
  <c r="H59" i="5"/>
  <c r="H60" i="5" s="1"/>
  <c r="I86" i="5" s="1"/>
  <c r="H55" i="5"/>
  <c r="E21" i="4"/>
  <c r="E12" i="4"/>
  <c r="E17" i="4"/>
  <c r="E18" i="4" s="1"/>
  <c r="U79" i="1" s="1"/>
  <c r="O8" i="4" l="1"/>
  <c r="T88" i="1"/>
  <c r="O7" i="4"/>
  <c r="S88" i="1"/>
  <c r="N52" i="5"/>
  <c r="M56" i="5"/>
  <c r="N76" i="5"/>
  <c r="M80" i="5"/>
  <c r="O6" i="4"/>
  <c r="R89" i="1" s="1"/>
  <c r="N11" i="4"/>
  <c r="M88" i="1" s="1"/>
  <c r="N64" i="5"/>
  <c r="M68" i="5"/>
  <c r="G71" i="5"/>
  <c r="H84" i="5"/>
  <c r="I88" i="5" s="1"/>
  <c r="I81" i="5"/>
  <c r="I79" i="5"/>
  <c r="I83" i="5"/>
  <c r="G69" i="5"/>
  <c r="E23" i="4"/>
  <c r="E24" i="4" s="1"/>
  <c r="P79" i="1" s="1"/>
  <c r="E26" i="4"/>
  <c r="W79" i="1" s="1"/>
  <c r="P8" i="4" l="1"/>
  <c r="T89" i="1"/>
  <c r="P7" i="4"/>
  <c r="S89" i="1"/>
  <c r="O52" i="5"/>
  <c r="N56" i="5"/>
  <c r="O76" i="5"/>
  <c r="N80" i="5"/>
  <c r="G72" i="5"/>
  <c r="H87" i="5" s="1"/>
  <c r="O64" i="5"/>
  <c r="N68" i="5"/>
  <c r="P6" i="4"/>
  <c r="R90" i="1" s="1"/>
  <c r="O11" i="4"/>
  <c r="M89" i="1" s="1"/>
  <c r="E9" i="10"/>
  <c r="I84" i="5"/>
  <c r="J88" i="5" s="1"/>
  <c r="H71" i="5"/>
  <c r="I57" i="5"/>
  <c r="F9" i="4"/>
  <c r="N80" i="1" s="1"/>
  <c r="F15" i="4"/>
  <c r="E25" i="4"/>
  <c r="Q7" i="4" l="1"/>
  <c r="S90" i="1"/>
  <c r="Q8" i="4"/>
  <c r="T90" i="1"/>
  <c r="Q79" i="1"/>
  <c r="P52" i="5"/>
  <c r="O56" i="5"/>
  <c r="P76" i="5"/>
  <c r="O80" i="5"/>
  <c r="Q6" i="4"/>
  <c r="R91" i="1" s="1"/>
  <c r="P11" i="4"/>
  <c r="M90" i="1" s="1"/>
  <c r="P64" i="5"/>
  <c r="O68" i="5"/>
  <c r="H67" i="5"/>
  <c r="E10" i="10"/>
  <c r="J81" i="5"/>
  <c r="H69" i="5"/>
  <c r="H72" i="5" s="1"/>
  <c r="I55" i="5"/>
  <c r="I59" i="5"/>
  <c r="I60" i="5" s="1"/>
  <c r="J86" i="5" s="1"/>
  <c r="F16" i="4"/>
  <c r="R8" i="4" l="1"/>
  <c r="T91" i="1"/>
  <c r="R7" i="4"/>
  <c r="S91" i="1"/>
  <c r="Q52" i="5"/>
  <c r="P56" i="5"/>
  <c r="Q76" i="5"/>
  <c r="P80" i="5"/>
  <c r="Q64" i="5"/>
  <c r="P68" i="5"/>
  <c r="R6" i="4"/>
  <c r="R92" i="1" s="1"/>
  <c r="Q11" i="4"/>
  <c r="M91" i="1" s="1"/>
  <c r="J79" i="5"/>
  <c r="J83" i="5"/>
  <c r="J84" i="5" s="1"/>
  <c r="I87" i="5"/>
  <c r="I67" i="5"/>
  <c r="I71" i="5"/>
  <c r="I69" i="5"/>
  <c r="F17" i="4"/>
  <c r="F18" i="4" s="1"/>
  <c r="U80" i="1" s="1"/>
  <c r="S7" i="4" l="1"/>
  <c r="S92" i="1"/>
  <c r="S8" i="4"/>
  <c r="T92" i="1"/>
  <c r="R52" i="5"/>
  <c r="Q56" i="5"/>
  <c r="R76" i="5"/>
  <c r="Q80" i="5"/>
  <c r="S6" i="4"/>
  <c r="R93" i="1" s="1"/>
  <c r="R11" i="4"/>
  <c r="M92" i="1" s="1"/>
  <c r="R64" i="5"/>
  <c r="Q68" i="5"/>
  <c r="F12" i="4"/>
  <c r="K88" i="5"/>
  <c r="I72" i="5"/>
  <c r="J57" i="5"/>
  <c r="F21" i="4"/>
  <c r="F26" i="4"/>
  <c r="W80" i="1" s="1"/>
  <c r="T8" i="4" l="1"/>
  <c r="T93" i="1"/>
  <c r="T7" i="4"/>
  <c r="S93" i="1"/>
  <c r="S52" i="5"/>
  <c r="R56" i="5"/>
  <c r="S76" i="5"/>
  <c r="R80" i="5"/>
  <c r="S64" i="5"/>
  <c r="R68" i="5"/>
  <c r="T6" i="4"/>
  <c r="R94" i="1" s="1"/>
  <c r="S11" i="4"/>
  <c r="M93" i="1" s="1"/>
  <c r="F23" i="4"/>
  <c r="F24" i="4" s="1"/>
  <c r="K79" i="5"/>
  <c r="K81" i="5"/>
  <c r="J71" i="5"/>
  <c r="J69" i="5"/>
  <c r="J67" i="5"/>
  <c r="J87" i="5"/>
  <c r="J55" i="5"/>
  <c r="J59" i="5"/>
  <c r="J60" i="5" s="1"/>
  <c r="G9" i="4"/>
  <c r="N81" i="1" s="1"/>
  <c r="G15" i="4"/>
  <c r="U7" i="4" l="1"/>
  <c r="S94" i="1"/>
  <c r="U8" i="4"/>
  <c r="T94" i="1"/>
  <c r="F25" i="4"/>
  <c r="P80" i="1"/>
  <c r="T52" i="5"/>
  <c r="S56" i="5"/>
  <c r="T76" i="5"/>
  <c r="S80" i="5"/>
  <c r="U6" i="4"/>
  <c r="R95" i="1" s="1"/>
  <c r="T11" i="4"/>
  <c r="M94" i="1" s="1"/>
  <c r="T64" i="5"/>
  <c r="S68" i="5"/>
  <c r="J72" i="5"/>
  <c r="K87" i="5" s="1"/>
  <c r="F9" i="10"/>
  <c r="K83" i="5"/>
  <c r="K84" i="5" s="1"/>
  <c r="K86" i="5"/>
  <c r="G16" i="4"/>
  <c r="G12" i="4"/>
  <c r="V8" i="4" l="1"/>
  <c r="T95" i="1"/>
  <c r="V7" i="4"/>
  <c r="S95" i="1"/>
  <c r="Q80" i="1"/>
  <c r="U52" i="5"/>
  <c r="T56" i="5"/>
  <c r="U76" i="5"/>
  <c r="T80" i="5"/>
  <c r="U64" i="5"/>
  <c r="T68" i="5"/>
  <c r="V6" i="4"/>
  <c r="R96" i="1" s="1"/>
  <c r="U11" i="4"/>
  <c r="M95" i="1" s="1"/>
  <c r="F10" i="10"/>
  <c r="L88" i="5"/>
  <c r="L83" i="5"/>
  <c r="K67" i="5"/>
  <c r="K69" i="5"/>
  <c r="K55" i="5"/>
  <c r="G21" i="4"/>
  <c r="G17" i="4"/>
  <c r="G18" i="4" s="1"/>
  <c r="U81" i="1" s="1"/>
  <c r="W7" i="4" l="1"/>
  <c r="S96" i="1"/>
  <c r="W8" i="4"/>
  <c r="T96" i="1"/>
  <c r="V52" i="5"/>
  <c r="U56" i="5"/>
  <c r="V76" i="5"/>
  <c r="U80" i="5"/>
  <c r="W6" i="4"/>
  <c r="R97" i="1" s="1"/>
  <c r="V11" i="4"/>
  <c r="M96" i="1" s="1"/>
  <c r="V64" i="5"/>
  <c r="U68" i="5"/>
  <c r="K57" i="5"/>
  <c r="L79" i="5"/>
  <c r="L81" i="5"/>
  <c r="L84" i="5" s="1"/>
  <c r="K71" i="5"/>
  <c r="K72" i="5" s="1"/>
  <c r="K59" i="5"/>
  <c r="G23" i="4"/>
  <c r="G24" i="4" s="1"/>
  <c r="P81" i="1" s="1"/>
  <c r="G26" i="4"/>
  <c r="W81" i="1" s="1"/>
  <c r="X8" i="4" l="1"/>
  <c r="T97" i="1"/>
  <c r="X7" i="4"/>
  <c r="S97" i="1"/>
  <c r="W52" i="5"/>
  <c r="V56" i="5"/>
  <c r="W76" i="5"/>
  <c r="V80" i="5"/>
  <c r="W64" i="5"/>
  <c r="V68" i="5"/>
  <c r="X6" i="4"/>
  <c r="R98" i="1" s="1"/>
  <c r="W11" i="4"/>
  <c r="M97" i="1" s="1"/>
  <c r="K60" i="5"/>
  <c r="G9" i="10"/>
  <c r="M88" i="5"/>
  <c r="L67" i="5"/>
  <c r="L87" i="5"/>
  <c r="L71" i="5"/>
  <c r="L69" i="5"/>
  <c r="L86" i="5"/>
  <c r="L55" i="5"/>
  <c r="H16" i="4"/>
  <c r="G25" i="4"/>
  <c r="Y7" i="4" l="1"/>
  <c r="S98" i="1"/>
  <c r="Y8" i="4"/>
  <c r="T98" i="1"/>
  <c r="Q81" i="1"/>
  <c r="X52" i="5"/>
  <c r="W56" i="5"/>
  <c r="X76" i="5"/>
  <c r="W80" i="5"/>
  <c r="Y6" i="4"/>
  <c r="R99" i="1" s="1"/>
  <c r="X11" i="4"/>
  <c r="M98" i="1" s="1"/>
  <c r="X64" i="5"/>
  <c r="W68" i="5"/>
  <c r="G10" i="10"/>
  <c r="E10" i="8"/>
  <c r="L72" i="5"/>
  <c r="L59" i="5"/>
  <c r="L57" i="5"/>
  <c r="H15" i="4"/>
  <c r="H9" i="4"/>
  <c r="N82" i="1" s="1"/>
  <c r="Z8" i="4" l="1"/>
  <c r="T100" i="1" s="1"/>
  <c r="T99" i="1"/>
  <c r="Z7" i="4"/>
  <c r="S100" i="1" s="1"/>
  <c r="S99" i="1"/>
  <c r="Y52" i="5"/>
  <c r="Y56" i="5" s="1"/>
  <c r="X56" i="5"/>
  <c r="Y76" i="5"/>
  <c r="Y80" i="5" s="1"/>
  <c r="X80" i="5"/>
  <c r="Y64" i="5"/>
  <c r="Y68" i="5" s="1"/>
  <c r="X68" i="5"/>
  <c r="Z6" i="4"/>
  <c r="Y11" i="4"/>
  <c r="M99" i="1" s="1"/>
  <c r="M81" i="5"/>
  <c r="M79" i="5"/>
  <c r="M87" i="5"/>
  <c r="M67" i="5"/>
  <c r="M69" i="5"/>
  <c r="M55" i="5"/>
  <c r="L60" i="5"/>
  <c r="H12" i="4"/>
  <c r="H17" i="4"/>
  <c r="H18" i="4" s="1"/>
  <c r="U82" i="1" s="1"/>
  <c r="Z11" i="4" l="1"/>
  <c r="M100" i="1" s="1"/>
  <c r="R100" i="1"/>
  <c r="D28" i="5"/>
  <c r="M83" i="5"/>
  <c r="M84" i="5" s="1"/>
  <c r="D25" i="5"/>
  <c r="D26" i="5"/>
  <c r="C26" i="5"/>
  <c r="C25" i="5"/>
  <c r="M71" i="5"/>
  <c r="M72" i="5" s="1"/>
  <c r="C28" i="5"/>
  <c r="B28" i="5"/>
  <c r="M86" i="5"/>
  <c r="M57" i="5"/>
  <c r="I9" i="4"/>
  <c r="N83" i="1" s="1"/>
  <c r="H21" i="4"/>
  <c r="H23" i="4" s="1"/>
  <c r="H24" i="4" s="1"/>
  <c r="H26" i="4"/>
  <c r="W82" i="1" s="1"/>
  <c r="I15" i="4"/>
  <c r="A14" i="1" l="1"/>
  <c r="H9" i="10"/>
  <c r="H10" i="10" s="1"/>
  <c r="P82" i="1"/>
  <c r="N88" i="5"/>
  <c r="D27" i="5"/>
  <c r="N87" i="5"/>
  <c r="C27" i="5"/>
  <c r="B25" i="5"/>
  <c r="M59" i="5"/>
  <c r="M60" i="5" s="1"/>
  <c r="B26" i="5"/>
  <c r="H25" i="4"/>
  <c r="Q82" i="1" s="1"/>
  <c r="I16" i="4"/>
  <c r="N79" i="5" l="1"/>
  <c r="N81" i="5"/>
  <c r="N69" i="5"/>
  <c r="N67" i="5"/>
  <c r="N57" i="5"/>
  <c r="N86" i="5"/>
  <c r="B27" i="5"/>
  <c r="I17" i="4"/>
  <c r="I18" i="4" s="1"/>
  <c r="U83" i="1" s="1"/>
  <c r="N59" i="5" l="1"/>
  <c r="N60" i="5" s="1"/>
  <c r="O86" i="5" s="1"/>
  <c r="N83" i="5"/>
  <c r="N84" i="5" s="1"/>
  <c r="O88" i="5" s="1"/>
  <c r="N71" i="5"/>
  <c r="N55" i="5"/>
  <c r="I21" i="4"/>
  <c r="I23" i="4" s="1"/>
  <c r="I24" i="4" s="1"/>
  <c r="I26" i="4"/>
  <c r="W83" i="1" s="1"/>
  <c r="I12" i="4"/>
  <c r="I9" i="10" l="1"/>
  <c r="I10" i="10" s="1"/>
  <c r="P83" i="1"/>
  <c r="O79" i="5"/>
  <c r="O81" i="5"/>
  <c r="N72" i="5"/>
  <c r="O87" i="5" s="1"/>
  <c r="O69" i="5"/>
  <c r="J9" i="4"/>
  <c r="N84" i="1" s="1"/>
  <c r="I25" i="4"/>
  <c r="Q83" i="1" s="1"/>
  <c r="J15" i="4"/>
  <c r="O67" i="5" l="1"/>
  <c r="O71" i="5"/>
  <c r="O83" i="5"/>
  <c r="O84" i="5" s="1"/>
  <c r="P88" i="5" s="1"/>
  <c r="P81" i="5"/>
  <c r="P79" i="5"/>
  <c r="P83" i="5"/>
  <c r="O55" i="5"/>
  <c r="O57" i="5"/>
  <c r="J16" i="4"/>
  <c r="O72" i="5" l="1"/>
  <c r="P87" i="5" s="1"/>
  <c r="P84" i="5"/>
  <c r="Q88" i="5" s="1"/>
  <c r="P69" i="5"/>
  <c r="P67" i="5"/>
  <c r="J17" i="4"/>
  <c r="J18" i="4" s="1"/>
  <c r="U84" i="1" s="1"/>
  <c r="Q81" i="5" l="1"/>
  <c r="P71" i="5"/>
  <c r="O59" i="5"/>
  <c r="O60" i="5" s="1"/>
  <c r="P86" i="5" s="1"/>
  <c r="J21" i="4"/>
  <c r="J23" i="4" s="1"/>
  <c r="J24" i="4" s="1"/>
  <c r="J26" i="4"/>
  <c r="W84" i="1" s="1"/>
  <c r="J12" i="4"/>
  <c r="J9" i="10" l="1"/>
  <c r="J10" i="10" s="1"/>
  <c r="P84" i="1"/>
  <c r="Q69" i="5"/>
  <c r="P55" i="5"/>
  <c r="P57" i="5"/>
  <c r="Q79" i="5"/>
  <c r="Q83" i="5"/>
  <c r="Q84" i="5" s="1"/>
  <c r="R88" i="5" s="1"/>
  <c r="Q71" i="5"/>
  <c r="P72" i="5"/>
  <c r="Q87" i="5" s="1"/>
  <c r="Q67" i="5"/>
  <c r="P59" i="5"/>
  <c r="K9" i="4"/>
  <c r="N85" i="1" s="1"/>
  <c r="J25" i="4"/>
  <c r="Q84" i="1" s="1"/>
  <c r="K15" i="4"/>
  <c r="Q72" i="5" l="1"/>
  <c r="R87" i="5" s="1"/>
  <c r="P60" i="5"/>
  <c r="Q86" i="5" s="1"/>
  <c r="Q55" i="5"/>
  <c r="K16" i="4"/>
  <c r="Q57" i="5" l="1"/>
  <c r="K17" i="4"/>
  <c r="K18" i="4" s="1"/>
  <c r="U85" i="1" s="1"/>
  <c r="R79" i="5" l="1"/>
  <c r="R83" i="5"/>
  <c r="R81" i="5"/>
  <c r="R67" i="5"/>
  <c r="R71" i="5"/>
  <c r="R69" i="5"/>
  <c r="R55" i="5"/>
  <c r="Q59" i="5"/>
  <c r="Q60" i="5" s="1"/>
  <c r="R86" i="5" s="1"/>
  <c r="R57" i="5"/>
  <c r="K21" i="4"/>
  <c r="K23" i="4" s="1"/>
  <c r="K24" i="4" s="1"/>
  <c r="L9" i="4"/>
  <c r="N86" i="1" s="1"/>
  <c r="L15" i="4"/>
  <c r="K26" i="4"/>
  <c r="W85" i="1" s="1"/>
  <c r="K12" i="4"/>
  <c r="K9" i="10" l="1"/>
  <c r="K10" i="10" s="1"/>
  <c r="P85" i="1"/>
  <c r="R72" i="5"/>
  <c r="S87" i="5" s="1"/>
  <c r="R84" i="5"/>
  <c r="S88" i="5" s="1"/>
  <c r="R59" i="5"/>
  <c r="R60" i="5" s="1"/>
  <c r="S86" i="5" s="1"/>
  <c r="L16" i="4"/>
  <c r="K25" i="4"/>
  <c r="Q85" i="1" s="1"/>
  <c r="S83" i="5" l="1"/>
  <c r="S81" i="5"/>
  <c r="S69" i="5"/>
  <c r="S59" i="5"/>
  <c r="S57" i="5"/>
  <c r="S55" i="5"/>
  <c r="L17" i="4"/>
  <c r="L18" i="4" s="1"/>
  <c r="U86" i="1" s="1"/>
  <c r="S60" i="5" l="1"/>
  <c r="T86" i="5" s="1"/>
  <c r="S84" i="5"/>
  <c r="T88" i="5" s="1"/>
  <c r="S79" i="5"/>
  <c r="S71" i="5"/>
  <c r="S72" i="5" s="1"/>
  <c r="T87" i="5" s="1"/>
  <c r="S67" i="5"/>
  <c r="L21" i="4"/>
  <c r="L23" i="4" s="1"/>
  <c r="L24" i="4" s="1"/>
  <c r="M15" i="4"/>
  <c r="L26" i="4"/>
  <c r="W86" i="1" s="1"/>
  <c r="L12" i="4"/>
  <c r="L9" i="10" l="1"/>
  <c r="L10" i="10" s="1"/>
  <c r="P86" i="1"/>
  <c r="L25" i="4"/>
  <c r="Q86" i="1" s="1"/>
  <c r="M16" i="4"/>
  <c r="T83" i="5" l="1"/>
  <c r="T81" i="5"/>
  <c r="T79" i="5"/>
  <c r="T69" i="5"/>
  <c r="T67" i="5"/>
  <c r="T59" i="5"/>
  <c r="T55" i="5"/>
  <c r="T57" i="5"/>
  <c r="M21" i="4"/>
  <c r="M12" i="4"/>
  <c r="M17" i="4"/>
  <c r="M18" i="4" s="1"/>
  <c r="U87" i="1" s="1"/>
  <c r="M9" i="4"/>
  <c r="N87" i="1" s="1"/>
  <c r="T84" i="5" l="1"/>
  <c r="U88" i="5" s="1"/>
  <c r="T71" i="5"/>
  <c r="T72" i="5" s="1"/>
  <c r="T60" i="5"/>
  <c r="M23" i="4"/>
  <c r="M24" i="4" s="1"/>
  <c r="M26" i="4"/>
  <c r="W87" i="1" s="1"/>
  <c r="M9" i="10" l="1"/>
  <c r="M10" i="10" s="1"/>
  <c r="P87" i="1"/>
  <c r="U67" i="5"/>
  <c r="U87" i="5"/>
  <c r="U86" i="5"/>
  <c r="U57" i="5"/>
  <c r="N15" i="4"/>
  <c r="M25" i="4"/>
  <c r="Q87" i="1" s="1"/>
  <c r="U71" i="5" l="1"/>
  <c r="U69" i="5"/>
  <c r="U79" i="5"/>
  <c r="U83" i="5"/>
  <c r="U81" i="5"/>
  <c r="U59" i="5"/>
  <c r="U60" i="5" s="1"/>
  <c r="U55" i="5"/>
  <c r="N16" i="4"/>
  <c r="U72" i="5" l="1"/>
  <c r="V87" i="5" s="1"/>
  <c r="U84" i="5"/>
  <c r="V88" i="5" s="1"/>
  <c r="V69" i="5"/>
  <c r="V67" i="5"/>
  <c r="V86" i="5"/>
  <c r="N17" i="4"/>
  <c r="N18" i="4" s="1"/>
  <c r="N9" i="4"/>
  <c r="N88" i="1" s="1"/>
  <c r="C10" i="9" l="1"/>
  <c r="U88" i="1"/>
  <c r="C14" i="6"/>
  <c r="C30" i="7"/>
  <c r="C7" i="9"/>
  <c r="C29" i="7"/>
  <c r="V71" i="5"/>
  <c r="V72" i="5" s="1"/>
  <c r="C13" i="6"/>
  <c r="N21" i="4"/>
  <c r="N26" i="4"/>
  <c r="N12" i="4"/>
  <c r="C33" i="7" l="1"/>
  <c r="W88" i="1"/>
  <c r="N23" i="4"/>
  <c r="N24" i="4" s="1"/>
  <c r="C8" i="9"/>
  <c r="C15" i="6"/>
  <c r="C31" i="7"/>
  <c r="V81" i="5"/>
  <c r="V79" i="5"/>
  <c r="W87" i="5"/>
  <c r="W69" i="5"/>
  <c r="V59" i="5"/>
  <c r="V57" i="5"/>
  <c r="V55" i="5"/>
  <c r="C16" i="6"/>
  <c r="O15" i="4"/>
  <c r="N25" i="4" l="1"/>
  <c r="P88" i="1"/>
  <c r="C17" i="6"/>
  <c r="N9" i="10"/>
  <c r="N10" i="10" s="1"/>
  <c r="C32" i="7"/>
  <c r="C9" i="9"/>
  <c r="V83" i="5"/>
  <c r="V84" i="5" s="1"/>
  <c r="W88" i="5" s="1"/>
  <c r="W67" i="5"/>
  <c r="W71" i="5"/>
  <c r="W72" i="5" s="1"/>
  <c r="V60" i="5"/>
  <c r="O16" i="4"/>
  <c r="C21" i="9" l="1"/>
  <c r="Q88" i="1"/>
  <c r="C11" i="9"/>
  <c r="W79" i="5"/>
  <c r="W81" i="5"/>
  <c r="X87" i="5"/>
  <c r="W86" i="5"/>
  <c r="O17" i="4"/>
  <c r="O18" i="4" s="1"/>
  <c r="U89" i="1" s="1"/>
  <c r="O9" i="4"/>
  <c r="N89" i="1" s="1"/>
  <c r="W55" i="5" l="1"/>
  <c r="W57" i="5"/>
  <c r="C18" i="9"/>
  <c r="C12" i="9"/>
  <c r="W83" i="5"/>
  <c r="W84" i="5" s="1"/>
  <c r="X88" i="5" s="1"/>
  <c r="X69" i="5"/>
  <c r="W59" i="5"/>
  <c r="O21" i="4"/>
  <c r="O26" i="4"/>
  <c r="W89" i="1" s="1"/>
  <c r="O12" i="4"/>
  <c r="X67" i="5" l="1"/>
  <c r="X71" i="5"/>
  <c r="X72" i="5" s="1"/>
  <c r="W60" i="5"/>
  <c r="C19" i="9"/>
  <c r="O23" i="4"/>
  <c r="O24" i="4" s="1"/>
  <c r="X86" i="5"/>
  <c r="P15" i="4"/>
  <c r="O9" i="10" l="1"/>
  <c r="O10" i="10" s="1"/>
  <c r="P89" i="1"/>
  <c r="O25" i="4"/>
  <c r="Q89" i="1" s="1"/>
  <c r="X81" i="5"/>
  <c r="X79" i="5"/>
  <c r="Y69" i="5"/>
  <c r="Y87" i="5"/>
  <c r="X57" i="5"/>
  <c r="X55" i="5"/>
  <c r="P16" i="4"/>
  <c r="P9" i="4"/>
  <c r="N90" i="1" s="1"/>
  <c r="X83" i="5" l="1"/>
  <c r="X84" i="5" s="1"/>
  <c r="Y88" i="5" s="1"/>
  <c r="Y67" i="5"/>
  <c r="C33" i="5" s="1"/>
  <c r="X59" i="5"/>
  <c r="X60" i="5" s="1"/>
  <c r="P17" i="4"/>
  <c r="P18" i="4" s="1"/>
  <c r="U90" i="1" s="1"/>
  <c r="Y79" i="5" l="1"/>
  <c r="D33" i="5" s="1"/>
  <c r="Y81" i="5"/>
  <c r="Y71" i="5"/>
  <c r="Y72" i="5" s="1"/>
  <c r="C31" i="5"/>
  <c r="C30" i="5"/>
  <c r="C19" i="5"/>
  <c r="Y86" i="5"/>
  <c r="Y55" i="5"/>
  <c r="B33" i="5" s="1"/>
  <c r="Y57" i="5"/>
  <c r="P21" i="4"/>
  <c r="Q15" i="4"/>
  <c r="P26" i="4"/>
  <c r="W90" i="1" s="1"/>
  <c r="P12" i="4"/>
  <c r="P23" i="4" l="1"/>
  <c r="P24" i="4" s="1"/>
  <c r="Y83" i="5"/>
  <c r="D30" i="5"/>
  <c r="D31" i="5"/>
  <c r="Y84" i="5"/>
  <c r="D19" i="5"/>
  <c r="Z87" i="5"/>
  <c r="C32" i="5"/>
  <c r="Y59" i="5"/>
  <c r="Y60" i="5" s="1"/>
  <c r="B30" i="5"/>
  <c r="B31" i="5"/>
  <c r="B19" i="5"/>
  <c r="Q16" i="4"/>
  <c r="P9" i="10" l="1"/>
  <c r="P10" i="10" s="1"/>
  <c r="P90" i="1"/>
  <c r="P25" i="4"/>
  <c r="Q90" i="1" s="1"/>
  <c r="D32" i="5"/>
  <c r="Z88" i="5"/>
  <c r="C35" i="5"/>
  <c r="C36" i="5"/>
  <c r="Z86" i="5"/>
  <c r="B32" i="5"/>
  <c r="Q17" i="4"/>
  <c r="Q18" i="4" s="1"/>
  <c r="U91" i="1" s="1"/>
  <c r="Q9" i="4"/>
  <c r="N91" i="1" s="1"/>
  <c r="D36" i="5" l="1"/>
  <c r="D35" i="5"/>
  <c r="B36" i="5"/>
  <c r="B35" i="5"/>
  <c r="Q21" i="4"/>
  <c r="Q26" i="4"/>
  <c r="W91" i="1" s="1"/>
  <c r="Q12" i="4"/>
  <c r="Q23" i="4" l="1"/>
  <c r="Q24" i="4" s="1"/>
  <c r="R15" i="4"/>
  <c r="Q9" i="10" l="1"/>
  <c r="Q10" i="10" s="1"/>
  <c r="P91" i="1"/>
  <c r="Q25" i="4"/>
  <c r="Q91" i="1" s="1"/>
  <c r="R16" i="4"/>
  <c r="R9" i="4" l="1"/>
  <c r="N92" i="1" s="1"/>
  <c r="R17" i="4"/>
  <c r="R18" i="4" s="1"/>
  <c r="U92" i="1" s="1"/>
  <c r="R21" i="4" l="1"/>
  <c r="R26" i="4"/>
  <c r="W92" i="1" s="1"/>
  <c r="R12" i="4"/>
  <c r="R23" i="4" l="1"/>
  <c r="R24" i="4" s="1"/>
  <c r="S15" i="4"/>
  <c r="R9" i="10" l="1"/>
  <c r="R10" i="10" s="1"/>
  <c r="P92" i="1"/>
  <c r="R25" i="4"/>
  <c r="Q92" i="1" s="1"/>
  <c r="S16" i="4"/>
  <c r="S9" i="4" l="1"/>
  <c r="N93" i="1" s="1"/>
  <c r="S17" i="4"/>
  <c r="S18" i="4" s="1"/>
  <c r="U93" i="1" s="1"/>
  <c r="S26" i="4" l="1"/>
  <c r="W93" i="1" s="1"/>
  <c r="S12" i="4"/>
  <c r="S21" i="4"/>
  <c r="S23" i="4" l="1"/>
  <c r="S24" i="4" s="1"/>
  <c r="T15" i="4"/>
  <c r="S25" i="4" l="1"/>
  <c r="Q93" i="1" s="1"/>
  <c r="P93" i="1"/>
  <c r="S9" i="10"/>
  <c r="S10" i="10" s="1"/>
  <c r="T16" i="4"/>
  <c r="T9" i="4" l="1"/>
  <c r="N94" i="1" s="1"/>
  <c r="T17" i="4"/>
  <c r="T18" i="4" s="1"/>
  <c r="U94" i="1" s="1"/>
  <c r="T21" i="4" l="1"/>
  <c r="T23" i="4" s="1"/>
  <c r="T24" i="4" s="1"/>
  <c r="P94" i="1" s="1"/>
  <c r="T12" i="4"/>
  <c r="T26" i="4"/>
  <c r="W94" i="1" s="1"/>
  <c r="T9" i="10" l="1"/>
  <c r="T10" i="10" s="1"/>
  <c r="T25" i="4"/>
  <c r="Q94" i="1" s="1"/>
  <c r="U15" i="4"/>
  <c r="U16" i="4" l="1"/>
  <c r="U12" i="4" l="1"/>
  <c r="U9" i="4"/>
  <c r="N95" i="1" s="1"/>
  <c r="U17" i="4"/>
  <c r="U18" i="4" s="1"/>
  <c r="U95" i="1" s="1"/>
  <c r="U26" i="4" l="1"/>
  <c r="W95" i="1" s="1"/>
  <c r="U21" i="4"/>
  <c r="U23" i="4" s="1"/>
  <c r="U24" i="4" s="1"/>
  <c r="U9" i="10" l="1"/>
  <c r="U10" i="10" s="1"/>
  <c r="P95" i="1"/>
  <c r="U25" i="4"/>
  <c r="Q95" i="1" s="1"/>
  <c r="V15" i="4"/>
  <c r="V16" i="4" l="1"/>
  <c r="V9" i="4" l="1"/>
  <c r="N96" i="1" s="1"/>
  <c r="V17" i="4"/>
  <c r="V18" i="4" s="1"/>
  <c r="U96" i="1" s="1"/>
  <c r="V12" i="4" l="1"/>
  <c r="V21" i="4"/>
  <c r="V23" i="4" s="1"/>
  <c r="V24" i="4" s="1"/>
  <c r="P96" i="1" s="1"/>
  <c r="V26" i="4"/>
  <c r="W96" i="1" s="1"/>
  <c r="W15" i="4"/>
  <c r="V25" i="4" l="1"/>
  <c r="Q96" i="1" s="1"/>
  <c r="V9" i="10"/>
  <c r="V10" i="10" s="1"/>
  <c r="W16" i="4"/>
  <c r="W17" i="4" l="1"/>
  <c r="W18" i="4" s="1"/>
  <c r="U97" i="1" s="1"/>
  <c r="W9" i="4"/>
  <c r="N97" i="1" s="1"/>
  <c r="W21" i="4" l="1"/>
  <c r="W23" i="4" s="1"/>
  <c r="W24" i="4" s="1"/>
  <c r="W26" i="4"/>
  <c r="W97" i="1" s="1"/>
  <c r="W12" i="4"/>
  <c r="W9" i="10" l="1"/>
  <c r="W10" i="10" s="1"/>
  <c r="P97" i="1"/>
  <c r="W25" i="4"/>
  <c r="Q97" i="1" s="1"/>
  <c r="X15" i="4"/>
  <c r="X16" i="4" l="1"/>
  <c r="X17" i="4" l="1"/>
  <c r="X18" i="4" s="1"/>
  <c r="U98" i="1" s="1"/>
  <c r="X9" i="4"/>
  <c r="N98" i="1" s="1"/>
  <c r="X21" i="4" l="1"/>
  <c r="X23" i="4" s="1"/>
  <c r="X24" i="4" s="1"/>
  <c r="X26" i="4"/>
  <c r="W98" i="1" s="1"/>
  <c r="X12" i="4"/>
  <c r="X9" i="10" l="1"/>
  <c r="X10" i="10" s="1"/>
  <c r="P98" i="1"/>
  <c r="X25" i="4"/>
  <c r="Q98" i="1" s="1"/>
  <c r="Y15" i="4"/>
  <c r="Y16" i="4" l="1"/>
  <c r="Y9" i="4" l="1"/>
  <c r="N99" i="1" s="1"/>
  <c r="Y17" i="4"/>
  <c r="Y18" i="4" s="1"/>
  <c r="U99" i="1" s="1"/>
  <c r="Y21" i="4" l="1"/>
  <c r="Y23" i="4" s="1"/>
  <c r="Y24" i="4" s="1"/>
  <c r="Y26" i="4"/>
  <c r="W99" i="1" s="1"/>
  <c r="Y12" i="4"/>
  <c r="Y9" i="10" l="1"/>
  <c r="Y10" i="10" s="1"/>
  <c r="P99" i="1"/>
  <c r="Z15" i="4"/>
  <c r="Y25" i="4"/>
  <c r="Q99" i="1" s="1"/>
  <c r="Z16" i="4" l="1"/>
  <c r="Z9" i="4" l="1"/>
  <c r="Z17" i="4"/>
  <c r="Z18" i="4" s="1"/>
  <c r="C14" i="1" l="1"/>
  <c r="N100" i="1"/>
  <c r="D10" i="9"/>
  <c r="E10" i="9" s="1"/>
  <c r="U100" i="1"/>
  <c r="D30" i="7"/>
  <c r="D11" i="8"/>
  <c r="D10" i="8"/>
  <c r="D7" i="9"/>
  <c r="D29" i="7"/>
  <c r="C11" i="8"/>
  <c r="E11" i="8" s="1"/>
  <c r="Z21" i="4"/>
  <c r="D14" i="6"/>
  <c r="D13" i="6"/>
  <c r="Z12" i="4"/>
  <c r="Z26" i="4"/>
  <c r="I14" i="1" l="1"/>
  <c r="W100" i="1"/>
  <c r="E7" i="9"/>
  <c r="Z23" i="4"/>
  <c r="Z24" i="4" s="1"/>
  <c r="D8" i="9"/>
  <c r="E8" i="9" s="1"/>
  <c r="D15" i="6"/>
  <c r="D31" i="7"/>
  <c r="C29" i="11"/>
  <c r="D33" i="7"/>
  <c r="D16" i="6"/>
  <c r="C21" i="5"/>
  <c r="C22" i="6" s="1"/>
  <c r="D22" i="6" s="1"/>
  <c r="E22" i="6" s="1"/>
  <c r="D21" i="5"/>
  <c r="C23" i="6" s="1"/>
  <c r="D23" i="6" s="1"/>
  <c r="E23" i="6" s="1"/>
  <c r="B21" i="5"/>
  <c r="D17" i="6" l="1"/>
  <c r="P100" i="1"/>
  <c r="Z25" i="4"/>
  <c r="C34" i="7" s="1" a="1"/>
  <c r="C34" i="7" s="1"/>
  <c r="D32" i="7"/>
  <c r="Z9" i="10"/>
  <c r="D9" i="9"/>
  <c r="C21" i="6"/>
  <c r="D21" i="6" s="1"/>
  <c r="E21" i="6" s="1"/>
  <c r="C37" i="7"/>
  <c r="D37" i="7" s="1"/>
  <c r="B22" i="5"/>
  <c r="D22" i="5"/>
  <c r="C22" i="5"/>
  <c r="C17" i="10" l="1" a="1"/>
  <c r="C17" i="10" s="1"/>
  <c r="Q100" i="1"/>
  <c r="G9" i="1" a="1"/>
  <c r="G9" i="1" s="1"/>
  <c r="D21" i="9"/>
  <c r="C15" i="10"/>
  <c r="Z10" i="10"/>
  <c r="D11" i="9"/>
  <c r="E9" i="9"/>
  <c r="C23" i="5"/>
  <c r="D23" i="5"/>
  <c r="B23" i="5"/>
  <c r="I9" i="1" l="1"/>
  <c r="D18" i="9"/>
  <c r="E11" i="9"/>
  <c r="E12" i="9" s="1"/>
  <c r="D12" i="9"/>
  <c r="C14" i="10"/>
  <c r="C30" i="11"/>
  <c r="C13" i="10"/>
  <c r="E18" i="9" l="1"/>
  <c r="D19" i="9"/>
  <c r="E19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santos</author>
  </authors>
  <commentList>
    <comment ref="B11" authorId="0" shapeId="0" xr:uid="{40A1D7F6-FE26-A948-9DCC-615173564204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4.5 $1/MTok input</t>
        </r>
      </text>
    </comment>
    <comment ref="B12" authorId="0" shapeId="0" xr:uid="{9BB9BC61-ED39-B147-BDF7-4B8117A561E2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4.5 $5/MTok output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<sst xmlns="http://schemas.openxmlformats.org/spreadsheetml/2006/main" count="815" uniqueCount="656">
  <si>
    <t>LTV Essencial</t>
  </si>
  <si>
    <t>LTV / CAC</t>
  </si>
  <si>
    <t>≥3× ok · ≥8× top quartile</t>
  </si>
  <si>
    <t>── API ──</t>
  </si>
  <si>
    <t>Sonnet Input $/MTok</t>
  </si>
  <si>
    <t>Sonnet Output $/MTok</t>
  </si>
  <si>
    <t>Free: tokens input</t>
  </si>
  <si>
    <t>Free: tokens output</t>
  </si>
  <si>
    <t>Essencial: tokens input</t>
  </si>
  <si>
    <t>Essencial: tokens output</t>
  </si>
  <si>
    <t>Free leads M1–12</t>
  </si>
  <si>
    <t>Free leads M13–24</t>
  </si>
  <si>
    <t>Conv. Free→Essencial</t>
  </si>
  <si>
    <t>── UNIT ECONOMICS ──</t>
  </si>
  <si>
    <t>── VALUATION ──</t>
  </si>
  <si>
    <t>Sonnet 4.6 Input ($/MTok)</t>
  </si>
  <si>
    <t>Sonnet 4.6 Output ($/MTok)</t>
  </si>
  <si>
    <t>Autônoma: chat (= Essencial)</t>
  </si>
  <si>
    <t>Livre: chat (= Essencial)</t>
  </si>
  <si>
    <t>M01</t>
  </si>
  <si>
    <t>M02</t>
  </si>
  <si>
    <t>M03</t>
  </si>
  <si>
    <t>M04</t>
  </si>
  <si>
    <t>M05</t>
  </si>
  <si>
    <t>M07</t>
  </si>
  <si>
    <t>M08</t>
  </si>
  <si>
    <t>M09</t>
  </si>
  <si>
    <t>M10</t>
  </si>
  <si>
    <t>M12 ★</t>
  </si>
  <si>
    <t>M13</t>
  </si>
  <si>
    <t>M14</t>
  </si>
  <si>
    <t>M15</t>
  </si>
  <si>
    <t>M16</t>
  </si>
  <si>
    <t>M17</t>
  </si>
  <si>
    <t>M19</t>
  </si>
  <si>
    <t>M20</t>
  </si>
  <si>
    <t>M21</t>
  </si>
  <si>
    <t>M22</t>
  </si>
  <si>
    <t>M23</t>
  </si>
  <si>
    <t>M24 ★</t>
  </si>
  <si>
    <t>usr</t>
  </si>
  <si>
    <t>R$</t>
  </si>
  <si>
    <t>TOTAL API</t>
  </si>
  <si>
    <t>%</t>
  </si>
  <si>
    <t>× ARR (SaaS LATAM)</t>
  </si>
  <si>
    <t>1 ÷ churn</t>
  </si>
  <si>
    <t>assinantes</t>
  </si>
  <si>
    <t>MRR</t>
  </si>
  <si>
    <t>Free</t>
  </si>
  <si>
    <t>Essencial</t>
  </si>
  <si>
    <t>Autônoma</t>
  </si>
  <si>
    <t>Livre</t>
  </si>
  <si>
    <t>M06</t>
  </si>
  <si>
    <t>M11</t>
  </si>
  <si>
    <t>M12</t>
  </si>
  <si>
    <t>M18</t>
  </si>
  <si>
    <t>M24</t>
  </si>
  <si>
    <t xml:space="preserve">M06 </t>
  </si>
  <si>
    <t xml:space="preserve">M11 </t>
  </si>
  <si>
    <t>Base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</si>
  <si>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</si>
  <si>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</si>
  <si>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</si>
  <si>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</si>
  <si>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</si>
  <si>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</si>
  <si>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</si>
  <si>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</si>
  <si>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</si>
  <si>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 xml:space="preserve">M18 </t>
  </si>
  <si>
    <t>Conv. Free→Autônoma</t>
  </si>
  <si>
    <t>Conv. Free→Livre</t>
  </si>
  <si>
    <t>Valuation 100% M24</t>
  </si>
  <si>
    <t>Floor YoY · Base</t>
  </si>
  <si>
    <t>BASE</t>
  </si>
  <si>
    <t>R$ · taxa B66 mensal</t>
  </si>
  <si>
    <t>% a.a.</t>
  </si>
  <si>
    <t>Haiku 4.5 Input ($/MTok)</t>
  </si>
  <si>
    <t>Haiku 4.5 Output ($/MTok)</t>
  </si>
  <si>
    <t>Valuation post-money</t>
  </si>
  <si>
    <t>Valuation pre-money</t>
  </si>
  <si>
    <t>Valuation M24</t>
  </si>
  <si>
    <t>Total</t>
  </si>
  <si>
    <t>LTV (R$)</t>
  </si>
  <si>
    <t>Haiku 4.5</t>
  </si>
  <si>
    <t>Sonnet 4.6</t>
  </si>
  <si>
    <t>Upsell · lock-in</t>
  </si>
  <si>
    <t>LTV / CAC (Essencial)</t>
  </si>
  <si>
    <t>Upgrade Essencial → Autônoma</t>
  </si>
  <si>
    <t>Upgrade Autônoma → Livre</t>
  </si>
  <si>
    <t>Paid social</t>
  </si>
  <si>
    <t>Player</t>
  </si>
  <si>
    <t>~R$ 100+</t>
  </si>
  <si>
    <t>R$ 20–50</t>
  </si>
  <si>
    <t>AutoNoma</t>
  </si>
  <si>
    <t>Total 24m</t>
  </si>
  <si>
    <t>M1–M3</t>
  </si>
  <si>
    <t>M4–M6</t>
  </si>
  <si>
    <t>M7–M12</t>
  </si>
  <si>
    <t>M13–M18</t>
  </si>
  <si>
    <t>M19–M24</t>
  </si>
  <si>
    <t>Status</t>
  </si>
  <si>
    <t>≥ 70%</t>
  </si>
  <si>
    <t>&gt; R$ 0</t>
  </si>
  <si>
    <t>AUTONOMA</t>
  </si>
  <si>
    <t>VALUATION · M24</t>
  </si>
  <si>
    <t>MRR · M24</t>
  </si>
  <si>
    <t>RECEITA &amp; COMPARATIVO DE CENÁRIOS</t>
  </si>
  <si>
    <t>Modelo 100% dinâmico · motor de cálculo em 📊 Base Mensal · premissas em 🎛️ Premissas e 🔧 Cenário Ativo · comparação em 📊 Resumo Cenários</t>
  </si>
  <si>
    <t>Este material é um estudo de projeção e não configura oferta de investimento. AutoNoma © 2025</t>
  </si>
  <si>
    <t>Haiku Input $/MTok</t>
  </si>
  <si>
    <t>Haiku Output $/MTok</t>
  </si>
  <si>
    <t>AutoNoma · Scenario Selector · Controller</t>
  </si>
  <si>
    <t>▶  ACTIVE SCENARIO  ◀  (change here to switch model)</t>
  </si>
  <si>
    <t>Conservative</t>
  </si>
  <si>
    <t>← Select: Conservative / Base / Optimistic</t>
  </si>
  <si>
    <t>Assumptions column (internal use — do not edit)</t>
  </si>
  <si>
    <t>Resolved assumptions for the selected scenario</t>
  </si>
  <si>
    <t>── PRICING ──</t>
  </si>
  <si>
    <t>Essencial Price</t>
  </si>
  <si>
    <t>Autônoma Price</t>
  </si>
  <si>
    <t>Livre Price</t>
  </si>
  <si>
    <t>Add-on agent revenue / Essencial subscriber</t>
  </si>
  <si>
    <t>FX Rate USD/BRL</t>
  </si>
  <si>
    <t>Caching Discount</t>
  </si>
  <si>
    <t>── USAGE ──</t>
  </si>
  <si>
    <t>Free: interactions/month</t>
  </si>
  <si>
    <t>Free: % active/month</t>
  </si>
  <si>
    <t>Essencial: interactions/month</t>
  </si>
  <si>
    <t>Autônoma: agent sessions/month</t>
  </si>
  <si>
    <t>Autônoma: tokens input/session</t>
  </si>
  <si>
    <t>Autônoma: tokens output/session</t>
  </si>
  <si>
    <t>Livre: total sessions/month</t>
  </si>
  <si>
    <t>── GROWTH ──</t>
  </si>
  <si>
    <t>Churn Essencial/month</t>
  </si>
  <si>
    <t>Churn Autônoma/month</t>
  </si>
  <si>
    <t>Churn Livre/month</t>
  </si>
  <si>
    <t>── FIXED COSTS ──</t>
  </si>
  <si>
    <t>Team Year 1</t>
  </si>
  <si>
    <t>Team Year 2</t>
  </si>
  <si>
    <t>Infra Year 1</t>
  </si>
  <si>
    <t>Infra Year 2</t>
  </si>
  <si>
    <t>Marketing Year 1</t>
  </si>
  <si>
    <t>Marketing Year 2</t>
  </si>
  <si>
    <t>Other</t>
  </si>
  <si>
    <t>Full-loaded CAC</t>
  </si>
  <si>
    <t>% acquisition via paid</t>
  </si>
  <si>
    <t>ARR Multiple M18</t>
  </si>
  <si>
    <t>CALCULATED UNIT ECONOMICS (helpers)</t>
  </si>
  <si>
    <t>API Cost per Essencial / month</t>
  </si>
  <si>
    <t>Unit Margin Essencial / month</t>
  </si>
  <si>
    <t>Avg. Essencial lifetime (months)</t>
  </si>
  <si>
    <t>CAC Payback (months)</t>
  </si>
  <si>
    <t>TAXES</t>
  </si>
  <si>
    <t>Tax rate on revenue</t>
  </si>
  <si>
    <t>← Assumptions!Essencial Price (row 5)</t>
  </si>
  <si>
    <t>← Assumptions!Autônoma Price (row 6)</t>
  </si>
  <si>
    <t>← Assumptions!Livre Price (row 7)</t>
  </si>
  <si>
    <t>← Assumptions!Add-on agents (row 8)</t>
  </si>
  <si>
    <t>← Assumptions!FX Rate USD/BRL (row 10)</t>
  </si>
  <si>
    <t>← Assumptions!Sonnet 4.6 Input ($/MTok) (row 13)</t>
  </si>
  <si>
    <t>← Assumptions!Sonnet 4.6 Output ($/MTok) (row 14)</t>
  </si>
  <si>
    <t>← Assumptions!Haiku 4.5 Input ($/MTok) (row 11)</t>
  </si>
  <si>
    <t>← Assumptions!Haiku 4.5 Output ($/MTok) (row 12)</t>
  </si>
  <si>
    <t>← Assumptions!Prompt Caching Discount (%) (row 15)</t>
  </si>
  <si>
    <t>← Assumptions!Free: interactions/month (LIMIT) (row 14)</t>
  </si>
  <si>
    <t>← Assumptions!Free: tokens input/interaction (row 15)</t>
  </si>
  <si>
    <t>← Assumptions!Free: tokens output/interaction (row 16)</t>
  </si>
  <si>
    <t>← Assumptions!Free: % active users/month (row 17)</t>
  </si>
  <si>
    <t>← Assumptions!Essencial: chat interactions/month (row 18)</t>
  </si>
  <si>
    <t>← Assumptions!Essencial: tokens input/interaction (row 19)</t>
  </si>
  <si>
    <t>← Assumptions!Essencial: tokens output/interaction (row 20)</t>
  </si>
  <si>
    <t>← Assumptions!Autônoma: agent sessions/month (row 22)</t>
  </si>
  <si>
    <t>← Assumptions!Autônoma: tokens input/agent session (row 23)</t>
  </si>
  <si>
    <t>← Assumptions!Autônoma: tokens output/agent session (row 24)</t>
  </si>
  <si>
    <t>← Assumptions!Livre: total agent sessions/month (row 26)</t>
  </si>
  <si>
    <t>← Assumptions!Free Growth M1–12 (leads/month) (row 28)</t>
  </si>
  <si>
    <t>← Assumptions!Free Growth M13–24 (leads/month) (row 29)</t>
  </si>
  <si>
    <t>← Assumptions!Free → Essencial Conversion (%) (row 31)</t>
  </si>
  <si>
    <t>← Assumptions!Free → Autônoma Conversion (%) (row 32)</t>
  </si>
  <si>
    <t>← Assumptions!Free → Livre Conversion (%) (row 33)</t>
  </si>
  <si>
    <t>← Assumptions!Monthly Churn Essencial (row 34)</t>
  </si>
  <si>
    <t>← Assumptions!Monthly Churn Autônoma (row 35)</t>
  </si>
  <si>
    <t>← Assumptions!Monthly Churn Livre (row 36)</t>
  </si>
  <si>
    <t>← Assumptions!Team Year 1 (avg/month) (row 38)</t>
  </si>
  <si>
    <t>← Assumptions!Team Year 2 (avg/month) (row 39)</t>
  </si>
  <si>
    <t>← Assumptions!Infrastructure Year 1 (row 41)</t>
  </si>
  <si>
    <t>← Assumptions!Infrastructure Year 2 (row 42)</t>
  </si>
  <si>
    <t>← Assumptions!Base Marketing Year 1 (row 44)</t>
  </si>
  <si>
    <t>← Assumptions!Base Marketing Year 2 (row 45)</t>
  </si>
  <si>
    <t>← Assumptions!Other (legal, accounting, misc.) (row 47)</t>
  </si>
  <si>
    <t>← Assumptions!Full-loaded CAC (R$) (row 49)</t>
  </si>
  <si>
    <t>← Assumptions!% acquisition via paid (row 51)</t>
  </si>
  <si>
    <t>← Assumptions!Series A ARR Multiple (× ARR) (row 53)</t>
  </si>
  <si>
    <t>Does ARPU cover API cost?</t>
  </si>
  <si>
    <t>Price + add-on agents − API Cost</t>
  </si>
  <si>
    <t>1 ÷ monthly churn</t>
  </si>
  <si>
    <t>Margin × avg. lifetime</t>
  </si>
  <si>
    <t>CAC ÷ monthly margin · &lt;12m = excellent</t>
  </si>
  <si>
    <t>← Assumptions!Tax rate (row 67)</t>
  </si>
  <si>
    <t>INVESTOR DASHBOARD · 24-MONTH PLAN</t>
  </si>
  <si>
    <t>Full Business Plan: 📋 Summary · 🌎 Market &amp; GTM · 📈 P&amp;L · 💰 Cash &amp; Runway · ⚠️ Risks &amp; Roadmap · 💎 Angel Summary</t>
  </si>
  <si>
    <t>ACTIVE SCENARIO</t>
  </si>
  <si>
    <t>← change in 🔧 Active Scenario!B2 (Conservative / Base / Optimistic) — the entire BP recalculates</t>
  </si>
  <si>
    <t>ANGEL RETURN · M24</t>
  </si>
  <si>
    <t>CUMUL. REVENUE · 24M</t>
  </si>
  <si>
    <t>CASH BREAKEVEN</t>
  </si>
  <si>
    <t>ENDING CASH · M24</t>
  </si>
  <si>
    <t>official valuation base (📊 Scenario Summary)</t>
  </si>
  <si>
    <t>cumulative result turns positive</t>
  </si>
  <si>
    <t>PAYING SUBSCRIBERS · M24</t>
  </si>
  <si>
    <t>CAC PAYBACK</t>
  </si>
  <si>
    <t>GROSS MARGIN · M24</t>
  </si>
  <si>
    <t>after API cost (Free Haiku · paid Sonnet)</t>
  </si>
  <si>
    <t>PROJECTIONS · 24 MONTHS</t>
  </si>
  <si>
    <t>REVENUE &amp; SCENARIO COMPARISON</t>
  </si>
  <si>
    <t>Month</t>
  </si>
  <si>
    <t>Paying</t>
  </si>
  <si>
    <t>Result</t>
  </si>
  <si>
    <t>Cumulative</t>
  </si>
  <si>
    <t>Total API</t>
  </si>
  <si>
    <t>Fixed Cost</t>
  </si>
  <si>
    <t>Margin%</t>
  </si>
  <si>
    <t>Scenario</t>
  </si>
  <si>
    <t>Optimistic</t>
  </si>
  <si>
    <t>Investment R$1M</t>
  </si>
  <si>
    <t>AUTONOMA · EXECUTIVE SUMMARY</t>
  </si>
  <si>
    <t>Asset-Light SaaS · Personal AI for Brazilian women · Brazil → LATAM · 24-month horizon</t>
  </si>
  <si>
    <t>1 · THE COMPANY</t>
  </si>
  <si>
    <t>Vision</t>
  </si>
  <si>
    <t>Problem</t>
  </si>
  <si>
    <t>Solution</t>
  </si>
  <si>
    <t>Why now</t>
  </si>
  <si>
    <t>To be the leading AI assistant for personal and financial autonomy in Latin America, starting with Brazil.</t>
  </si>
  <si>
    <t>Generic assistants don't execute end-to-end tasks: the user still carries the mental load of planning, remembering, and solving.</t>
  </si>
  <si>
    <t>Noma: assistant with memory + autonomous agents that complete full tasks (Sonnet 4.6 on paid plans; Haiku 4.5 on Free as acquisition cost).</t>
  </si>
  <si>
    <t>Cost per token declining (caching -35% to -45%), agents mature for production, and Brazilian market with no player focused on this audience.</t>
  </si>
  <si>
    <t>2 · BUSINESS MODEL · PLANS</t>
  </si>
  <si>
    <t>Plan</t>
  </si>
  <si>
    <t>Price (R$/month)</t>
  </si>
  <si>
    <t>AI Model</t>
  </si>
  <si>
    <t>Includes</t>
  </si>
  <si>
    <t>Funnel role</t>
  </si>
  <si>
    <t>50 interactions/month</t>
  </si>
  <si>
    <t>Unlimited chat + memory · add-on specialized agents (avg R$ 10/month)</t>
  </si>
  <si>
    <t>Chat + 1 autonomous agent</t>
  </si>
  <si>
    <t>Chat + 2 agents</t>
  </si>
  <si>
    <t>Acquisition (mkt cost)</t>
  </si>
  <si>
    <t>Volume · revenue base</t>
  </si>
  <si>
    <t>Premium · max lock-in</t>
  </si>
  <si>
    <t>Dynamic pricing per scenario selected in 🔧 Active Scenario!B2. Gross margin &gt;80% sustained by caching and Free on Haiku.</t>
  </si>
  <si>
    <t>3 · THE ANGEL INVESTOR OFFER</t>
  </si>
  <si>
    <t>Investment</t>
  </si>
  <si>
    <t>Equity offered</t>
  </si>
  <si>
    <t>Use of capital</t>
  </si>
  <si>
    <t>40% Product · 30% Acquisition · 20% Team · 10% Reserve (detail in 💎 Angel Summary)</t>
  </si>
  <si>
    <t>← single entry, ~18-month runway</t>
  </si>
  <si>
    <t>← stake acquired in the investment</t>
  </si>
  <si>
    <t>= investment ÷ equity − investment</t>
  </si>
  <si>
    <t>= investment ÷ equity</t>
  </si>
  <si>
    <t>4 · FINANCIAL HIGHLIGHTS · ACTIVE SCENARIO:</t>
  </si>
  <si>
    <t>Indicator</t>
  </si>
  <si>
    <t>Note</t>
  </si>
  <si>
    <t>Paying subscribers</t>
  </si>
  <si>
    <t>MRR (R$/month)</t>
  </si>
  <si>
    <t>Cumulative revenue</t>
  </si>
  <si>
    <t>Monthly result</t>
  </si>
  <si>
    <t>Gross margin (% MRR)</t>
  </si>
  <si>
    <t>Cash breakeven</t>
  </si>
  <si>
    <t>Valuation M24 (active scenario)</t>
  </si>
  <si>
    <t>Angel return (15% stake)</t>
  </si>
  <si>
    <t>compound growth from Free base</t>
  </si>
  <si>
    <t>monthly recurring revenue</t>
  </si>
  <si>
    <t>sum of 24 months of MRR from active scenario (📊 Monthly Base)</t>
  </si>
  <si>
    <t>after API + fixed + taxes</t>
  </si>
  <si>
    <t>after API cost</t>
  </si>
  <si>
    <t>cumulative result &gt; 0</t>
  </si>
  <si>
    <t>cumul. rev. 24m × scenario multiple</t>
  </si>
  <si>
    <t>stake value ÷ investment</t>
  </si>
  <si>
    <t>5 · INVESTMENT THESIS</t>
  </si>
  <si>
    <t>① Unit economics proven from M1: LTV/CAC ≥5× even in the Conservative scenario; CAC payback &lt; 3 months.</t>
  </si>
  <si>
    <t>② Software margin (&gt;80%) with controlled variable cost: Free runs on Haiku 4.5; paid on Sonnet 4.6 with caching.</t>
  </si>
  <si>
    <t>③ Fast breakeven (M7 in Conservative) — the investment funds growth, not operating losses.</t>
  </si>
  <si>
    <t>④ Churn decreases with agent adoption (8% → 3%): the more Noma executes, the greater the lock-in.</t>
  </si>
  <si>
    <t>⑤ Viable exit in 24m: cumulative revenue supports Series A at 3–7× — 4–22× return on investment depending on scenario.</t>
  </si>
  <si>
    <t>Note: This study does not constitute an investment invitation or promise. All values are 100% dynamic — they recalculate when changing 🔧 Active Scenario!B2 and 🎛️ Assumptions. AutoNoma © 2025.</t>
  </si>
  <si>
    <t>AUTONOMA · MARKET &amp; GO-TO-MARKET</t>
  </si>
  <si>
    <t>TAM/SAM/SOM sizing · acquisition funnel · channels · competitive positioning</t>
  </si>
  <si>
    <t>1 · MARKET SIZE · BRAZIL (editable inputs in blue)</t>
  </si>
  <si>
    <t>Layer</t>
  </si>
  <si>
    <t>Users</t>
  </si>
  <si>
    <t>Annual potential (R$)</t>
  </si>
  <si>
    <t>% captured</t>
  </si>
  <si>
    <t>Definition</t>
  </si>
  <si>
    <t>TAM · total market</t>
  </si>
  <si>
    <t>SAM · addressable market</t>
  </si>
  <si>
    <t>SOM · captured by M24 (sign-ups)</t>
  </si>
  <si>
    <t>└ of which paying at M24</t>
  </si>
  <si>
    <t>Connected adult women in Brazil (editable estimate)</t>
  </si>
  <si>
    <t>Already pay for digital subscriptions and use AI/productivity apps</t>
  </si>
  <si>
    <t>Cumulative sign-ups in 24m (30-day trial) · potential = ARR at M24</t>
  </si>
  <si>
    <t>Cumulative Free → paid conversion rate</t>
  </si>
  <si>
    <t>Required SAM penetration in 24m is below 1% — the plan doesn't depend on dominating the market to deliver the projected return.</t>
  </si>
  <si>
    <t>2 · ACQUISITION FUNNEL · ACTIVE SCENARIO (dynamic values)</t>
  </si>
  <si>
    <t>Funnel stage</t>
  </si>
  <si>
    <t>Value</t>
  </si>
  <si>
    <t>Unit</t>
  </si>
  <si>
    <t>Reading</t>
  </si>
  <si>
    <t>New Free sign-ups · M1–M12</t>
  </si>
  <si>
    <t>New Free sign-ups · M13–M24</t>
  </si>
  <si>
    <t>Conversion Free → Essencial</t>
  </si>
  <si>
    <t>Monthly churn (Essencial / Autônoma / Livre)</t>
  </si>
  <si>
    <t>% acquisition via paid (vs. organic)</t>
  </si>
  <si>
    <t>leads/month</t>
  </si>
  <si>
    <t>of eligible base/month</t>
  </si>
  <si>
    <t>%/month</t>
  </si>
  <si>
    <t>per subscriber</t>
  </si>
  <si>
    <t>of new paying users</t>
  </si>
  <si>
    <t>organic + viral + paid</t>
  </si>
  <si>
    <t>national scale</t>
  </si>
  <si>
    <t>paid entry door</t>
  </si>
  <si>
    <t>1st autonomous agent</t>
  </si>
  <si>
    <t>premium tier</t>
  </si>
  <si>
    <t>lock-in grows with agents</t>
  </si>
  <si>
    <t>remaining: organic, viral, partnerships</t>
  </si>
  <si>
    <t>3 · CHANNELS &amp; ENTRY STRATEGY</t>
  </si>
  <si>
    <t>Organic &amp; viral</t>
  </si>
  <si>
    <t>Partnerships &amp; influencers</t>
  </si>
  <si>
    <t>Free as engine</t>
  </si>
  <si>
    <t>Short-form content (TikTok/Reels/Shorts) showing Noma executing real tasks · in-app referral program</t>
  </si>
  <si>
    <t>Meta + TikTok Ads with use-case creatives · ~50% of new paying users · CAC cap governed by assumptions</t>
  </si>
  <si>
    <t>Personal finance, career, and motherhood creators · trackable coupons per channel</t>
  </si>
  <si>
    <t>Free plan (Haiku 4.5, 50 interactions/month) is the acquisition cost: the user experiences value before paying</t>
  </si>
  <si>
    <t>4 · COMPETITIVE POSITIONING</t>
  </si>
  <si>
    <t>free</t>
  </si>
  <si>
    <t>Focus</t>
  </si>
  <si>
    <t>generic chat</t>
  </si>
  <si>
    <t>lists and reminders</t>
  </si>
  <si>
    <t>single vertical</t>
  </si>
  <si>
    <t>personal agents</t>
  </si>
  <si>
    <t>ChatGPT / Gemini (generic)</t>
  </si>
  <si>
    <t>Productivity/organization apps</t>
  </si>
  <si>
    <t>Embedded assistants (banks, e-commerce)</t>
  </si>
  <si>
    <t>Why AutoNoma wins</t>
  </si>
  <si>
    <t>End-to-end executing agents + personal context memory + affordable BRL pricing</t>
  </si>
  <si>
    <t>Noma doesn’t remind the task — it does the task</t>
  </si>
  <si>
    <t>Cross-cutting view of the user’s life, not of a single product</t>
  </si>
  <si>
    <t>Audience focus, autonomous agents, optimized variable cost (Haiku Free / Sonnet paid)</t>
  </si>
  <si>
    <t>Note: market values are editable estimates for sizing — they do not replace formal research. AutoNoma © 2025.</t>
  </si>
  <si>
    <t>AUTONOMA · ANGEL INVESTOR SUMMARY</t>
  </si>
  <si>
    <t>Asset-Light SaaS · Brazil → LATAM · Sonnet 4.6 (paid plans) + Haiku 4.5 (Free) · 24-month horizon</t>
  </si>
  <si>
    <t>1 · THE OFFER</t>
  </si>
  <si>
    <t>← angel entry</t>
  </si>
  <si>
    <t>← stake acquired</t>
  </si>
  <si>
    <t>2 · MILESTONES TO SERIES A (Base scenario)</t>
  </si>
  <si>
    <t>Gross margin</t>
  </si>
  <si>
    <t>3 · ANGEL RETURN (15% stake)</t>
  </si>
  <si>
    <t>15% stake value</t>
  </si>
  <si>
    <t>Multiple on investment</t>
  </si>
  <si>
    <t>4 · USE OF CAPITAL (R$1M · ~18-month runway)</t>
  </si>
  <si>
    <t>Product &amp; Engineering (Sonnet/Haiku, dev)</t>
  </si>
  <si>
    <t>Acquisition &amp; Marketing (CAC, growth)</t>
  </si>
  <si>
    <t>Team &amp; Operations (CS, founder comp)</t>
  </si>
  <si>
    <t>Reserve &amp; Legal/Accounting</t>
  </si>
  <si>
    <t>5 · STRESS TEST / DOWNSIDE (transparency to the angel)</t>
  </si>
  <si>
    <t>• Differentiated churn by plan: Essencial 8%, Autônoma 5%, Livre 3% — lock-in grows with agent usage.</t>
  </si>
  <si>
    <t>• Cash break-even at M6; gross margin &gt;80% sustained by running Free on Haiku (cost only).</t>
  </si>
  <si>
    <t>• Sensitive to: actual CAC (currently R$60 full-loaded) and Free→paid conversion. Both controllable in 🎛️ Assumptions.</t>
  </si>
  <si>
    <t>• Next milestone: Cumul. revenue R$15M at M24 supports Series A conversion at 5× revenue (≈R$75M).</t>
  </si>
  <si>
    <t>Note: This summary does not constitute an investment invitation or promise. All values recalculate when changing the scenario in 🔧 Active Scenario and assumptions in 🎛️ Assumptions. AutoNoma © 2025.</t>
  </si>
  <si>
    <t>6 · SENSITIVITY: CHURN × LTV/CAC (Essencial plan, Base scenario)</t>
  </si>
  <si>
    <t>Churn/month</t>
  </si>
  <si>
    <t>Avg. lifetime (m)</t>
  </si>
  <si>
    <t>Reading: even doubling churn to 15%/month (life ~7m), LTV/CAC remains healthy at 4.8×. The model doesn’t depend on optimistic retention — it survives the downside.</t>
  </si>
  <si>
    <t>AUTONOMA · PROJECTED P&amp;L · YEAR 1 &amp; YEAR 2</t>
  </si>
  <si>
    <t>Line item (R$)</t>
  </si>
  <si>
    <t>Year 1 (M1–M12)</t>
  </si>
  <si>
    <t>Year 2 (M13–M24)</t>
  </si>
  <si>
    <t>Gross revenue (subscriptions)</t>
  </si>
  <si>
    <t>(−) Taxes on revenue</t>
  </si>
  <si>
    <t>(=) Net revenue</t>
  </si>
  <si>
    <t>(−) Variable cost · Anthropic API</t>
  </si>
  <si>
    <t>(=) Gross profit</t>
  </si>
  <si>
    <t>Gross margin (% gross revenue)</t>
  </si>
  <si>
    <t>(−) Fixed operating costs</t>
  </si>
  <si>
    <t xml:space="preserve">      ├ Team</t>
  </si>
  <si>
    <t xml:space="preserve">      ├ Infrastructure &amp; tools</t>
  </si>
  <si>
    <t xml:space="preserve">      ├ Marketing &amp; acquisition</t>
  </si>
  <si>
    <t xml:space="preserve">      └ Other (accounting, legal, admin)</t>
  </si>
  <si>
    <t>(=) EBITDA ≈ operating result</t>
  </si>
  <si>
    <t>EBITDA margin (% gross revenue)</t>
  </si>
  <si>
    <t>Cumulative result at end of period</t>
  </si>
  <si>
    <t>Check · EBITDA 24m = cumul. result M24</t>
  </si>
  <si>
    <t>sum of monthly MRR</t>
  </si>
  <si>
    <t>Free tokens (Haiku) + paid (Sonnet, w/ caching)</t>
  </si>
  <si>
    <t>breakdown below</t>
  </si>
  <si>
    <t>asset-light: no relevant capex, no debt</t>
  </si>
  <si>
    <t>cross-check with row 25 of 📊 Monthly Base</t>
  </si>
  <si>
    <t>Note: Simplified accrual P&amp;L (no D&amp;A, financial result, or additional income tax — Simples Nacional on revenue). Paid CAC is included in Marketing &amp; acquisition.</t>
  </si>
  <si>
    <t>AUTONOMA · CASH &amp; RUNWAY · 24 MONTHS</t>
  </si>
  <si>
    <t>MONTHLY CASH FLOW (R$)</t>
  </si>
  <si>
    <t>Capital inflow (angel investment)</t>
  </si>
  <si>
    <t>Monthly operating result</t>
  </si>
  <si>
    <t>Cash balance (end of month)</t>
  </si>
  <si>
    <t>RUNWAY &amp; SOLVENCY INDICATORS</t>
  </si>
  <si>
    <t>Minimum cash in period</t>
  </si>
  <si>
    <t>Ending cash · M24</t>
  </si>
  <si>
    <t>Avg. burn pre-breakeven</t>
  </si>
  <si>
    <t>Theoretical runway w/o revenue</t>
  </si>
  <si>
    <t>Cash breakeven (cumul. result &gt; 0)</t>
  </si>
  <si>
    <t>investment + 24-month cumulative result</t>
  </si>
  <si>
    <t>average of months with negative result</t>
  </si>
  <si>
    <t>investment ÷ avg. Year 1 fixed cost (extreme stress: zero revenue)</t>
  </si>
  <si>
    <t>from this point the operation is self-financing</t>
  </si>
  <si>
    <t>Note: Simplified cash flow = investment + operating result (no capex, no debt, no dividends). Alternative scenarios in 📊 Scenario Summary.</t>
  </si>
  <si>
    <t>AUTONOMA · RISKS, MITIGATIONS &amp; ROADMAP</t>
  </si>
  <si>
    <t>Risk matrix with monitoring triggers · 24-month execution roadmap · management guard-rails</t>
  </si>
  <si>
    <t>1 · RISK MATRIX &amp; MITIGATIONS</t>
  </si>
  <si>
    <t>Risk</t>
  </si>
  <si>
    <t>Probability</t>
  </si>
  <si>
    <t>Impact</t>
  </si>
  <si>
    <t>Mitigation</t>
  </si>
  <si>
    <t>Alert trigger</t>
  </si>
  <si>
    <t>CAC above forecast (paid saturated)</t>
  </si>
  <si>
    <t>Churn above plan</t>
  </si>
  <si>
    <t>API price increase / end of caching</t>
  </si>
  <si>
    <t>USD/BRL FX rate (dollar-denominated API cost)</t>
  </si>
  <si>
    <t>Big techs launch direct competitor</t>
  </si>
  <si>
    <t>Single-vendor dependency (Anthropic)</t>
  </si>
  <si>
    <t>LGPD · sensitive data privacy</t>
  </si>
  <si>
    <t>Execution with lean team</t>
  </si>
  <si>
    <t>Medium</t>
  </si>
  <si>
    <t>Low</t>
  </si>
  <si>
    <t>High</t>
  </si>
  <si>
    <t>LTV/CAC ≥3× discipline per channel; reallocate budget to organic/partnerships; creatives tested weekly</t>
  </si>
  <si>
    <t>Guided onboarding; 1st agent activation within first 7 days (churn drops from 8% to 5–3% with active agents)</t>
  </si>
  <si>
    <t>Multi-model architecture (abstraction layer); usage limits per plan; partial price pass-through if needed</t>
  </si>
  <si>
    <t>Margin &gt;80% absorbs fluctuations; editable FX assumption in 🎛️ Assumptions; annual price adjustment</t>
  </si>
  <si>
    <t>Niche focus + brand + accumulated personal memory (switching cost); local execution speed</t>
  </si>
  <si>
    <t>LLM-agnostic abstraction layer; periodic testing with alternative models; SLA contract</t>
  </si>
  <si>
    <t>Privacy by design; encryption at rest and in transit; granular consent; DPO from M1</t>
  </si>
  <si>
    <t>20% of investment in team; product/growth advisors; roadmap with quarterly verifiable milestones</t>
  </si>
  <si>
    <t>Blended CAC &gt; R$ 120</t>
  </si>
  <si>
    <t>Essencial churn &gt; 10%/month</t>
  </si>
  <si>
    <t>Gross margin &lt; 70%</t>
  </si>
  <si>
    <t>USD &gt; R$ 6.50</t>
  </si>
  <si>
    <t>Conversion drop in new cohorts</t>
  </si>
  <si>
    <t>Latency/SLA below standard</t>
  </si>
  <si>
    <t>Any data incident</t>
  </si>
  <si>
    <t>Delay &gt; 1 quarter on milestones</t>
  </si>
  <si>
    <t>2 · EXECUTION ROADMAP · 24 MONTHS (dynamic goals from active scenario)</t>
  </si>
  <si>
    <t>Phase</t>
  </si>
  <si>
    <t>Period</t>
  </si>
  <si>
    <t>Key deliverables</t>
  </si>
  <si>
    <t>Verifiable target</t>
  </si>
  <si>
    <t>Launch</t>
  </si>
  <si>
    <t>Traction</t>
  </si>
  <si>
    <t>Scale · Year 1</t>
  </si>
  <si>
    <t>Expansion</t>
  </si>
  <si>
    <t>Series A ready</t>
  </si>
  <si>
    <t>App + Noma core (chat with memory) · onboarding · recurring billing · beta with waitlist</t>
  </si>
  <si>
    <t>1st autonomous agent (Autônoma plan) · referral program · paid ads at scale begins</t>
  </si>
  <si>
    <t>Livre plan (2 agents) · influencer partnerships · paid channel expansion</t>
  </si>
  <si>
    <t>New vertical agents (finance, career, family) · retention improvement · data prep for due diligence</t>
  </si>
  <si>
    <t>Margin efficiency · LATAM study (Spanish) · Series A fundraise with audited metrics</t>
  </si>
  <si>
    <t>3 · MANAGEMENT GUARD-RAILS (auto status · active scenario)</t>
  </si>
  <si>
    <t>Current</t>
  </si>
  <si>
    <t>Threshold</t>
  </si>
  <si>
    <t>≥ 3.0×</t>
  </si>
  <si>
    <t>≤ 6 months</t>
  </si>
  <si>
    <t>CAC payback</t>
  </si>
  <si>
    <t>Gross margin M24</t>
  </si>
  <si>
    <t>Minimum cash on curve</t>
  </si>
  <si>
    <t>Note: Triggers and limits are suggested management policy — editable per governance agreed with the investor. AutoNoma © 2025.</t>
  </si>
  <si>
    <t>AutoNoma · Assumptions · Single Source of Truth · Haiku Freemium / 100% Sonnet 4.6 Plans &amp; Agents</t>
  </si>
  <si>
    <t>Blue = Editable input</t>
  </si>
  <si>
    <t>Black = Formula</t>
  </si>
  <si>
    <t>Purple = Cross-sheet link</t>
  </si>
  <si>
    <t>PARAMETER</t>
  </si>
  <si>
    <t>Base (default)</t>
  </si>
  <si>
    <t>UNIT/NOTE</t>
  </si>
  <si>
    <t>1 · PLAN PRICING (R$/month)</t>
  </si>
  <si>
    <t>Add-on agent revenue per Essencial subscriber (R$/month)</t>
  </si>
  <si>
    <t>2 · ANTHROPIC API COST (H1 2026)</t>
  </si>
  <si>
    <t>Prompt Caching Discount (%)</t>
  </si>
  <si>
    <t>3 · USAGE PER PLAN — 100% SONNET 4.6</t>
  </si>
  <si>
    <t>Free: interactions/month (LIMIT)</t>
  </si>
  <si>
    <t>Free: tokens input/interaction</t>
  </si>
  <si>
    <t>Free: tokens output/interaction</t>
  </si>
  <si>
    <t>Free: % active users/month</t>
  </si>
  <si>
    <t>Essencial: chat interactions/month</t>
  </si>
  <si>
    <t>Essencial: tokens input/interaction</t>
  </si>
  <si>
    <t>Essencial: tokens output/interaction</t>
  </si>
  <si>
    <t>Autônoma: tokens input/agent session</t>
  </si>
  <si>
    <t>Autônoma: tokens output/agent session</t>
  </si>
  <si>
    <t>Livre: total agent sessions/month</t>
  </si>
  <si>
    <t>4 · USER BASE GROWTH</t>
  </si>
  <si>
    <t>Free Growth M1–12 (leads/month)</t>
  </si>
  <si>
    <t>Free Growth M13–24 (leads/month)</t>
  </si>
  <si>
    <t>Conversion Free → Essencial (%)</t>
  </si>
  <si>
    <t>Conversion Free → Autônoma (%)</t>
  </si>
  <si>
    <t>Conversion Free → Livre (%)</t>
  </si>
  <si>
    <t>Monthly Churn Essencial</t>
  </si>
  <si>
    <t>Monthly Churn Autônoma</t>
  </si>
  <si>
    <t>Monthly Churn Livre</t>
  </si>
  <si>
    <t>5 · MONTHLY FIXED COSTS (R$)</t>
  </si>
  <si>
    <t>Team Year 1 (avg/month)</t>
  </si>
  <si>
    <t>Team Year 2 (avg/month)</t>
  </si>
  <si>
    <t>Infrastructure Year 1</t>
  </si>
  <si>
    <t>Infrastructure Year 2</t>
  </si>
  <si>
    <t>Base Marketing Year 1</t>
  </si>
  <si>
    <t>Base Marketing Year 2</t>
  </si>
  <si>
    <t>Other (legal, accounting, misc.)</t>
  </si>
  <si>
    <t>6 · UNIT ECONOMICS (full-loaded CAC)</t>
  </si>
  <si>
    <t>Full-loaded CAC (R$)</t>
  </si>
  <si>
    <t>Paid-only CAC (R$)</t>
  </si>
  <si>
    <t>7 · VALUATION M24 (on 24m Cumulative Revenue)</t>
  </si>
  <si>
    <t>Multiple × 24m Cumulative Revenue</t>
  </si>
  <si>
    <t>📐 Model note: Conversion applies to the monthly eligible pool (Free − already paying). Rate ≠ '% of monthly leads' but '% of cumulative eligible base that converts per month'. Calibrated to reproduce ~4,400 paying at M12 (Base scenario).</t>
  </si>
  <si>
    <t>8 · ANGEL RAISE (R$1M = 15% equity)</t>
  </si>
  <si>
    <t>Max investment (R$)</t>
  </si>
  <si>
    <t>% Equity offered</t>
  </si>
  <si>
    <t>Implied pre-money valuation</t>
  </si>
  <si>
    <t>Implied post-money valuation</t>
  </si>
  <si>
    <t>9 · MODEL PARAMETERS</t>
  </si>
  <si>
    <t>Free sign-ups at M1 (seed)</t>
  </si>
  <si>
    <t>Floor YoY · Conservative</t>
  </si>
  <si>
    <t>Floor YoY · Optimistic</t>
  </si>
  <si>
    <t>YoY divisor (smoothing)</t>
  </si>
  <si>
    <t>Monthly discount rate (NPV/IRR)</t>
  </si>
  <si>
    <t>← editable (simulate here)</t>
  </si>
  <si>
    <t>= 15% fixed (R$1M = 15%)</t>
  </si>
  <si>
    <t>= Investment/%Equity − Investment</t>
  </si>
  <si>
    <t>= Investment / %Equity</t>
  </si>
  <si>
    <t>← M1 waitlist</t>
  </si>
  <si>
    <t>← valuation adjustment floor</t>
  </si>
  <si>
    <t>← higher = smoother adjustment</t>
  </si>
  <si>
    <t>← annualized</t>
  </si>
  <si>
    <t>R$/month · + sporadic agent usage</t>
  </si>
  <si>
    <t>R$/month · chat + 1 agent</t>
  </si>
  <si>
    <t>R$/month · chat + 2 agents</t>
  </si>
  <si>
    <t>R$ per USD</t>
  </si>
  <si>
    <t>USD — official Anthropic (Free plan)</t>
  </si>
  <si>
    <t>USD — official Anthropic</t>
  </si>
  <si>
    <t>% reduction on fixed block</t>
  </si>
  <si>
    <t>Sonnet · product cap</t>
  </si>
  <si>
    <t>includes cached system prompt</t>
  </si>
  <si>
    <t>guided response</t>
  </si>
  <si>
    <t>% of sign-ups active in the month</t>
  </si>
  <si>
    <t>practical unlimited · 20 days × use</t>
  </si>
  <si>
    <t>Noma context + memory</t>
  </si>
  <si>
    <t>response + autonomous action</t>
  </si>
  <si>
    <t>unlimited Sonnet chat</t>
  </si>
  <si>
    <t>deep sessions with 1 agent</t>
  </si>
  <si>
    <t>resolution context + memory</t>
  </si>
  <si>
    <t>full resolution + confirmation</t>
  </si>
  <si>
    <t>2 agents · more than Autônoma</t>
  </si>
  <si>
    <t>organic+viral+paid sign-ups</t>
  </si>
  <si>
    <t>Brazil scale</t>
  </si>
  <si>
    <t>% Free base becoming subscribers</t>
  </si>
  <si>
    <t>% Essencial that upgrade</t>
  </si>
  <si>
    <t>% Autônoma that upgrade</t>
  </si>
  <si>
    <t>% cancel per month</t>
  </si>
  <si>
    <t>% cancel per month · agent = lock-in</t>
  </si>
  <si>
    <t>% cancel · 2 agents = max lock-in</t>
  </si>
  <si>
    <t>devs+CS+founder comp</t>
  </si>
  <si>
    <t>team expansion</t>
  </si>
  <si>
    <t>servers, DB, CDN</t>
  </si>
  <si>
    <t>scales with base</t>
  </si>
  <si>
    <t>beyond pre-seed paid</t>
  </si>
  <si>
    <t>growth + paid</t>
  </si>
  <si>
    <t>fixed admin</t>
  </si>
  <si>
    <t>includes mkt+CS+onboarding</t>
  </si>
  <si>
    <t>reference only</t>
  </si>
  <si>
    <t>% new paying via ads</t>
  </si>
  <si>
    <t>× on 'Monthly Base'!Z12 (R$ 12.8M)</t>
  </si>
  <si>
    <t>← Presumed</t>
  </si>
  <si>
    <t>AutoNoma · Monthly Base · 24 Months · Dynamic Formulas · Scenario Controlled by 🔧 Active Scenario</t>
  </si>
  <si>
    <t>Active scenario:</t>
  </si>
  <si>
    <t>USERS</t>
  </si>
  <si>
    <t>Free · 30-day Trial (active in month)</t>
  </si>
  <si>
    <t>Essencial · Subscribers</t>
  </si>
  <si>
    <t>Autônoma · Subscribers</t>
  </si>
  <si>
    <t>Livre · Subscribers</t>
  </si>
  <si>
    <t>TOTAL PAYING</t>
  </si>
  <si>
    <t>REVENUE</t>
  </si>
  <si>
    <t>MONTHLY MRR</t>
  </si>
  <si>
    <t>CUMULATIVE MRR</t>
  </si>
  <si>
    <t>API COST · 100% Sonnet 4.6 · Caching active</t>
  </si>
  <si>
    <t>API Free (Haiku · 40 int/month)</t>
  </si>
  <si>
    <t>API Essencial (unlimited chat)</t>
  </si>
  <si>
    <t>API Autônoma (+1 agent)</t>
  </si>
  <si>
    <t>API Livre (+2 agents)</t>
  </si>
  <si>
    <t>FIXED COST</t>
  </si>
  <si>
    <t>Fixed Cost (team+infra+mkt)</t>
  </si>
  <si>
    <t>RESULT</t>
  </si>
  <si>
    <t>Total Cost (API + Fixed + Taxes)</t>
  </si>
  <si>
    <t>MONTHLY RESULT</t>
  </si>
  <si>
    <t>CUMULATIVE RESULT</t>
  </si>
  <si>
    <t>Gross Margin API (% MRR)</t>
  </si>
  <si>
    <t>sub.</t>
  </si>
  <si>
    <t>AutoNoma · Real Scenario Comparison · 3 Years · Dynamic Formulas</t>
  </si>
  <si>
    <t>Comparison of 3 scenarios · Assumptions / Unit Economics / Valuation / Operations · Independent</t>
  </si>
  <si>
    <t>INDICATOR</t>
  </si>
  <si>
    <t>UNIT</t>
  </si>
  <si>
    <t>DIFFERENTIATING ASSUMPTIONS BY SCENARIO</t>
  </si>
  <si>
    <t>Implied annual churn</t>
  </si>
  <si>
    <t>Valuation multiple M24</t>
  </si>
  <si>
    <t>Free: % active users</t>
  </si>
  <si>
    <t>Conversion Free→Essencial</t>
  </si>
  <si>
    <t>UNIT ECONOMICS (calculated from assumptions)</t>
  </si>
  <si>
    <t>API Cost Essencial/month</t>
  </si>
  <si>
    <t>Unit Margin Essencial/month</t>
  </si>
  <si>
    <t>Avg. lifetime (months)</t>
  </si>
  <si>
    <t>VALUATION · MONTH 24 (Cumul. Revenue × multiple)</t>
  </si>
  <si>
    <t>Cumulative Revenue 24m (Z12)</t>
  </si>
  <si>
    <t>Applied multiple</t>
  </si>
  <si>
    <t>SUGGESTED VALUATION M24</t>
  </si>
  <si>
    <t>Angel equity (% Assumptions)</t>
  </si>
  <si>
    <t>Return on investment (×)</t>
  </si>
  <si>
    <t>YEAR 1 · Results</t>
  </si>
  <si>
    <t>MRR December M12</t>
  </si>
  <si>
    <t>ARR Year 1 (MRR×12)</t>
  </si>
  <si>
    <t>Net Result for the Year</t>
  </si>
  <si>
    <t>Paying M12</t>
  </si>
  <si>
    <t>YEAR 2 · Results</t>
  </si>
  <si>
    <t>MRR December M24</t>
  </si>
  <si>
    <t>ARR Year 2 (MRR×12)</t>
  </si>
  <si>
    <t>R$/subscriber</t>
  </si>
  <si>
    <t>%/year</t>
  </si>
  <si>
    <t>% of sign-ups</t>
  </si>
  <si>
    <t>% Free base</t>
  </si>
  <si>
    <t>R$/subscriber/month</t>
  </si>
  <si>
    <t>R$/month</t>
  </si>
  <si>
    <t>R$ lifetime value</t>
  </si>
  <si>
    <t>months</t>
  </si>
  <si>
    <t>R$ cumulative 24m</t>
  </si>
  <si>
    <t>× Cumul. revenue</t>
  </si>
  <si>
    <t>× on investment</t>
  </si>
  <si>
    <t>R$/year</t>
  </si>
  <si>
    <t>subscribers</t>
  </si>
  <si>
    <t>Paying M24</t>
  </si>
  <si>
    <t>SUMMARY</t>
  </si>
  <si>
    <t>NPV (Net Present Value)</t>
  </si>
  <si>
    <t>IRR (annualized)</t>
  </si>
  <si>
    <t>✅ All indicators above are independently calculated per scenario. Simulation helpers hidden in rows 50–89.</t>
  </si>
  <si>
    <t>── HELPERS · 3 SCENARIOS · 24 MONTHS (hidden) ──</t>
  </si>
  <si>
    <t>CONSERVATIVE</t>
  </si>
  <si>
    <t>Free Sign-ups</t>
  </si>
  <si>
    <t>Total Paying</t>
  </si>
  <si>
    <t>Taxes</t>
  </si>
  <si>
    <t>Monthly Result</t>
  </si>
  <si>
    <t>OPTIMISTIC</t>
  </si>
  <si>
    <t>Cons CF (IRR helper)</t>
  </si>
  <si>
    <t>Base CF (IRR helper)</t>
  </si>
  <si>
    <t>Optim CF (IRR 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</si>
</sst>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&quot;R$&quot;#,##0"/>
    <numFmt numFmtId="165" formatCode="&quot;R$&quot;#,##0;&quot;(R$&quot;#,##0\);\-"/>
    <numFmt numFmtId="166" formatCode="0.0\×"/>
    <numFmt numFmtId="167" formatCode="&quot;R$&quot;#,##0.00"/>
    <numFmt numFmtId="168" formatCode="0.0%"/>
    <numFmt numFmtId="169" formatCode="#,##0.0\m"/>
    <numFmt numFmtId="170" formatCode="0.0\m"/>
    <numFmt numFmtId="171" formatCode="#,##0.000"/>
    <numFmt numFmtId="172" formatCode="0\×"/>
    <numFmt numFmtId="173" formatCode="#,##0.0"/>
    <numFmt numFmtId="174" formatCode="0.0&quot;×&quot;"/>
    <numFmt numFmtId="175" formatCode="0.0&quot; mês&quot;"/>
    <numFmt numFmtId="176" formatCode="0.0&quot; meses&quot;"/>
    <numFmt numFmtId="177" formatCode="&quot;R$&quot;\ #,##0"/>
    <numFmt numFmtId="178" formatCode="0&quot;x&quot;"/>
    <numFmt numFmtId="179" formatCode="\R&quot;R$&quot;\ #,##0"/>
    <numFmt numFmtId="180" formatCode="\R&quot;R$&quot;\ #,##0;\(\R&quot;R$&quot;\ #,##0\)"/>
    <numFmt numFmtId="181" formatCode="\R&quot;R$&quot;\ #,##0,,&quot;M&quot;"/>
    <numFmt numFmtId="182" formatCode="0.0&quot;x&quot;"/>
    <numFmt numFmtId="183" formatCode="0.0"/>
    <numFmt numFmtId="184" formatCode="&quot;R$&quot;\ #,##0.00"/>
    <numFmt numFmtId="185" formatCode="&quot;R$&quot;\ #,##0;\(&quot;R$&quot;\ #,##0\)"/>
    <numFmt numFmtId="186" formatCode="&quot;R$&quot;\ #,##0,,&quot; M&quot;"/>
    <numFmt numFmtId="187" formatCode="0.0&quot;× aporte&quot;"/>
    <numFmt numFmtId="188" formatCode="&quot;R$&quot;\ #,##0.0,,,&quot; bi&quot;"/>
    <numFmt numFmtId="189" formatCode="&quot;R$&quot;\ #,##0.0,,&quot; M&quot;"/>
    <numFmt numFmtId="190" formatCode="&quot;R$&quot;\ #,##0&quot; /mês&quot;"/>
    <numFmt numFmtId="191" formatCode="#,##0;\(#,##0\);&quot;-&quot;"/>
  </numFmts>
  <fonts count="93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9B6A7D"/>
      <name val="Calibri"/>
      <family val="2"/>
    </font>
    <font>
      <sz val="11"/>
      <color theme="1"/>
      <name val="Calibri"/>
      <family val="2"/>
    </font>
    <font>
      <b/>
      <sz val="24"/>
      <color rgb="FF7D4E5E"/>
      <name val="Calibri"/>
      <family val="2"/>
    </font>
    <font>
      <sz val="11"/>
      <color rgb="FF9B6A7D"/>
      <name val="Calibri"/>
      <family val="2"/>
    </font>
    <font>
      <sz val="9"/>
      <color rgb="FF808080"/>
      <name val="Calibri"/>
      <family val="2"/>
    </font>
    <font>
      <b/>
      <sz val="9"/>
      <color theme="2" tint="-0.749992370372631"/>
      <name val="Calibri"/>
      <family val="2"/>
    </font>
    <font>
      <b/>
      <sz val="12"/>
      <color rgb="FF7D4E5E"/>
      <name val="Calibri"/>
      <family val="2"/>
    </font>
    <font>
      <i/>
      <sz val="9"/>
      <color rgb="FF808080"/>
      <name val="Calibri"/>
      <family val="2"/>
    </font>
    <font>
      <b/>
      <sz val="8"/>
      <color rgb="FF9B6A7D"/>
      <name val="Calibri"/>
      <family val="2"/>
    </font>
    <font>
      <b/>
      <sz val="17"/>
      <color rgb="FF7D4E5E"/>
      <name val="Calibri"/>
      <family val="2"/>
    </font>
    <font>
      <sz val="8"/>
      <color rgb="FF808080"/>
      <name val="Calibri"/>
      <family val="2"/>
    </font>
    <font>
      <i/>
      <sz val="9"/>
      <color rgb="FF9B6A7D"/>
      <name val="Calibri"/>
      <family val="2"/>
    </font>
    <font>
      <b/>
      <sz val="11"/>
      <color theme="1"/>
      <name val="Calibri"/>
      <family val="2"/>
    </font>
    <font>
      <i/>
      <sz val="10"/>
      <color rgb="FF808080"/>
      <name val="Calibri"/>
      <family val="2"/>
    </font>
    <font>
      <b/>
      <sz val="20"/>
      <color rgb="FF7D4E5E"/>
      <name val="Calibri"/>
      <family val="2"/>
    </font>
    <font>
      <sz val="10"/>
      <color rgb="FF9B6A7D"/>
      <name val="Calibri"/>
      <family val="2"/>
    </font>
    <font>
      <b/>
      <sz val="11"/>
      <color rgb="FFFFFFFF"/>
      <name val="Calibri"/>
      <family val="2"/>
    </font>
    <font>
      <b/>
      <sz val="10"/>
      <color rgb="FF7D4E5E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rgb="FF008000"/>
      <name val="Calibri"/>
      <family val="2"/>
    </font>
    <font>
      <b/>
      <i/>
      <sz val="8"/>
      <color rgb="FF808080"/>
      <name val="Calibri"/>
      <family val="2"/>
    </font>
    <font>
      <b/>
      <sz val="11"/>
      <color rgb="FF008000"/>
      <name val="Calibri"/>
      <family val="2"/>
    </font>
    <font>
      <sz val="10"/>
      <color rgb="FF808080"/>
      <name val="Calibri"/>
      <family val="2"/>
    </font>
    <font>
      <sz val="11"/>
      <color rgb="FF008000"/>
      <name val="Calibri"/>
      <family val="2"/>
    </font>
    <font>
      <b/>
      <sz val="11"/>
      <color rgb="FF92D050"/>
      <name val="Calibri"/>
      <family val="2"/>
    </font>
    <font>
      <i/>
      <sz val="9"/>
      <color theme="2" tint="-0.749992370372631"/>
      <name val="Calibri"/>
      <family val="2"/>
    </font>
    <font>
      <sz val="10"/>
      <color rgb="FF0000FF"/>
      <name val="Calibri"/>
      <family val="2"/>
    </font>
    <font>
      <i/>
      <sz val="8"/>
      <color rgb="FF808080"/>
      <name val="Calibri"/>
      <family val="2"/>
    </font>
    <font>
      <b/>
      <sz val="9"/>
      <color rgb="FF808080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i/>
      <sz val="12"/>
      <color rgb="FF999999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2"/>
      <color rgb="FF7D4E5E"/>
      <name val="Calibri"/>
      <family val="2"/>
    </font>
    <font>
      <sz val="12"/>
      <color rgb="FF3D2A33"/>
      <name val="Calibri"/>
      <family val="2"/>
    </font>
    <font>
      <sz val="12"/>
      <color rgb="FF0000FF"/>
      <name val="Calibri"/>
      <family val="2"/>
    </font>
    <font>
      <i/>
      <sz val="12"/>
      <color rgb="FF7D4E5E"/>
      <name val="Calibri"/>
      <family val="2"/>
    </font>
    <font>
      <i/>
      <sz val="9"/>
      <color theme="1"/>
      <name val="Calibri"/>
      <family val="2"/>
    </font>
    <font>
      <i/>
      <sz val="9"/>
      <color rgb="FF7D4E5E"/>
      <name val="Calibri"/>
      <family val="2"/>
    </font>
    <font>
      <sz val="9"/>
      <color rgb="FF595959"/>
      <name val="Calibri"/>
      <family val="2"/>
    </font>
    <font>
      <i/>
      <sz val="9"/>
      <color rgb="FF595959"/>
      <name val="Calibri"/>
      <family val="2"/>
    </font>
    <font>
      <b/>
      <sz val="10"/>
      <color rgb="FF008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sz val="9"/>
      <color rgb="FF008000"/>
      <name val="Calibri"/>
      <family val="2"/>
    </font>
    <font>
      <b/>
      <sz val="9"/>
      <color theme="1"/>
      <name val="Calibri"/>
      <family val="2"/>
    </font>
    <font>
      <b/>
      <sz val="9"/>
      <color rgb="FF7D4E5E"/>
      <name val="Calibri"/>
      <family val="2"/>
    </font>
    <font>
      <b/>
      <sz val="11"/>
      <color rgb="FF7D4E5E"/>
      <name val="Calibri"/>
      <family val="2"/>
    </font>
    <font>
      <b/>
      <sz val="13"/>
      <color rgb="FFE5B3BB"/>
      <name val="Calibri"/>
      <family val="2"/>
    </font>
    <font>
      <i/>
      <sz val="10"/>
      <color rgb="FF505050"/>
      <name val="Calibri"/>
      <family val="2"/>
    </font>
    <font>
      <i/>
      <sz val="9"/>
      <color rgb="FF505050"/>
      <name val="Calibri"/>
      <family val="2"/>
    </font>
    <font>
      <sz val="9"/>
      <color rgb="FF9B6A7D"/>
      <name val="Calibri"/>
      <family val="2"/>
    </font>
    <font>
      <b/>
      <sz val="10"/>
      <color rgb="FF000000"/>
      <name val="Calibri"/>
      <family val="2"/>
    </font>
    <font>
      <b/>
      <sz val="9"/>
      <color rgb="FFE5B3BB"/>
      <name val="Calibri"/>
      <family val="2"/>
    </font>
    <font>
      <sz val="10"/>
      <color rgb="FF000000"/>
      <name val="Calibri"/>
      <family val="2"/>
    </font>
    <font>
      <i/>
      <sz val="8"/>
      <color rgb="FF505050"/>
      <name val="Calibri"/>
      <family val="2"/>
    </font>
    <font>
      <b/>
      <sz val="11"/>
      <color rgb="FF9B6A7D"/>
      <name val="Calibri"/>
      <family val="2"/>
    </font>
    <font>
      <b/>
      <sz val="14"/>
      <color rgb="FFE5B3BB"/>
      <name val="Calibri"/>
      <family val="2"/>
    </font>
    <font>
      <i/>
      <sz val="9"/>
      <color rgb="FF000000"/>
      <name val="Calibri"/>
      <family val="2"/>
    </font>
    <font>
      <b/>
      <sz val="10"/>
      <color rgb="FFC08497"/>
      <name val="Calibri"/>
      <family val="2"/>
    </font>
    <font>
      <b/>
      <sz val="10"/>
      <color rgb="FF3D2A33"/>
      <name val="Calibri"/>
      <family val="2"/>
    </font>
    <font>
      <b/>
      <sz val="10"/>
      <color rgb="FFE5B3BB"/>
      <name val="Calibri"/>
      <family val="2"/>
    </font>
    <font>
      <b/>
      <sz val="10"/>
      <color rgb="FF0000FF"/>
      <name val="Calibri"/>
      <family val="2"/>
    </font>
    <font>
      <i/>
      <sz val="9"/>
      <color rgb="FF666666"/>
      <name val="Calibri"/>
      <family val="2"/>
    </font>
    <font>
      <b/>
      <sz val="11"/>
      <color rgb="FF0000FF"/>
      <name val="Calibri"/>
      <family val="2"/>
    </font>
    <font>
      <b/>
      <i/>
      <sz val="9"/>
      <color rgb="FF505050"/>
      <name val="Calibri"/>
      <family val="2"/>
    </font>
    <font>
      <b/>
      <i/>
      <sz val="9"/>
      <color rgb="FF0000FF"/>
      <name val="Calibri"/>
      <family val="2"/>
    </font>
    <font>
      <b/>
      <sz val="12"/>
      <color rgb="FFC08497"/>
      <name val="Calibri"/>
      <family val="2"/>
    </font>
    <font>
      <i/>
      <sz val="11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rgb="FFE5B3BB"/>
      <name val="Calibri"/>
      <family val="2"/>
    </font>
    <font>
      <b/>
      <sz val="9"/>
      <color theme="0"/>
      <name val="Calibri"/>
      <family val="2"/>
    </font>
    <font>
      <b/>
      <sz val="9"/>
      <color theme="3" tint="-0.499984740745262"/>
      <name val="Calibri"/>
      <family val="2"/>
    </font>
    <font>
      <sz val="9"/>
      <color rgb="FF505050"/>
      <name val="Calibri"/>
      <family val="2"/>
    </font>
    <font>
      <sz val="10"/>
      <color rgb="FFB8401A"/>
      <name val="Calibri"/>
      <family val="2"/>
    </font>
    <font>
      <b/>
      <sz val="10"/>
      <color rgb="FFB8401A"/>
      <name val="Calibri"/>
      <family val="2"/>
    </font>
    <font>
      <sz val="11"/>
      <color theme="0"/>
      <name val="Calibri"/>
      <family val="2"/>
    </font>
    <font>
      <sz val="10"/>
      <color rgb="FF6E4B00"/>
      <name val="Calibri"/>
      <family val="2"/>
    </font>
    <font>
      <sz val="10"/>
      <color rgb="FFC62828"/>
      <name val="Calibri"/>
      <family val="2"/>
    </font>
    <font>
      <i/>
      <sz val="9"/>
      <color rgb="FF654200"/>
      <name val="Calibri"/>
      <family val="2"/>
    </font>
    <font>
      <sz val="11"/>
      <color rgb="FFC08497"/>
      <name val="Calibri"/>
      <family val="2"/>
    </font>
    <font>
      <b/>
      <sz val="10"/>
      <color rgb="FF6E4B00"/>
      <name val="Calibri"/>
      <family val="2"/>
    </font>
    <font>
      <b/>
      <i/>
      <sz val="9"/>
      <color rgb="FF7D4E5E"/>
      <name val="Calibri"/>
      <family val="2"/>
    </font>
    <font>
      <i/>
      <sz val="10"/>
      <color rgb="FF9B6A7D"/>
      <name val="Calibri"/>
      <family val="2"/>
    </font>
    <font>
      <b/>
      <i/>
      <sz val="12"/>
      <color rgb="FF0000FF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EDE8DE"/>
        <bgColor rgb="FFF5EAE5"/>
      </patternFill>
    </fill>
    <fill>
      <patternFill patternType="solid">
        <fgColor theme="1"/>
        <bgColor rgb="FFF5F0E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89999084444715716"/>
        <bgColor rgb="FFF5EAE5"/>
      </patternFill>
    </fill>
    <fill>
      <patternFill patternType="solid">
        <fgColor theme="0" tint="-0.14999847407452621"/>
        <bgColor rgb="FFF5EAE5"/>
      </patternFill>
    </fill>
    <fill>
      <patternFill patternType="solid">
        <fgColor theme="1"/>
        <bgColor rgb="FFF5EAE5"/>
      </patternFill>
    </fill>
    <fill>
      <patternFill patternType="solid">
        <fgColor rgb="FFF5EAE6"/>
        <bgColor rgb="FFF5F0E0"/>
      </patternFill>
    </fill>
    <fill>
      <patternFill patternType="solid">
        <fgColor rgb="FFF5EAE6"/>
        <bgColor indexed="64"/>
      </patternFill>
    </fill>
    <fill>
      <patternFill patternType="solid">
        <fgColor theme="1"/>
        <bgColor rgb="FF993366"/>
      </patternFill>
    </fill>
    <fill>
      <patternFill patternType="solid">
        <fgColor theme="1"/>
        <bgColor rgb="FF888888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2A3A5A"/>
      </patternFill>
    </fill>
    <fill>
      <patternFill patternType="solid">
        <fgColor theme="1"/>
        <bgColor rgb="FF1A5C3C"/>
      </patternFill>
    </fill>
    <fill>
      <patternFill patternType="solid">
        <fgColor rgb="FF7D4E5E"/>
        <bgColor indexed="64"/>
      </patternFill>
    </fill>
    <fill>
      <patternFill patternType="solid">
        <fgColor rgb="FFF7EDF0"/>
        <bgColor indexed="64"/>
      </patternFill>
    </fill>
    <fill>
      <patternFill patternType="solid">
        <fgColor rgb="FF9B6A7D"/>
        <bgColor indexed="64"/>
      </patternFill>
    </fill>
    <fill>
      <patternFill patternType="solid">
        <fgColor rgb="FF3D2A33"/>
        <bgColor indexed="64"/>
      </patternFill>
    </fill>
    <fill>
      <patternFill patternType="solid">
        <fgColor rgb="FFFAF4F6"/>
        <bgColor indexed="64"/>
      </patternFill>
    </fill>
    <fill>
      <patternFill patternType="solid">
        <fgColor rgb="FFFCF7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C"/>
        <bgColor indexed="64"/>
      </patternFill>
    </fill>
    <fill>
      <patternFill patternType="solid">
        <fgColor theme="2" tint="-9.9978637043366805E-2"/>
        <bgColor rgb="FF2A3A5A"/>
      </patternFill>
    </fill>
    <fill>
      <patternFill patternType="solid">
        <fgColor rgb="FFC0849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</fills>
  <borders count="76">
    <border>
      <left/>
      <right/>
      <top/>
      <bottom/>
      <diagonal/>
    </border>
    <border>
      <left style="medium">
        <color rgb="FF1A5C3C"/>
      </left>
      <right style="medium">
        <color rgb="FF1A5C3C"/>
      </right>
      <top style="medium">
        <color rgb="FF1A5C3C"/>
      </top>
      <bottom style="medium">
        <color rgb="FF1A5C3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92D050"/>
      </right>
      <top/>
      <bottom/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 style="medium">
        <color rgb="FF92D050"/>
      </right>
      <top style="thin">
        <color rgb="FFDDDDDD"/>
      </top>
      <bottom/>
      <diagonal/>
    </border>
    <border>
      <left/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C08497"/>
      </top>
      <bottom/>
      <diagonal/>
    </border>
    <border>
      <left/>
      <right style="medium">
        <color rgb="FF92D050"/>
      </right>
      <top style="medium">
        <color rgb="FFC08497"/>
      </top>
      <bottom/>
      <diagonal/>
    </border>
    <border>
      <left style="medium">
        <color rgb="FFC08497"/>
      </left>
      <right/>
      <top style="medium">
        <color rgb="FFC08497"/>
      </top>
      <bottom/>
      <diagonal/>
    </border>
    <border>
      <left style="medium">
        <color rgb="FFC08497"/>
      </left>
      <right/>
      <top/>
      <bottom/>
      <diagonal/>
    </border>
    <border>
      <left style="medium">
        <color rgb="FFC08497"/>
      </left>
      <right/>
      <top/>
      <bottom style="medium">
        <color rgb="FFC08497"/>
      </bottom>
      <diagonal/>
    </border>
    <border>
      <left/>
      <right style="medium">
        <color rgb="FFC08497"/>
      </right>
      <top style="medium">
        <color rgb="FFC08497"/>
      </top>
      <bottom/>
      <diagonal/>
    </border>
    <border>
      <left/>
      <right style="medium">
        <color rgb="FFC08497"/>
      </right>
      <top/>
      <bottom/>
      <diagonal/>
    </border>
    <border>
      <left/>
      <right style="medium">
        <color rgb="FFC08497"/>
      </right>
      <top/>
      <bottom style="medium">
        <color rgb="FFC08497"/>
      </bottom>
      <diagonal/>
    </border>
    <border>
      <left/>
      <right/>
      <top style="thin">
        <color rgb="FFD9B3BE"/>
      </top>
      <bottom/>
      <diagonal/>
    </border>
    <border>
      <left/>
      <right/>
      <top/>
      <bottom style="thin">
        <color rgb="FFD9B3BE"/>
      </bottom>
      <diagonal/>
    </border>
    <border>
      <left style="thin">
        <color rgb="FFD9B3BE"/>
      </left>
      <right style="thin">
        <color rgb="FFD9B3BE"/>
      </right>
      <top style="thin">
        <color rgb="FFD9B3BE"/>
      </top>
      <bottom style="thin">
        <color rgb="FFD9B3B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08497"/>
      </left>
      <right/>
      <top style="thin">
        <color rgb="FFDDDDDD"/>
      </top>
      <bottom/>
      <diagonal/>
    </border>
    <border>
      <left style="medium">
        <color rgb="FFC08497"/>
      </left>
      <right/>
      <top/>
      <bottom style="medium">
        <color rgb="FF92D050"/>
      </bottom>
      <diagonal/>
    </border>
    <border>
      <left style="medium">
        <color rgb="FFC08497"/>
      </left>
      <right/>
      <top style="medium">
        <color rgb="FF92D050"/>
      </top>
      <bottom/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thin">
        <color rgb="FFDDDDDD"/>
      </bottom>
      <diagonal/>
    </border>
    <border>
      <left/>
      <right style="medium">
        <color rgb="FFC08497"/>
      </right>
      <top style="thin">
        <color rgb="FFDDDDDD"/>
      </top>
      <bottom/>
      <diagonal/>
    </border>
    <border>
      <left/>
      <right style="medium">
        <color rgb="FFC08497"/>
      </right>
      <top/>
      <bottom style="medium">
        <color rgb="FF92D050"/>
      </bottom>
      <diagonal/>
    </border>
    <border>
      <left/>
      <right style="medium">
        <color rgb="FFC08497"/>
      </right>
      <top style="medium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medium">
        <color rgb="FFC08497"/>
      </left>
      <right/>
      <top/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/>
      <diagonal/>
    </border>
    <border>
      <left style="medium">
        <color rgb="FFC08497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/>
      <right style="medium">
        <color rgb="FFC08497"/>
      </right>
      <top/>
      <bottom style="medium">
        <color indexed="64"/>
      </bottom>
      <diagonal/>
    </border>
    <border>
      <left/>
      <right style="medium">
        <color rgb="FFC08497"/>
      </right>
      <top/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/>
      <diagonal/>
    </border>
    <border>
      <left style="thin">
        <color rgb="FF92D050"/>
      </left>
      <right style="medium">
        <color rgb="FFC08497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/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C08497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n">
        <color rgb="FFE8D8DD"/>
      </bottom>
      <diagonal/>
    </border>
    <border>
      <left/>
      <right style="thick">
        <color rgb="FFFFFFFF"/>
      </right>
      <top/>
      <bottom style="thin">
        <color rgb="FFE8D8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E8D8DD"/>
      </bottom>
      <diagonal/>
    </border>
    <border>
      <left/>
      <right style="thin">
        <color indexed="64"/>
      </right>
      <top/>
      <bottom style="thin">
        <color rgb="FFE8D8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E8D8DD"/>
      </top>
      <bottom/>
      <diagonal/>
    </border>
    <border>
      <left/>
      <right/>
      <top style="thin">
        <color rgb="FFE8D8DD"/>
      </top>
      <bottom/>
      <diagonal/>
    </border>
    <border>
      <left/>
      <right style="thin">
        <color indexed="64"/>
      </right>
      <top style="thin">
        <color rgb="FFE8D8DD"/>
      </top>
      <bottom/>
      <diagonal/>
    </border>
    <border>
      <left style="medium">
        <color rgb="FFC08497"/>
      </left>
      <right style="thin">
        <color rgb="FFDDDDDD"/>
      </right>
      <top style="thin">
        <color rgb="FFDDDDDD"/>
      </top>
      <bottom/>
      <diagonal/>
    </border>
    <border>
      <left style="medium">
        <color rgb="FFC08497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C08497"/>
      </right>
      <top style="thin">
        <color rgb="FFDDDDDD"/>
      </top>
      <bottom/>
      <diagonal/>
    </border>
    <border>
      <left style="thin">
        <color rgb="FFDDDDDD"/>
      </left>
      <right style="medium">
        <color rgb="FFC08497"/>
      </right>
      <top/>
      <bottom style="thin">
        <color rgb="FFDDDDDD"/>
      </bottom>
      <diagonal/>
    </border>
    <border>
      <left style="thin">
        <color rgb="FFDDDDDD"/>
      </left>
      <right style="medium">
        <color rgb="FFC08497"/>
      </right>
      <top/>
      <bottom/>
      <diagonal/>
    </border>
  </borders>
  <cellStyleXfs count="1">
    <xf numFmtId="0" fontId="0" fillId="0" borderId="0"/>
  </cellStyleXfs>
  <cellXfs count="480">
    <xf numFmtId="0" fontId="0" fillId="0" borderId="0" xfId="0"/>
    <xf numFmtId="0" fontId="1" fillId="0" borderId="0" xfId="0" applyFont="1"/>
    <xf numFmtId="0" fontId="0" fillId="6" borderId="0" xfId="0" applyFill="1"/>
    <xf numFmtId="0" fontId="2" fillId="0" borderId="0" xfId="0" applyFont="1"/>
    <xf numFmtId="0" fontId="0" fillId="8" borderId="0" xfId="0" applyFill="1"/>
    <xf numFmtId="0" fontId="1" fillId="8" borderId="0" xfId="0" applyFont="1" applyFill="1"/>
    <xf numFmtId="167" fontId="5" fillId="0" borderId="4" xfId="0" applyNumberFormat="1" applyFont="1" applyBorder="1" applyAlignment="1">
      <alignment horizontal="right"/>
    </xf>
    <xf numFmtId="173" fontId="5" fillId="0" borderId="4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74" fontId="5" fillId="0" borderId="4" xfId="0" applyNumberFormat="1" applyFont="1" applyBorder="1" applyAlignment="1">
      <alignment horizontal="right"/>
    </xf>
    <xf numFmtId="175" fontId="5" fillId="0" borderId="9" xfId="0" applyNumberFormat="1" applyFont="1" applyBorder="1" applyAlignment="1">
      <alignment horizontal="right"/>
    </xf>
    <xf numFmtId="0" fontId="6" fillId="5" borderId="55" xfId="0" applyFont="1" applyFill="1" applyBorder="1"/>
    <xf numFmtId="0" fontId="6" fillId="5" borderId="56" xfId="0" applyFont="1" applyFill="1" applyBorder="1"/>
    <xf numFmtId="0" fontId="6" fillId="5" borderId="57" xfId="0" applyFont="1" applyFill="1" applyBorder="1"/>
    <xf numFmtId="0" fontId="6" fillId="5" borderId="0" xfId="0" applyFont="1" applyFill="1"/>
    <xf numFmtId="0" fontId="6" fillId="0" borderId="0" xfId="0" applyFont="1"/>
    <xf numFmtId="0" fontId="6" fillId="5" borderId="59" xfId="0" applyFont="1" applyFill="1" applyBorder="1"/>
    <xf numFmtId="0" fontId="6" fillId="20" borderId="58" xfId="0" applyFont="1" applyFill="1" applyBorder="1"/>
    <xf numFmtId="0" fontId="6" fillId="20" borderId="0" xfId="0" applyFont="1" applyFill="1"/>
    <xf numFmtId="0" fontId="6" fillId="31" borderId="0" xfId="0" applyFont="1" applyFill="1"/>
    <xf numFmtId="0" fontId="6" fillId="31" borderId="59" xfId="0" applyFont="1" applyFill="1" applyBorder="1"/>
    <xf numFmtId="0" fontId="10" fillId="14" borderId="58" xfId="0" applyFont="1" applyFill="1" applyBorder="1" applyAlignment="1">
      <alignment horizontal="center"/>
    </xf>
    <xf numFmtId="0" fontId="11" fillId="21" borderId="54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58" xfId="0" applyFont="1" applyFill="1" applyBorder="1"/>
    <xf numFmtId="0" fontId="6" fillId="22" borderId="50" xfId="0" applyFont="1" applyFill="1" applyBorder="1"/>
    <xf numFmtId="0" fontId="6" fillId="22" borderId="0" xfId="0" applyFont="1" applyFill="1"/>
    <xf numFmtId="0" fontId="6" fillId="29" borderId="50" xfId="0" applyFont="1" applyFill="1" applyBorder="1"/>
    <xf numFmtId="0" fontId="6" fillId="29" borderId="0" xfId="0" applyFont="1" applyFill="1"/>
    <xf numFmtId="0" fontId="6" fillId="20" borderId="50" xfId="0" applyFont="1" applyFill="1" applyBorder="1"/>
    <xf numFmtId="0" fontId="6" fillId="31" borderId="50" xfId="0" applyFont="1" applyFill="1" applyBorder="1"/>
    <xf numFmtId="0" fontId="6" fillId="6" borderId="0" xfId="0" applyFont="1" applyFill="1"/>
    <xf numFmtId="0" fontId="6" fillId="29" borderId="58" xfId="0" applyFont="1" applyFill="1" applyBorder="1"/>
    <xf numFmtId="0" fontId="6" fillId="29" borderId="59" xfId="0" applyFont="1" applyFill="1" applyBorder="1"/>
    <xf numFmtId="0" fontId="17" fillId="0" borderId="0" xfId="0" applyFont="1"/>
    <xf numFmtId="3" fontId="6" fillId="0" borderId="0" xfId="0" applyNumberFormat="1" applyFont="1"/>
    <xf numFmtId="0" fontId="19" fillId="0" borderId="0" xfId="0" applyFont="1"/>
    <xf numFmtId="0" fontId="21" fillId="20" borderId="0" xfId="0" applyFont="1" applyFill="1"/>
    <xf numFmtId="0" fontId="22" fillId="21" borderId="0" xfId="0" applyFont="1" applyFill="1" applyAlignment="1">
      <alignment vertical="center"/>
    </xf>
    <xf numFmtId="0" fontId="24" fillId="22" borderId="0" xfId="0" applyFont="1" applyFill="1"/>
    <xf numFmtId="0" fontId="24" fillId="22" borderId="0" xfId="0" applyFont="1" applyFill="1" applyAlignment="1">
      <alignment horizontal="center"/>
    </xf>
    <xf numFmtId="0" fontId="25" fillId="21" borderId="0" xfId="0" applyFont="1" applyFill="1"/>
    <xf numFmtId="177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84" fontId="26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5" fillId="21" borderId="49" xfId="0" applyFont="1" applyFill="1" applyBorder="1"/>
    <xf numFmtId="184" fontId="26" fillId="0" borderId="49" xfId="0" applyNumberFormat="1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2" fillId="21" borderId="0" xfId="0" applyFont="1" applyFill="1"/>
    <xf numFmtId="177" fontId="28" fillId="0" borderId="0" xfId="0" applyNumberFormat="1" applyFont="1"/>
    <xf numFmtId="0" fontId="29" fillId="0" borderId="0" xfId="0" applyFont="1"/>
    <xf numFmtId="9" fontId="28" fillId="0" borderId="0" xfId="0" applyNumberFormat="1" applyFont="1"/>
    <xf numFmtId="177" fontId="30" fillId="0" borderId="0" xfId="0" applyNumberFormat="1" applyFont="1"/>
    <xf numFmtId="0" fontId="29" fillId="0" borderId="0" xfId="0" quotePrefix="1" applyFont="1"/>
    <xf numFmtId="0" fontId="31" fillId="20" borderId="0" xfId="0" applyFont="1" applyFill="1" applyAlignment="1">
      <alignment horizontal="center"/>
    </xf>
    <xf numFmtId="0" fontId="23" fillId="21" borderId="0" xfId="0" applyFont="1" applyFill="1"/>
    <xf numFmtId="3" fontId="26" fillId="0" borderId="0" xfId="0" applyNumberFormat="1" applyFont="1" applyAlignment="1">
      <alignment horizontal="center"/>
    </xf>
    <xf numFmtId="177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74" fontId="22" fillId="0" borderId="0" xfId="0" applyNumberFormat="1" applyFont="1" applyAlignment="1">
      <alignment horizontal="center"/>
    </xf>
    <xf numFmtId="186" fontId="22" fillId="0" borderId="0" xfId="0" applyNumberFormat="1" applyFont="1" applyAlignment="1">
      <alignment horizontal="center"/>
    </xf>
    <xf numFmtId="0" fontId="23" fillId="21" borderId="49" xfId="0" applyFont="1" applyFill="1" applyBorder="1"/>
    <xf numFmtId="186" fontId="22" fillId="0" borderId="49" xfId="0" applyNumberFormat="1" applyFont="1" applyBorder="1" applyAlignment="1">
      <alignment horizontal="center"/>
    </xf>
    <xf numFmtId="187" fontId="22" fillId="0" borderId="49" xfId="0" applyNumberFormat="1" applyFont="1" applyBorder="1" applyAlignment="1">
      <alignment horizontal="center"/>
    </xf>
    <xf numFmtId="3" fontId="33" fillId="0" borderId="0" xfId="0" applyNumberFormat="1" applyFont="1" applyAlignment="1">
      <alignment horizontal="center"/>
    </xf>
    <xf numFmtId="188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3" fontId="26" fillId="0" borderId="49" xfId="0" applyNumberFormat="1" applyFont="1" applyBorder="1" applyAlignment="1">
      <alignment horizontal="center"/>
    </xf>
    <xf numFmtId="190" fontId="23" fillId="0" borderId="49" xfId="0" applyNumberFormat="1" applyFont="1" applyBorder="1" applyAlignment="1">
      <alignment horizontal="center"/>
    </xf>
    <xf numFmtId="168" fontId="23" fillId="0" borderId="4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9" fontId="26" fillId="0" borderId="49" xfId="0" applyNumberFormat="1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6" fillId="0" borderId="49" xfId="0" applyFont="1" applyBorder="1"/>
    <xf numFmtId="0" fontId="23" fillId="21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24" fillId="31" borderId="49" xfId="0" applyFont="1" applyFill="1" applyBorder="1" applyAlignment="1">
      <alignment vertical="center"/>
    </xf>
    <xf numFmtId="0" fontId="25" fillId="32" borderId="49" xfId="0" applyFont="1" applyFill="1" applyBorder="1" applyAlignment="1">
      <alignment horizontal="center" vertical="center"/>
    </xf>
    <xf numFmtId="0" fontId="36" fillId="25" borderId="0" xfId="0" applyFont="1" applyFill="1"/>
    <xf numFmtId="0" fontId="36" fillId="20" borderId="0" xfId="0" applyFont="1" applyFill="1"/>
    <xf numFmtId="0" fontId="37" fillId="22" borderId="0" xfId="0" applyFont="1" applyFill="1"/>
    <xf numFmtId="0" fontId="36" fillId="22" borderId="0" xfId="0" applyFont="1" applyFill="1"/>
    <xf numFmtId="179" fontId="11" fillId="25" borderId="0" xfId="0" applyNumberFormat="1" applyFont="1" applyFill="1"/>
    <xf numFmtId="0" fontId="38" fillId="25" borderId="0" xfId="0" applyFont="1" applyFill="1"/>
    <xf numFmtId="9" fontId="11" fillId="25" borderId="0" xfId="0" applyNumberFormat="1" applyFont="1" applyFill="1"/>
    <xf numFmtId="0" fontId="38" fillId="25" borderId="0" xfId="0" quotePrefix="1" applyFont="1" applyFill="1"/>
    <xf numFmtId="0" fontId="11" fillId="21" borderId="0" xfId="0" applyFont="1" applyFill="1"/>
    <xf numFmtId="0" fontId="11" fillId="21" borderId="0" xfId="0" applyFont="1" applyFill="1" applyAlignment="1">
      <alignment horizontal="center"/>
    </xf>
    <xf numFmtId="3" fontId="36" fillId="25" borderId="0" xfId="0" applyNumberFormat="1" applyFont="1" applyFill="1" applyAlignment="1">
      <alignment horizontal="center"/>
    </xf>
    <xf numFmtId="3" fontId="11" fillId="25" borderId="0" xfId="0" applyNumberFormat="1" applyFont="1" applyFill="1" applyAlignment="1">
      <alignment horizontal="center"/>
    </xf>
    <xf numFmtId="179" fontId="36" fillId="25" borderId="0" xfId="0" applyNumberFormat="1" applyFont="1" applyFill="1" applyAlignment="1">
      <alignment horizontal="center"/>
    </xf>
    <xf numFmtId="179" fontId="11" fillId="25" borderId="0" xfId="0" applyNumberFormat="1" applyFont="1" applyFill="1" applyAlignment="1">
      <alignment horizontal="center"/>
    </xf>
    <xf numFmtId="9" fontId="36" fillId="25" borderId="0" xfId="0" applyNumberFormat="1" applyFont="1" applyFill="1" applyAlignment="1">
      <alignment horizontal="center"/>
    </xf>
    <xf numFmtId="9" fontId="11" fillId="25" borderId="0" xfId="0" applyNumberFormat="1" applyFont="1" applyFill="1" applyAlignment="1">
      <alignment horizontal="center"/>
    </xf>
    <xf numFmtId="180" fontId="36" fillId="25" borderId="0" xfId="0" applyNumberFormat="1" applyFont="1" applyFill="1" applyAlignment="1">
      <alignment horizontal="center"/>
    </xf>
    <xf numFmtId="180" fontId="11" fillId="25" borderId="0" xfId="0" applyNumberFormat="1" applyFont="1" applyFill="1" applyAlignment="1">
      <alignment horizontal="center"/>
    </xf>
    <xf numFmtId="181" fontId="36" fillId="25" borderId="0" xfId="0" applyNumberFormat="1" applyFont="1" applyFill="1" applyAlignment="1">
      <alignment horizontal="center"/>
    </xf>
    <xf numFmtId="182" fontId="36" fillId="25" borderId="0" xfId="0" applyNumberFormat="1" applyFont="1" applyFill="1" applyAlignment="1">
      <alignment horizontal="center"/>
    </xf>
    <xf numFmtId="0" fontId="39" fillId="21" borderId="0" xfId="0" applyFont="1" applyFill="1"/>
    <xf numFmtId="181" fontId="39" fillId="21" borderId="0" xfId="0" applyNumberFormat="1" applyFont="1" applyFill="1" applyAlignment="1">
      <alignment horizontal="center"/>
    </xf>
    <xf numFmtId="181" fontId="11" fillId="21" borderId="0" xfId="0" applyNumberFormat="1" applyFont="1" applyFill="1" applyAlignment="1">
      <alignment horizontal="center"/>
    </xf>
    <xf numFmtId="182" fontId="11" fillId="21" borderId="0" xfId="0" applyNumberFormat="1" applyFont="1" applyFill="1" applyAlignment="1">
      <alignment horizontal="center"/>
    </xf>
    <xf numFmtId="9" fontId="40" fillId="25" borderId="0" xfId="0" applyNumberFormat="1" applyFont="1" applyFill="1" applyAlignment="1">
      <alignment horizontal="center"/>
    </xf>
    <xf numFmtId="179" fontId="41" fillId="25" borderId="0" xfId="0" applyNumberFormat="1" applyFont="1" applyFill="1"/>
    <xf numFmtId="0" fontId="39" fillId="25" borderId="0" xfId="0" applyFont="1" applyFill="1"/>
    <xf numFmtId="0" fontId="37" fillId="20" borderId="0" xfId="0" applyFont="1" applyFill="1"/>
    <xf numFmtId="0" fontId="42" fillId="25" borderId="0" xfId="0" applyFont="1" applyFill="1"/>
    <xf numFmtId="0" fontId="36" fillId="0" borderId="0" xfId="0" applyFont="1"/>
    <xf numFmtId="0" fontId="37" fillId="22" borderId="24" xfId="0" applyFont="1" applyFill="1" applyBorder="1"/>
    <xf numFmtId="0" fontId="11" fillId="21" borderId="25" xfId="0" applyFont="1" applyFill="1" applyBorder="1" applyAlignment="1">
      <alignment horizontal="center"/>
    </xf>
    <xf numFmtId="9" fontId="43" fillId="0" borderId="25" xfId="0" applyNumberFormat="1" applyFont="1" applyBorder="1" applyAlignment="1">
      <alignment horizontal="center"/>
    </xf>
    <xf numFmtId="183" fontId="36" fillId="0" borderId="25" xfId="0" applyNumberFormat="1" applyFont="1" applyBorder="1" applyAlignment="1">
      <alignment horizontal="center"/>
    </xf>
    <xf numFmtId="179" fontId="36" fillId="0" borderId="25" xfId="0" applyNumberFormat="1" applyFont="1" applyBorder="1" applyAlignment="1">
      <alignment horizontal="center"/>
    </xf>
    <xf numFmtId="182" fontId="36" fillId="0" borderId="25" xfId="0" applyNumberFormat="1" applyFont="1" applyBorder="1" applyAlignment="1">
      <alignment horizontal="center"/>
    </xf>
    <xf numFmtId="0" fontId="36" fillId="0" borderId="25" xfId="0" applyFont="1" applyBorder="1" applyAlignment="1">
      <alignment horizontal="left"/>
    </xf>
    <xf numFmtId="9" fontId="40" fillId="26" borderId="25" xfId="0" applyNumberFormat="1" applyFont="1" applyFill="1" applyBorder="1" applyAlignment="1">
      <alignment horizontal="center"/>
    </xf>
    <xf numFmtId="183" fontId="36" fillId="27" borderId="25" xfId="0" applyNumberFormat="1" applyFont="1" applyFill="1" applyBorder="1" applyAlignment="1">
      <alignment horizontal="center"/>
    </xf>
    <xf numFmtId="179" fontId="36" fillId="27" borderId="25" xfId="0" applyNumberFormat="1" applyFont="1" applyFill="1" applyBorder="1" applyAlignment="1">
      <alignment horizontal="center"/>
    </xf>
    <xf numFmtId="182" fontId="36" fillId="27" borderId="25" xfId="0" applyNumberFormat="1" applyFont="1" applyFill="1" applyBorder="1" applyAlignment="1">
      <alignment horizontal="center"/>
    </xf>
    <xf numFmtId="0" fontId="36" fillId="27" borderId="25" xfId="0" applyFont="1" applyFill="1" applyBorder="1" applyAlignment="1">
      <alignment horizontal="left"/>
    </xf>
    <xf numFmtId="0" fontId="24" fillId="20" borderId="0" xfId="0" applyFont="1" applyFill="1"/>
    <xf numFmtId="0" fontId="24" fillId="20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/>
    </xf>
    <xf numFmtId="191" fontId="23" fillId="0" borderId="0" xfId="0" applyNumberFormat="1" applyFont="1" applyAlignment="1">
      <alignment horizontal="right"/>
    </xf>
    <xf numFmtId="191" fontId="25" fillId="0" borderId="0" xfId="0" applyNumberFormat="1" applyFont="1" applyAlignment="1">
      <alignment horizontal="right"/>
    </xf>
    <xf numFmtId="0" fontId="9" fillId="0" borderId="0" xfId="0" applyFont="1"/>
    <xf numFmtId="0" fontId="45" fillId="21" borderId="0" xfId="0" applyFont="1" applyFill="1"/>
    <xf numFmtId="168" fontId="46" fillId="0" borderId="0" xfId="0" applyNumberFormat="1" applyFont="1" applyAlignment="1">
      <alignment horizontal="right"/>
    </xf>
    <xf numFmtId="0" fontId="47" fillId="0" borderId="0" xfId="0" applyFont="1"/>
    <xf numFmtId="191" fontId="47" fillId="0" borderId="0" xfId="0" applyNumberFormat="1" applyFont="1" applyAlignment="1">
      <alignment horizontal="right"/>
    </xf>
    <xf numFmtId="191" fontId="21" fillId="20" borderId="0" xfId="0" applyNumberFormat="1" applyFont="1" applyFill="1" applyAlignment="1">
      <alignment horizontal="right"/>
    </xf>
    <xf numFmtId="0" fontId="48" fillId="21" borderId="0" xfId="0" applyFont="1" applyFill="1"/>
    <xf numFmtId="0" fontId="6" fillId="0" borderId="0" xfId="0" applyFont="1" applyAlignment="1">
      <alignment horizontal="right"/>
    </xf>
    <xf numFmtId="191" fontId="49" fillId="0" borderId="0" xfId="0" applyNumberFormat="1" applyFont="1" applyAlignment="1">
      <alignment horizontal="right"/>
    </xf>
    <xf numFmtId="0" fontId="12" fillId="0" borderId="49" xfId="0" applyFont="1" applyBorder="1"/>
    <xf numFmtId="0" fontId="12" fillId="0" borderId="49" xfId="0" applyFont="1" applyBorder="1" applyAlignment="1">
      <alignment horizontal="right"/>
    </xf>
    <xf numFmtId="0" fontId="6" fillId="0" borderId="49" xfId="0" applyFont="1" applyBorder="1" applyAlignment="1">
      <alignment horizontal="right"/>
    </xf>
    <xf numFmtId="0" fontId="50" fillId="22" borderId="0" xfId="0" applyFont="1" applyFill="1"/>
    <xf numFmtId="0" fontId="50" fillId="22" borderId="0" xfId="0" applyFont="1" applyFill="1" applyAlignment="1">
      <alignment horizontal="center"/>
    </xf>
    <xf numFmtId="0" fontId="51" fillId="21" borderId="0" xfId="0" applyFont="1" applyFill="1"/>
    <xf numFmtId="191" fontId="52" fillId="0" borderId="0" xfId="0" applyNumberFormat="1" applyFont="1" applyAlignment="1">
      <alignment horizontal="right"/>
    </xf>
    <xf numFmtId="0" fontId="53" fillId="21" borderId="49" xfId="0" applyFont="1" applyFill="1" applyBorder="1"/>
    <xf numFmtId="191" fontId="54" fillId="0" borderId="49" xfId="0" applyNumberFormat="1" applyFont="1" applyBorder="1" applyAlignment="1">
      <alignment horizontal="right"/>
    </xf>
    <xf numFmtId="0" fontId="51" fillId="21" borderId="0" xfId="0" applyFont="1" applyFill="1" applyAlignment="1">
      <alignment vertical="center" wrapText="1"/>
    </xf>
    <xf numFmtId="0" fontId="51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51" fillId="21" borderId="49" xfId="0" applyFont="1" applyFill="1" applyBorder="1" applyAlignment="1">
      <alignment vertical="center" wrapText="1"/>
    </xf>
    <xf numFmtId="0" fontId="51" fillId="0" borderId="49" xfId="0" applyFont="1" applyBorder="1" applyAlignment="1">
      <alignment horizontal="center" vertical="center" wrapText="1"/>
    </xf>
    <xf numFmtId="0" fontId="54" fillId="0" borderId="49" xfId="0" applyFont="1" applyBorder="1" applyAlignment="1">
      <alignment horizontal="center" vertical="center" wrapText="1"/>
    </xf>
    <xf numFmtId="0" fontId="51" fillId="0" borderId="49" xfId="0" applyFont="1" applyBorder="1" applyAlignment="1">
      <alignment vertical="center" wrapText="1"/>
    </xf>
    <xf numFmtId="0" fontId="9" fillId="0" borderId="49" xfId="0" applyFont="1" applyBorder="1" applyAlignment="1">
      <alignment vertical="center" wrapText="1"/>
    </xf>
    <xf numFmtId="0" fontId="54" fillId="21" borderId="0" xfId="0" applyFont="1" applyFill="1" applyAlignment="1">
      <alignment vertical="center"/>
    </xf>
    <xf numFmtId="0" fontId="54" fillId="0" borderId="0" xfId="0" applyFont="1" applyAlignment="1">
      <alignment vertical="center" wrapText="1"/>
    </xf>
    <xf numFmtId="0" fontId="54" fillId="21" borderId="49" xfId="0" applyFont="1" applyFill="1" applyBorder="1" applyAlignment="1">
      <alignment vertical="center"/>
    </xf>
    <xf numFmtId="0" fontId="54" fillId="0" borderId="49" xfId="0" applyFont="1" applyBorder="1" applyAlignment="1">
      <alignment vertical="center" wrapText="1"/>
    </xf>
    <xf numFmtId="174" fontId="51" fillId="0" borderId="0" xfId="0" applyNumberFormat="1" applyFont="1" applyAlignment="1">
      <alignment horizontal="center"/>
    </xf>
    <xf numFmtId="176" fontId="51" fillId="0" borderId="0" xfId="0" applyNumberFormat="1" applyFont="1" applyAlignment="1">
      <alignment horizontal="center"/>
    </xf>
    <xf numFmtId="168" fontId="51" fillId="0" borderId="0" xfId="0" applyNumberFormat="1" applyFont="1" applyAlignment="1">
      <alignment horizontal="center"/>
    </xf>
    <xf numFmtId="0" fontId="51" fillId="21" borderId="49" xfId="0" applyFont="1" applyFill="1" applyBorder="1"/>
    <xf numFmtId="185" fontId="51" fillId="0" borderId="49" xfId="0" applyNumberFormat="1" applyFont="1" applyBorder="1" applyAlignment="1">
      <alignment horizontal="center"/>
    </xf>
    <xf numFmtId="0" fontId="10" fillId="28" borderId="18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center" vertical="center"/>
    </xf>
    <xf numFmtId="0" fontId="57" fillId="0" borderId="21" xfId="0" applyFont="1" applyBorder="1" applyAlignment="1">
      <alignment vertical="center"/>
    </xf>
    <xf numFmtId="0" fontId="58" fillId="0" borderId="18" xfId="0" applyFont="1" applyBorder="1"/>
    <xf numFmtId="1" fontId="59" fillId="0" borderId="0" xfId="0" applyNumberFormat="1" applyFont="1"/>
    <xf numFmtId="0" fontId="6" fillId="0" borderId="21" xfId="0" applyFont="1" applyBorder="1"/>
    <xf numFmtId="0" fontId="62" fillId="0" borderId="27" xfId="0" applyFont="1" applyBorder="1" applyAlignment="1">
      <alignment horizontal="left" vertical="center"/>
    </xf>
    <xf numFmtId="167" fontId="5" fillId="0" borderId="2" xfId="0" applyNumberFormat="1" applyFont="1" applyBorder="1" applyAlignment="1">
      <alignment horizontal="right" vertical="center"/>
    </xf>
    <xf numFmtId="0" fontId="63" fillId="0" borderId="21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167" fontId="5" fillId="0" borderId="0" xfId="0" applyNumberFormat="1" applyFont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71" fontId="5" fillId="0" borderId="2" xfId="0" applyNumberFormat="1" applyFont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62" fillId="0" borderId="36" xfId="0" applyFont="1" applyBorder="1" applyAlignment="1">
      <alignment horizontal="left" vertical="center"/>
    </xf>
    <xf numFmtId="0" fontId="63" fillId="0" borderId="41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58" fillId="0" borderId="43" xfId="0" applyFont="1" applyBorder="1" applyAlignment="1">
      <alignment horizontal="center" vertical="center"/>
    </xf>
    <xf numFmtId="0" fontId="62" fillId="0" borderId="39" xfId="0" applyFont="1" applyBorder="1" applyAlignment="1">
      <alignment horizontal="left" vertical="center"/>
    </xf>
    <xf numFmtId="0" fontId="58" fillId="0" borderId="44" xfId="0" applyFont="1" applyBorder="1" applyAlignment="1">
      <alignment horizontal="center" vertical="center"/>
    </xf>
    <xf numFmtId="0" fontId="62" fillId="0" borderId="40" xfId="0" applyFont="1" applyBorder="1" applyAlignment="1">
      <alignment horizontal="left" vertical="center"/>
    </xf>
    <xf numFmtId="168" fontId="64" fillId="0" borderId="35" xfId="0" applyNumberFormat="1" applyFont="1" applyBorder="1"/>
    <xf numFmtId="0" fontId="58" fillId="0" borderId="45" xfId="0" applyFont="1" applyBorder="1" applyAlignment="1">
      <alignment horizontal="center" vertical="center"/>
    </xf>
    <xf numFmtId="0" fontId="65" fillId="4" borderId="0" xfId="0" applyFont="1" applyFill="1" applyAlignment="1">
      <alignment vertical="center"/>
    </xf>
    <xf numFmtId="0" fontId="6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7" fillId="12" borderId="27" xfId="0" applyFont="1" applyFill="1" applyBorder="1" applyAlignment="1">
      <alignment horizontal="center" vertical="center"/>
    </xf>
    <xf numFmtId="0" fontId="68" fillId="24" borderId="2" xfId="0" applyFont="1" applyFill="1" applyBorder="1" applyAlignment="1">
      <alignment horizontal="center" vertical="center"/>
    </xf>
    <xf numFmtId="0" fontId="68" fillId="21" borderId="2" xfId="0" applyFont="1" applyFill="1" applyBorder="1" applyAlignment="1">
      <alignment horizontal="center" vertical="center"/>
    </xf>
    <xf numFmtId="0" fontId="67" fillId="12" borderId="31" xfId="0" applyFont="1" applyFill="1" applyBorder="1" applyAlignment="1">
      <alignment horizontal="center" vertical="center"/>
    </xf>
    <xf numFmtId="167" fontId="70" fillId="24" borderId="2" xfId="0" applyNumberFormat="1" applyFont="1" applyFill="1" applyBorder="1" applyAlignment="1">
      <alignment horizontal="center" vertical="center"/>
    </xf>
    <xf numFmtId="167" fontId="70" fillId="21" borderId="2" xfId="0" applyNumberFormat="1" applyFont="1" applyFill="1" applyBorder="1" applyAlignment="1">
      <alignment horizontal="center" vertical="center"/>
    </xf>
    <xf numFmtId="0" fontId="71" fillId="0" borderId="31" xfId="0" applyFont="1" applyBorder="1" applyAlignment="1">
      <alignment horizontal="left" vertical="center" wrapText="1"/>
    </xf>
    <xf numFmtId="184" fontId="70" fillId="24" borderId="0" xfId="0" applyNumberFormat="1" applyFont="1" applyFill="1" applyAlignment="1">
      <alignment horizontal="center" vertical="center"/>
    </xf>
    <xf numFmtId="184" fontId="70" fillId="21" borderId="0" xfId="0" applyNumberFormat="1" applyFont="1" applyFill="1" applyAlignment="1">
      <alignment horizontal="center" vertical="center"/>
    </xf>
    <xf numFmtId="0" fontId="71" fillId="0" borderId="21" xfId="0" applyFont="1" applyBorder="1" applyAlignment="1">
      <alignment horizontal="left" vertical="center" wrapText="1"/>
    </xf>
    <xf numFmtId="171" fontId="70" fillId="24" borderId="2" xfId="0" applyNumberFormat="1" applyFont="1" applyFill="1" applyBorder="1" applyAlignment="1">
      <alignment horizontal="center" vertical="center"/>
    </xf>
    <xf numFmtId="171" fontId="70" fillId="21" borderId="2" xfId="0" applyNumberFormat="1" applyFont="1" applyFill="1" applyBorder="1" applyAlignment="1">
      <alignment horizontal="center" vertical="center"/>
    </xf>
    <xf numFmtId="168" fontId="70" fillId="24" borderId="2" xfId="0" applyNumberFormat="1" applyFont="1" applyFill="1" applyBorder="1" applyAlignment="1">
      <alignment horizontal="center" vertical="center"/>
    </xf>
    <xf numFmtId="168" fontId="70" fillId="21" borderId="2" xfId="0" applyNumberFormat="1" applyFont="1" applyFill="1" applyBorder="1" applyAlignment="1">
      <alignment horizontal="center" vertical="center"/>
    </xf>
    <xf numFmtId="3" fontId="70" fillId="24" borderId="2" xfId="0" applyNumberFormat="1" applyFont="1" applyFill="1" applyBorder="1" applyAlignment="1">
      <alignment horizontal="center" vertical="center"/>
    </xf>
    <xf numFmtId="3" fontId="70" fillId="21" borderId="2" xfId="0" applyNumberFormat="1" applyFont="1" applyFill="1" applyBorder="1" applyAlignment="1">
      <alignment horizontal="center" vertical="center"/>
    </xf>
    <xf numFmtId="164" fontId="70" fillId="24" borderId="2" xfId="0" applyNumberFormat="1" applyFont="1" applyFill="1" applyBorder="1" applyAlignment="1">
      <alignment horizontal="center" vertical="center"/>
    </xf>
    <xf numFmtId="164" fontId="70" fillId="21" borderId="2" xfId="0" applyNumberFormat="1" applyFont="1" applyFill="1" applyBorder="1" applyAlignment="1">
      <alignment horizontal="center" vertical="center"/>
    </xf>
    <xf numFmtId="178" fontId="70" fillId="24" borderId="2" xfId="0" applyNumberFormat="1" applyFont="1" applyFill="1" applyBorder="1" applyAlignment="1">
      <alignment horizontal="center" vertical="center"/>
    </xf>
    <xf numFmtId="178" fontId="70" fillId="21" borderId="2" xfId="0" applyNumberFormat="1" applyFont="1" applyFill="1" applyBorder="1" applyAlignment="1">
      <alignment horizontal="center" vertical="center"/>
    </xf>
    <xf numFmtId="0" fontId="6" fillId="0" borderId="18" xfId="0" applyFont="1" applyBorder="1"/>
    <xf numFmtId="0" fontId="17" fillId="0" borderId="18" xfId="0" applyFont="1" applyBorder="1"/>
    <xf numFmtId="177" fontId="72" fillId="0" borderId="0" xfId="0" applyNumberFormat="1" applyFont="1" applyAlignment="1">
      <alignment horizontal="right"/>
    </xf>
    <xf numFmtId="0" fontId="76" fillId="0" borderId="0" xfId="0" applyFont="1"/>
    <xf numFmtId="0" fontId="6" fillId="0" borderId="11" xfId="0" applyFont="1" applyBorder="1"/>
    <xf numFmtId="168" fontId="77" fillId="9" borderId="0" xfId="0" applyNumberFormat="1" applyFont="1" applyFill="1" applyAlignment="1">
      <alignment horizontal="right"/>
    </xf>
    <xf numFmtId="0" fontId="76" fillId="0" borderId="0" xfId="0" quotePrefix="1" applyFont="1"/>
    <xf numFmtId="177" fontId="77" fillId="0" borderId="0" xfId="0" applyNumberFormat="1" applyFont="1" applyAlignment="1">
      <alignment horizontal="right"/>
    </xf>
    <xf numFmtId="0" fontId="17" fillId="0" borderId="29" xfId="0" applyFont="1" applyBorder="1"/>
    <xf numFmtId="177" fontId="77" fillId="0" borderId="7" xfId="0" applyNumberFormat="1" applyFont="1" applyBorder="1" applyAlignment="1">
      <alignment horizontal="right"/>
    </xf>
    <xf numFmtId="0" fontId="76" fillId="0" borderId="7" xfId="0" quotePrefix="1" applyFont="1" applyBorder="1"/>
    <xf numFmtId="0" fontId="6" fillId="0" borderId="8" xfId="0" applyFont="1" applyBorder="1"/>
    <xf numFmtId="3" fontId="72" fillId="0" borderId="0" xfId="0" applyNumberFormat="1" applyFont="1" applyAlignment="1">
      <alignment horizontal="right"/>
    </xf>
    <xf numFmtId="9" fontId="72" fillId="0" borderId="0" xfId="0" applyNumberFormat="1" applyFont="1" applyAlignment="1">
      <alignment horizontal="right"/>
    </xf>
    <xf numFmtId="1" fontId="72" fillId="0" borderId="0" xfId="0" applyNumberFormat="1" applyFont="1" applyAlignment="1">
      <alignment horizontal="right"/>
    </xf>
    <xf numFmtId="10" fontId="72" fillId="0" borderId="0" xfId="0" applyNumberFormat="1" applyFont="1" applyAlignment="1">
      <alignment horizontal="right"/>
    </xf>
    <xf numFmtId="168" fontId="76" fillId="0" borderId="0" xfId="0" applyNumberFormat="1" applyFont="1" applyAlignment="1">
      <alignment horizontal="center"/>
    </xf>
    <xf numFmtId="0" fontId="17" fillId="0" borderId="19" xfId="0" applyFont="1" applyBorder="1"/>
    <xf numFmtId="168" fontId="70" fillId="24" borderId="26" xfId="0" applyNumberFormat="1" applyFont="1" applyFill="1" applyBorder="1" applyAlignment="1">
      <alignment horizontal="center" vertical="center"/>
    </xf>
    <xf numFmtId="168" fontId="70" fillId="21" borderId="26" xfId="0" applyNumberFormat="1" applyFont="1" applyFill="1" applyBorder="1" applyAlignment="1">
      <alignment horizontal="center" vertical="center"/>
    </xf>
    <xf numFmtId="0" fontId="76" fillId="0" borderId="22" xfId="0" applyFont="1" applyBorder="1"/>
    <xf numFmtId="0" fontId="78" fillId="23" borderId="17" xfId="0" applyFont="1" applyFill="1" applyBorder="1" applyAlignment="1">
      <alignment vertical="center"/>
    </xf>
    <xf numFmtId="0" fontId="78" fillId="23" borderId="15" xfId="0" applyFont="1" applyFill="1" applyBorder="1" applyAlignment="1">
      <alignment vertical="center"/>
    </xf>
    <xf numFmtId="0" fontId="78" fillId="23" borderId="20" xfId="0" applyFont="1" applyFill="1" applyBorder="1" applyAlignment="1">
      <alignment vertical="center"/>
    </xf>
    <xf numFmtId="0" fontId="60" fillId="0" borderId="18" xfId="0" applyFont="1" applyBorder="1"/>
    <xf numFmtId="0" fontId="60" fillId="0" borderId="0" xfId="0" applyFont="1"/>
    <xf numFmtId="0" fontId="22" fillId="21" borderId="0" xfId="0" applyFont="1" applyFill="1" applyAlignment="1">
      <alignment horizontal="center" vertical="center"/>
    </xf>
    <xf numFmtId="0" fontId="50" fillId="23" borderId="0" xfId="0" applyFont="1" applyFill="1" applyAlignment="1">
      <alignment horizontal="center" vertical="center"/>
    </xf>
    <xf numFmtId="0" fontId="79" fillId="3" borderId="0" xfId="0" applyFont="1" applyFill="1" applyAlignment="1">
      <alignment horizontal="center" vertical="center"/>
    </xf>
    <xf numFmtId="0" fontId="80" fillId="29" borderId="0" xfId="0" applyFont="1" applyFill="1" applyAlignment="1">
      <alignment horizontal="center" vertical="center"/>
    </xf>
    <xf numFmtId="0" fontId="80" fillId="29" borderId="21" xfId="0" applyFont="1" applyFill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 vertical="center"/>
    </xf>
    <xf numFmtId="3" fontId="20" fillId="0" borderId="2" xfId="0" quotePrefix="1" applyNumberFormat="1" applyFont="1" applyBorder="1" applyAlignment="1">
      <alignment horizontal="right" vertical="center"/>
    </xf>
    <xf numFmtId="0" fontId="60" fillId="0" borderId="27" xfId="0" applyFont="1" applyBorder="1" applyAlignment="1">
      <alignment horizontal="left" vertical="center"/>
    </xf>
    <xf numFmtId="3" fontId="60" fillId="0" borderId="2" xfId="0" applyNumberFormat="1" applyFont="1" applyBorder="1" applyAlignment="1">
      <alignment horizontal="right" vertical="center"/>
    </xf>
    <xf numFmtId="3" fontId="60" fillId="0" borderId="31" xfId="0" applyNumberFormat="1" applyFont="1" applyBorder="1" applyAlignment="1">
      <alignment horizontal="right" vertical="center"/>
    </xf>
    <xf numFmtId="164" fontId="22" fillId="0" borderId="2" xfId="0" applyNumberFormat="1" applyFont="1" applyBorder="1" applyAlignment="1">
      <alignment horizontal="right" vertical="center"/>
    </xf>
    <xf numFmtId="164" fontId="62" fillId="0" borderId="2" xfId="0" applyNumberFormat="1" applyFont="1" applyBorder="1" applyAlignment="1">
      <alignment horizontal="right" vertical="center"/>
    </xf>
    <xf numFmtId="164" fontId="62" fillId="0" borderId="31" xfId="0" applyNumberFormat="1" applyFont="1" applyBorder="1" applyAlignment="1">
      <alignment horizontal="right" vertical="center"/>
    </xf>
    <xf numFmtId="164" fontId="82" fillId="0" borderId="2" xfId="0" applyNumberFormat="1" applyFont="1" applyBorder="1" applyAlignment="1">
      <alignment horizontal="right" vertical="center"/>
    </xf>
    <xf numFmtId="164" fontId="82" fillId="0" borderId="31" xfId="0" applyNumberFormat="1" applyFont="1" applyBorder="1" applyAlignment="1">
      <alignment horizontal="right" vertical="center"/>
    </xf>
    <xf numFmtId="164" fontId="83" fillId="0" borderId="2" xfId="0" applyNumberFormat="1" applyFont="1" applyBorder="1" applyAlignment="1">
      <alignment horizontal="right" vertical="center"/>
    </xf>
    <xf numFmtId="164" fontId="83" fillId="0" borderId="31" xfId="0" applyNumberFormat="1" applyFont="1" applyBorder="1" applyAlignment="1">
      <alignment horizontal="right" vertical="center"/>
    </xf>
    <xf numFmtId="0" fontId="84" fillId="6" borderId="0" xfId="0" applyFont="1" applyFill="1"/>
    <xf numFmtId="164" fontId="85" fillId="0" borderId="2" xfId="0" applyNumberFormat="1" applyFont="1" applyBorder="1" applyAlignment="1">
      <alignment horizontal="right" vertical="center"/>
    </xf>
    <xf numFmtId="164" fontId="85" fillId="0" borderId="31" xfId="0" applyNumberFormat="1" applyFont="1" applyBorder="1" applyAlignment="1">
      <alignment horizontal="right" vertical="center"/>
    </xf>
    <xf numFmtId="0" fontId="81" fillId="0" borderId="0" xfId="0" applyFont="1" applyAlignment="1">
      <alignment horizontal="center" vertical="center"/>
    </xf>
    <xf numFmtId="177" fontId="86" fillId="0" borderId="0" xfId="0" applyNumberFormat="1" applyFont="1" applyAlignment="1">
      <alignment horizontal="right" vertical="center"/>
    </xf>
    <xf numFmtId="177" fontId="86" fillId="0" borderId="21" xfId="0" applyNumberFormat="1" applyFont="1" applyBorder="1" applyAlignment="1">
      <alignment horizontal="right" vertical="center"/>
    </xf>
    <xf numFmtId="177" fontId="62" fillId="0" borderId="2" xfId="0" applyNumberFormat="1" applyFont="1" applyBorder="1" applyAlignment="1">
      <alignment horizontal="right" vertical="center"/>
    </xf>
    <xf numFmtId="177" fontId="62" fillId="0" borderId="31" xfId="0" applyNumberFormat="1" applyFont="1" applyBorder="1" applyAlignment="1">
      <alignment horizontal="right" vertical="center"/>
    </xf>
    <xf numFmtId="0" fontId="25" fillId="29" borderId="27" xfId="0" applyFont="1" applyFill="1" applyBorder="1" applyAlignment="1">
      <alignment horizontal="left" vertical="center"/>
    </xf>
    <xf numFmtId="0" fontId="51" fillId="29" borderId="2" xfId="0" applyFont="1" applyFill="1" applyBorder="1" applyAlignment="1">
      <alignment horizontal="center" vertical="center"/>
    </xf>
    <xf numFmtId="165" fontId="25" fillId="29" borderId="2" xfId="0" applyNumberFormat="1" applyFont="1" applyFill="1" applyBorder="1" applyAlignment="1">
      <alignment horizontal="right" vertical="center"/>
    </xf>
    <xf numFmtId="165" fontId="25" fillId="29" borderId="31" xfId="0" applyNumberFormat="1" applyFont="1" applyFill="1" applyBorder="1" applyAlignment="1">
      <alignment horizontal="right" vertical="center"/>
    </xf>
    <xf numFmtId="0" fontId="53" fillId="29" borderId="2" xfId="0" applyFont="1" applyFill="1" applyBorder="1" applyAlignment="1">
      <alignment horizontal="center" vertical="center"/>
    </xf>
    <xf numFmtId="0" fontId="62" fillId="0" borderId="46" xfId="0" applyFont="1" applyBorder="1" applyAlignment="1">
      <alignment horizontal="left" vertical="center"/>
    </xf>
    <xf numFmtId="0" fontId="81" fillId="0" borderId="26" xfId="0" applyFont="1" applyBorder="1" applyAlignment="1">
      <alignment horizontal="center" vertical="center"/>
    </xf>
    <xf numFmtId="168" fontId="62" fillId="0" borderId="26" xfId="0" applyNumberFormat="1" applyFont="1" applyBorder="1" applyAlignment="1">
      <alignment horizontal="right" vertical="center"/>
    </xf>
    <xf numFmtId="168" fontId="62" fillId="0" borderId="47" xfId="0" applyNumberFormat="1" applyFont="1" applyBorder="1" applyAlignment="1">
      <alignment horizontal="right" vertical="center"/>
    </xf>
    <xf numFmtId="0" fontId="6" fillId="0" borderId="15" xfId="0" applyFont="1" applyBorder="1"/>
    <xf numFmtId="0" fontId="67" fillId="10" borderId="48" xfId="0" applyFont="1" applyFill="1" applyBorder="1" applyAlignment="1">
      <alignment horizontal="center" vertical="center"/>
    </xf>
    <xf numFmtId="0" fontId="68" fillId="13" borderId="2" xfId="0" applyFont="1" applyFill="1" applyBorder="1" applyAlignment="1">
      <alignment horizontal="center" vertical="center"/>
    </xf>
    <xf numFmtId="0" fontId="67" fillId="10" borderId="14" xfId="0" applyFont="1" applyFill="1" applyBorder="1" applyAlignment="1">
      <alignment horizontal="center" vertical="center"/>
    </xf>
    <xf numFmtId="164" fontId="82" fillId="14" borderId="2" xfId="0" applyNumberFormat="1" applyFont="1" applyFill="1" applyBorder="1" applyAlignment="1">
      <alignment horizontal="center" vertical="center"/>
    </xf>
    <xf numFmtId="164" fontId="22" fillId="21" borderId="2" xfId="0" applyNumberFormat="1" applyFont="1" applyFill="1" applyBorder="1" applyAlignment="1">
      <alignment horizontal="center" vertical="center"/>
    </xf>
    <xf numFmtId="164" fontId="85" fillId="21" borderId="2" xfId="0" applyNumberFormat="1" applyFont="1" applyFill="1" applyBorder="1" applyAlignment="1">
      <alignment horizontal="center" vertical="center"/>
    </xf>
    <xf numFmtId="0" fontId="58" fillId="0" borderId="12" xfId="0" applyFont="1" applyBorder="1" applyAlignment="1">
      <alignment horizontal="left" vertical="center"/>
    </xf>
    <xf numFmtId="168" fontId="82" fillId="14" borderId="2" xfId="0" applyNumberFormat="1" applyFont="1" applyFill="1" applyBorder="1" applyAlignment="1">
      <alignment horizontal="center" vertical="center"/>
    </xf>
    <xf numFmtId="168" fontId="22" fillId="21" borderId="2" xfId="0" applyNumberFormat="1" applyFont="1" applyFill="1" applyBorder="1" applyAlignment="1">
      <alignment horizontal="center" vertical="center"/>
    </xf>
    <xf numFmtId="168" fontId="85" fillId="21" borderId="2" xfId="0" applyNumberFormat="1" applyFont="1" applyFill="1" applyBorder="1" applyAlignment="1">
      <alignment horizontal="center" vertical="center"/>
    </xf>
    <xf numFmtId="0" fontId="88" fillId="0" borderId="0" xfId="0" applyFont="1"/>
    <xf numFmtId="172" fontId="82" fillId="14" borderId="2" xfId="0" applyNumberFormat="1" applyFont="1" applyFill="1" applyBorder="1" applyAlignment="1">
      <alignment horizontal="center" vertical="center"/>
    </xf>
    <xf numFmtId="172" fontId="22" fillId="21" borderId="2" xfId="0" applyNumberFormat="1" applyFont="1" applyFill="1" applyBorder="1" applyAlignment="1">
      <alignment horizontal="center" vertical="center"/>
    </xf>
    <xf numFmtId="172" fontId="85" fillId="21" borderId="2" xfId="0" applyNumberFormat="1" applyFont="1" applyFill="1" applyBorder="1" applyAlignment="1">
      <alignment horizontal="center" vertical="center"/>
    </xf>
    <xf numFmtId="167" fontId="82" fillId="14" borderId="2" xfId="0" applyNumberFormat="1" applyFont="1" applyFill="1" applyBorder="1" applyAlignment="1">
      <alignment horizontal="center" vertical="center"/>
    </xf>
    <xf numFmtId="167" fontId="22" fillId="21" borderId="2" xfId="0" applyNumberFormat="1" applyFont="1" applyFill="1" applyBorder="1" applyAlignment="1">
      <alignment horizontal="center" vertical="center"/>
    </xf>
    <xf numFmtId="167" fontId="85" fillId="21" borderId="2" xfId="0" applyNumberFormat="1" applyFont="1" applyFill="1" applyBorder="1" applyAlignment="1">
      <alignment horizontal="center" vertical="center"/>
    </xf>
    <xf numFmtId="169" fontId="82" fillId="14" borderId="2" xfId="0" applyNumberFormat="1" applyFont="1" applyFill="1" applyBorder="1" applyAlignment="1">
      <alignment horizontal="center" vertical="center"/>
    </xf>
    <xf numFmtId="169" fontId="22" fillId="21" borderId="2" xfId="0" applyNumberFormat="1" applyFont="1" applyFill="1" applyBorder="1" applyAlignment="1">
      <alignment horizontal="center" vertical="center"/>
    </xf>
    <xf numFmtId="169" fontId="85" fillId="21" borderId="2" xfId="0" applyNumberFormat="1" applyFont="1" applyFill="1" applyBorder="1" applyAlignment="1">
      <alignment horizontal="center" vertical="center"/>
    </xf>
    <xf numFmtId="166" fontId="82" fillId="14" borderId="2" xfId="0" applyNumberFormat="1" applyFont="1" applyFill="1" applyBorder="1" applyAlignment="1">
      <alignment horizontal="center" vertical="center"/>
    </xf>
    <xf numFmtId="166" fontId="22" fillId="21" borderId="2" xfId="0" applyNumberFormat="1" applyFont="1" applyFill="1" applyBorder="1" applyAlignment="1">
      <alignment horizontal="center" vertical="center"/>
    </xf>
    <xf numFmtId="166" fontId="85" fillId="21" borderId="2" xfId="0" applyNumberFormat="1" applyFont="1" applyFill="1" applyBorder="1" applyAlignment="1">
      <alignment horizontal="center" vertical="center"/>
    </xf>
    <xf numFmtId="170" fontId="82" fillId="14" borderId="2" xfId="0" applyNumberFormat="1" applyFont="1" applyFill="1" applyBorder="1" applyAlignment="1">
      <alignment horizontal="center" vertical="center"/>
    </xf>
    <xf numFmtId="170" fontId="22" fillId="21" borderId="2" xfId="0" applyNumberFormat="1" applyFont="1" applyFill="1" applyBorder="1" applyAlignment="1">
      <alignment horizontal="center" vertical="center"/>
    </xf>
    <xf numFmtId="170" fontId="85" fillId="21" borderId="2" xfId="0" applyNumberFormat="1" applyFont="1" applyFill="1" applyBorder="1" applyAlignment="1">
      <alignment horizontal="center" vertical="center"/>
    </xf>
    <xf numFmtId="164" fontId="83" fillId="14" borderId="2" xfId="0" applyNumberFormat="1" applyFont="1" applyFill="1" applyBorder="1" applyAlignment="1">
      <alignment horizontal="center" vertical="center"/>
    </xf>
    <xf numFmtId="164" fontId="89" fillId="21" borderId="2" xfId="0" applyNumberFormat="1" applyFont="1" applyFill="1" applyBorder="1" applyAlignment="1">
      <alignment horizontal="center" vertical="center"/>
    </xf>
    <xf numFmtId="166" fontId="83" fillId="14" borderId="2" xfId="0" applyNumberFormat="1" applyFont="1" applyFill="1" applyBorder="1" applyAlignment="1">
      <alignment horizontal="center" vertical="center"/>
    </xf>
    <xf numFmtId="166" fontId="89" fillId="21" borderId="2" xfId="0" applyNumberFormat="1" applyFont="1" applyFill="1" applyBorder="1" applyAlignment="1">
      <alignment horizontal="center" vertical="center"/>
    </xf>
    <xf numFmtId="177" fontId="82" fillId="14" borderId="2" xfId="0" applyNumberFormat="1" applyFont="1" applyFill="1" applyBorder="1" applyAlignment="1">
      <alignment horizontal="center" vertical="center"/>
    </xf>
    <xf numFmtId="177" fontId="22" fillId="21" borderId="2" xfId="0" applyNumberFormat="1" applyFont="1" applyFill="1" applyBorder="1" applyAlignment="1">
      <alignment horizontal="center" vertical="center"/>
    </xf>
    <xf numFmtId="177" fontId="85" fillId="21" borderId="2" xfId="0" applyNumberFormat="1" applyFont="1" applyFill="1" applyBorder="1" applyAlignment="1">
      <alignment horizontal="center" vertical="center"/>
    </xf>
    <xf numFmtId="3" fontId="82" fillId="14" borderId="2" xfId="0" applyNumberFormat="1" applyFont="1" applyFill="1" applyBorder="1" applyAlignment="1">
      <alignment horizontal="center" vertical="center"/>
    </xf>
    <xf numFmtId="3" fontId="22" fillId="21" borderId="2" xfId="0" applyNumberFormat="1" applyFont="1" applyFill="1" applyBorder="1" applyAlignment="1">
      <alignment horizontal="center" vertical="center"/>
    </xf>
    <xf numFmtId="3" fontId="85" fillId="21" borderId="2" xfId="0" applyNumberFormat="1" applyFont="1" applyFill="1" applyBorder="1" applyAlignment="1">
      <alignment horizontal="center" vertical="center"/>
    </xf>
    <xf numFmtId="0" fontId="19" fillId="20" borderId="0" xfId="0" applyFont="1" applyFill="1" applyAlignment="1">
      <alignment horizontal="left"/>
    </xf>
    <xf numFmtId="0" fontId="91" fillId="25" borderId="0" xfId="0" applyFont="1" applyFill="1"/>
    <xf numFmtId="0" fontId="36" fillId="31" borderId="0" xfId="0" applyFont="1" applyFill="1"/>
    <xf numFmtId="0" fontId="36" fillId="5" borderId="0" xfId="0" applyFont="1" applyFill="1"/>
    <xf numFmtId="0" fontId="62" fillId="0" borderId="67" xfId="0" applyFont="1" applyBorder="1" applyAlignment="1">
      <alignment horizontal="left" vertical="center"/>
    </xf>
    <xf numFmtId="0" fontId="62" fillId="0" borderId="68" xfId="0" applyFont="1" applyBorder="1" applyAlignment="1">
      <alignment horizontal="left" vertical="center"/>
    </xf>
    <xf numFmtId="0" fontId="62" fillId="5" borderId="28" xfId="0" applyFont="1" applyFill="1" applyBorder="1" applyAlignment="1">
      <alignment horizontal="left" vertical="center"/>
    </xf>
    <xf numFmtId="4" fontId="70" fillId="24" borderId="69" xfId="0" applyNumberFormat="1" applyFont="1" applyFill="1" applyBorder="1" applyAlignment="1">
      <alignment horizontal="center" vertical="center"/>
    </xf>
    <xf numFmtId="0" fontId="62" fillId="5" borderId="48" xfId="0" applyFont="1" applyFill="1" applyBorder="1" applyAlignment="1">
      <alignment horizontal="left" vertical="center"/>
    </xf>
    <xf numFmtId="171" fontId="70" fillId="24" borderId="70" xfId="0" applyNumberFormat="1" applyFont="1" applyFill="1" applyBorder="1" applyAlignment="1">
      <alignment horizontal="center" vertical="center"/>
    </xf>
    <xf numFmtId="171" fontId="70" fillId="24" borderId="71" xfId="0" applyNumberFormat="1" applyFont="1" applyFill="1" applyBorder="1" applyAlignment="1">
      <alignment horizontal="center" vertical="center"/>
    </xf>
    <xf numFmtId="4" fontId="70" fillId="21" borderId="69" xfId="0" applyNumberFormat="1" applyFont="1" applyFill="1" applyBorder="1" applyAlignment="1">
      <alignment horizontal="center" vertical="center"/>
    </xf>
    <xf numFmtId="171" fontId="70" fillId="24" borderId="72" xfId="0" applyNumberFormat="1" applyFont="1" applyFill="1" applyBorder="1" applyAlignment="1">
      <alignment horizontal="center" vertical="center"/>
    </xf>
    <xf numFmtId="171" fontId="70" fillId="21" borderId="70" xfId="0" applyNumberFormat="1" applyFont="1" applyFill="1" applyBorder="1" applyAlignment="1">
      <alignment horizontal="center" vertical="center"/>
    </xf>
    <xf numFmtId="171" fontId="70" fillId="21" borderId="71" xfId="0" applyNumberFormat="1" applyFont="1" applyFill="1" applyBorder="1" applyAlignment="1">
      <alignment horizontal="center" vertical="center"/>
    </xf>
    <xf numFmtId="171" fontId="70" fillId="21" borderId="72" xfId="0" applyNumberFormat="1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left" vertical="center" wrapText="1"/>
    </xf>
    <xf numFmtId="0" fontId="71" fillId="0" borderId="73" xfId="0" applyFont="1" applyBorder="1" applyAlignment="1">
      <alignment horizontal="left" vertical="center" wrapText="1"/>
    </xf>
    <xf numFmtId="0" fontId="71" fillId="5" borderId="73" xfId="0" applyFont="1" applyFill="1" applyBorder="1" applyAlignment="1">
      <alignment horizontal="left" vertical="center" wrapText="1"/>
    </xf>
    <xf numFmtId="0" fontId="71" fillId="0" borderId="74" xfId="0" applyFont="1" applyBorder="1" applyAlignment="1">
      <alignment horizontal="left" vertical="center" wrapText="1"/>
    </xf>
    <xf numFmtId="171" fontId="5" fillId="0" borderId="69" xfId="0" applyNumberFormat="1" applyFont="1" applyBorder="1" applyAlignment="1">
      <alignment horizontal="right" vertical="center"/>
    </xf>
    <xf numFmtId="168" fontId="5" fillId="0" borderId="70" xfId="0" applyNumberFormat="1" applyFont="1" applyBorder="1" applyAlignment="1">
      <alignment horizontal="right" vertical="center"/>
    </xf>
    <xf numFmtId="0" fontId="63" fillId="5" borderId="75" xfId="0" applyFont="1" applyFill="1" applyBorder="1" applyAlignment="1">
      <alignment horizontal="left" vertical="center"/>
    </xf>
    <xf numFmtId="171" fontId="5" fillId="5" borderId="71" xfId="0" applyNumberFormat="1" applyFont="1" applyFill="1" applyBorder="1" applyAlignment="1">
      <alignment horizontal="right" vertical="center"/>
    </xf>
    <xf numFmtId="171" fontId="5" fillId="5" borderId="72" xfId="0" applyNumberFormat="1" applyFont="1" applyFill="1" applyBorder="1" applyAlignment="1">
      <alignment horizontal="right" vertical="center"/>
    </xf>
    <xf numFmtId="0" fontId="92" fillId="0" borderId="18" xfId="0" applyFont="1" applyBorder="1" applyAlignment="1">
      <alignment horizontal="left" vertical="center"/>
    </xf>
    <xf numFmtId="0" fontId="7" fillId="5" borderId="58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9" fillId="5" borderId="58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8" fillId="5" borderId="0" xfId="0" applyFont="1" applyFill="1"/>
    <xf numFmtId="0" fontId="11" fillId="5" borderId="64" xfId="0" applyFont="1" applyFill="1" applyBorder="1" applyAlignment="1">
      <alignment horizontal="left" vertical="center"/>
    </xf>
    <xf numFmtId="0" fontId="11" fillId="5" borderId="65" xfId="0" applyFont="1" applyFill="1" applyBorder="1" applyAlignment="1">
      <alignment horizontal="left" vertical="center"/>
    </xf>
    <xf numFmtId="0" fontId="11" fillId="5" borderId="58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6" fillId="5" borderId="65" xfId="0" applyFont="1" applyFill="1" applyBorder="1" applyAlignment="1">
      <alignment horizontal="right" vertical="center"/>
    </xf>
    <xf numFmtId="0" fontId="16" fillId="5" borderId="66" xfId="0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0" fontId="16" fillId="5" borderId="59" xfId="0" applyFont="1" applyFill="1" applyBorder="1" applyAlignment="1">
      <alignment horizontal="right" vertical="center"/>
    </xf>
    <xf numFmtId="189" fontId="14" fillId="21" borderId="50" xfId="0" applyNumberFormat="1" applyFont="1" applyFill="1" applyBorder="1" applyAlignment="1">
      <alignment horizontal="center"/>
    </xf>
    <xf numFmtId="189" fontId="14" fillId="21" borderId="59" xfId="0" applyNumberFormat="1" applyFont="1" applyFill="1" applyBorder="1" applyAlignment="1">
      <alignment horizontal="center"/>
    </xf>
    <xf numFmtId="0" fontId="14" fillId="21" borderId="50" xfId="0" applyFont="1" applyFill="1" applyBorder="1" applyAlignment="1">
      <alignment horizontal="center"/>
    </xf>
    <xf numFmtId="0" fontId="14" fillId="21" borderId="51" xfId="0" applyFont="1" applyFill="1" applyBorder="1" applyAlignment="1">
      <alignment horizontal="center"/>
    </xf>
    <xf numFmtId="189" fontId="14" fillId="21" borderId="51" xfId="0" applyNumberFormat="1" applyFont="1" applyFill="1" applyBorder="1" applyAlignment="1">
      <alignment horizontal="center"/>
    </xf>
    <xf numFmtId="0" fontId="13" fillId="21" borderId="50" xfId="0" applyFont="1" applyFill="1" applyBorder="1" applyAlignment="1">
      <alignment horizontal="center"/>
    </xf>
    <xf numFmtId="0" fontId="13" fillId="21" borderId="51" xfId="0" applyFont="1" applyFill="1" applyBorder="1" applyAlignment="1">
      <alignment horizontal="center"/>
    </xf>
    <xf numFmtId="0" fontId="13" fillId="21" borderId="59" xfId="0" applyFont="1" applyFill="1" applyBorder="1" applyAlignment="1">
      <alignment horizontal="center"/>
    </xf>
    <xf numFmtId="0" fontId="15" fillId="21" borderId="52" xfId="0" applyFont="1" applyFill="1" applyBorder="1" applyAlignment="1">
      <alignment horizontal="center"/>
    </xf>
    <xf numFmtId="0" fontId="15" fillId="21" borderId="53" xfId="0" applyFont="1" applyFill="1" applyBorder="1" applyAlignment="1">
      <alignment horizontal="center"/>
    </xf>
    <xf numFmtId="0" fontId="15" fillId="21" borderId="60" xfId="0" applyFont="1" applyFill="1" applyBorder="1" applyAlignment="1">
      <alignment horizontal="center"/>
    </xf>
    <xf numFmtId="0" fontId="13" fillId="21" borderId="58" xfId="0" applyFont="1" applyFill="1" applyBorder="1" applyAlignment="1">
      <alignment horizontal="center"/>
    </xf>
    <xf numFmtId="189" fontId="14" fillId="21" borderId="58" xfId="0" applyNumberFormat="1" applyFont="1" applyFill="1" applyBorder="1" applyAlignment="1">
      <alignment horizontal="center"/>
    </xf>
    <xf numFmtId="184" fontId="14" fillId="21" borderId="51" xfId="0" applyNumberFormat="1" applyFont="1" applyFill="1" applyBorder="1" applyAlignment="1">
      <alignment horizontal="center"/>
    </xf>
    <xf numFmtId="3" fontId="14" fillId="21" borderId="50" xfId="0" applyNumberFormat="1" applyFont="1" applyFill="1" applyBorder="1" applyAlignment="1">
      <alignment horizontal="center"/>
    </xf>
    <xf numFmtId="3" fontId="14" fillId="21" borderId="51" xfId="0" applyNumberFormat="1" applyFont="1" applyFill="1" applyBorder="1" applyAlignment="1">
      <alignment horizontal="center"/>
    </xf>
    <xf numFmtId="174" fontId="14" fillId="14" borderId="50" xfId="0" applyNumberFormat="1" applyFont="1" applyFill="1" applyBorder="1" applyAlignment="1">
      <alignment horizontal="center"/>
    </xf>
    <xf numFmtId="174" fontId="14" fillId="14" borderId="51" xfId="0" applyNumberFormat="1" applyFont="1" applyFill="1" applyBorder="1" applyAlignment="1">
      <alignment horizontal="center"/>
    </xf>
    <xf numFmtId="0" fontId="15" fillId="21" borderId="61" xfId="0" applyFont="1" applyFill="1" applyBorder="1" applyAlignment="1">
      <alignment horizontal="center"/>
    </xf>
    <xf numFmtId="168" fontId="14" fillId="21" borderId="50" xfId="0" applyNumberFormat="1" applyFont="1" applyFill="1" applyBorder="1" applyAlignment="1">
      <alignment horizontal="center"/>
    </xf>
    <xf numFmtId="168" fontId="14" fillId="21" borderId="59" xfId="0" applyNumberFormat="1" applyFont="1" applyFill="1" applyBorder="1" applyAlignment="1">
      <alignment horizontal="center"/>
    </xf>
    <xf numFmtId="176" fontId="14" fillId="21" borderId="50" xfId="0" applyNumberFormat="1" applyFont="1" applyFill="1" applyBorder="1" applyAlignment="1">
      <alignment horizontal="center"/>
    </xf>
    <xf numFmtId="176" fontId="14" fillId="21" borderId="51" xfId="0" applyNumberFormat="1" applyFont="1" applyFill="1" applyBorder="1" applyAlignment="1">
      <alignment horizontal="center"/>
    </xf>
    <xf numFmtId="0" fontId="11" fillId="5" borderId="58" xfId="0" applyFont="1" applyFill="1" applyBorder="1"/>
    <xf numFmtId="0" fontId="11" fillId="5" borderId="0" xfId="0" applyFont="1" applyFill="1"/>
    <xf numFmtId="0" fontId="11" fillId="5" borderId="59" xfId="0" applyFont="1" applyFill="1" applyBorder="1"/>
    <xf numFmtId="0" fontId="18" fillId="5" borderId="62" xfId="0" applyFont="1" applyFill="1" applyBorder="1"/>
    <xf numFmtId="0" fontId="18" fillId="5" borderId="10" xfId="0" applyFont="1" applyFill="1" applyBorder="1"/>
    <xf numFmtId="0" fontId="18" fillId="5" borderId="63" xfId="0" applyFont="1" applyFill="1" applyBorder="1"/>
    <xf numFmtId="0" fontId="18" fillId="5" borderId="58" xfId="0" applyFont="1" applyFill="1" applyBorder="1"/>
    <xf numFmtId="0" fontId="18" fillId="5" borderId="0" xfId="0" applyFont="1" applyFill="1"/>
    <xf numFmtId="0" fontId="18" fillId="5" borderId="59" xfId="0" applyFont="1" applyFill="1" applyBorder="1"/>
    <xf numFmtId="0" fontId="23" fillId="21" borderId="0" xfId="0" applyFont="1" applyFill="1" applyAlignment="1">
      <alignment wrapText="1"/>
    </xf>
    <xf numFmtId="0" fontId="32" fillId="21" borderId="0" xfId="0" applyFont="1" applyFill="1" applyAlignment="1">
      <alignment wrapText="1"/>
    </xf>
    <xf numFmtId="0" fontId="21" fillId="20" borderId="0" xfId="0" applyFont="1" applyFill="1"/>
    <xf numFmtId="0" fontId="6" fillId="20" borderId="0" xfId="0" applyFont="1" applyFill="1"/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top" wrapText="1"/>
    </xf>
    <xf numFmtId="0" fontId="29" fillId="0" borderId="0" xfId="0" applyFont="1"/>
    <xf numFmtId="0" fontId="27" fillId="21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/>
    <xf numFmtId="0" fontId="29" fillId="0" borderId="49" xfId="0" applyFont="1" applyBorder="1"/>
    <xf numFmtId="0" fontId="34" fillId="21" borderId="0" xfId="0" applyFont="1" applyFill="1"/>
    <xf numFmtId="0" fontId="9" fillId="0" borderId="0" xfId="0" applyFont="1" applyAlignment="1">
      <alignment wrapText="1"/>
    </xf>
    <xf numFmtId="0" fontId="9" fillId="0" borderId="49" xfId="0" applyFont="1" applyBorder="1" applyAlignment="1">
      <alignment wrapText="1"/>
    </xf>
    <xf numFmtId="0" fontId="24" fillId="22" borderId="0" xfId="0" applyFont="1" applyFill="1" applyAlignment="1">
      <alignment wrapText="1"/>
    </xf>
    <xf numFmtId="0" fontId="25" fillId="32" borderId="49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5" fillId="32" borderId="49" xfId="0" applyFont="1" applyFill="1" applyBorder="1" applyAlignment="1">
      <alignment vertical="center" wrapText="1"/>
    </xf>
    <xf numFmtId="0" fontId="35" fillId="32" borderId="0" xfId="0" applyFont="1" applyFill="1" applyAlignment="1">
      <alignment vertical="center" wrapText="1"/>
    </xf>
    <xf numFmtId="0" fontId="20" fillId="0" borderId="0" xfId="0" applyFont="1"/>
    <xf numFmtId="0" fontId="24" fillId="22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0" fontId="27" fillId="21" borderId="0" xfId="0" applyFont="1" applyFill="1"/>
    <xf numFmtId="0" fontId="34" fillId="0" borderId="0" xfId="0" applyFont="1" applyAlignment="1">
      <alignment wrapText="1"/>
    </xf>
    <xf numFmtId="0" fontId="38" fillId="25" borderId="0" xfId="0" applyFont="1" applyFill="1" applyAlignment="1">
      <alignment horizontal="left" vertical="center" wrapText="1"/>
    </xf>
    <xf numFmtId="0" fontId="44" fillId="0" borderId="23" xfId="0" applyFont="1" applyBorder="1" applyAlignment="1">
      <alignment horizontal="left" wrapText="1"/>
    </xf>
    <xf numFmtId="0" fontId="44" fillId="0" borderId="0" xfId="0" applyFont="1" applyAlignment="1">
      <alignment horizontal="left" wrapText="1"/>
    </xf>
    <xf numFmtId="185" fontId="55" fillId="0" borderId="0" xfId="0" applyNumberFormat="1" applyFont="1"/>
    <xf numFmtId="176" fontId="55" fillId="0" borderId="0" xfId="0" applyNumberFormat="1" applyFont="1"/>
    <xf numFmtId="0" fontId="55" fillId="0" borderId="0" xfId="0" applyFont="1" applyAlignment="1">
      <alignment horizontal="right"/>
    </xf>
    <xf numFmtId="0" fontId="9" fillId="0" borderId="0" xfId="0" applyFont="1"/>
    <xf numFmtId="0" fontId="51" fillId="0" borderId="0" xfId="0" applyFont="1" applyAlignment="1">
      <alignment horizontal="center" vertical="center"/>
    </xf>
    <xf numFmtId="0" fontId="51" fillId="0" borderId="49" xfId="0" applyFont="1" applyBorder="1" applyAlignment="1">
      <alignment horizontal="center" vertical="center"/>
    </xf>
    <xf numFmtId="0" fontId="51" fillId="0" borderId="0" xfId="0" applyFont="1"/>
    <xf numFmtId="0" fontId="51" fillId="0" borderId="49" xfId="0" applyFont="1" applyBorder="1"/>
    <xf numFmtId="0" fontId="61" fillId="23" borderId="18" xfId="0" applyFont="1" applyFill="1" applyBorder="1" applyAlignment="1">
      <alignment horizontal="left" vertical="center"/>
    </xf>
    <xf numFmtId="0" fontId="61" fillId="23" borderId="0" xfId="0" applyFont="1" applyFill="1" applyAlignment="1">
      <alignment horizontal="left" vertical="center"/>
    </xf>
    <xf numFmtId="0" fontId="61" fillId="23" borderId="21" xfId="0" applyFont="1" applyFill="1" applyBorder="1" applyAlignment="1">
      <alignment horizontal="left" vertical="center"/>
    </xf>
    <xf numFmtId="0" fontId="61" fillId="7" borderId="37" xfId="0" applyFont="1" applyFill="1" applyBorder="1" applyAlignment="1">
      <alignment horizontal="left" vertical="center"/>
    </xf>
    <xf numFmtId="0" fontId="61" fillId="7" borderId="10" xfId="0" applyFont="1" applyFill="1" applyBorder="1" applyAlignment="1">
      <alignment horizontal="left" vertical="center"/>
    </xf>
    <xf numFmtId="0" fontId="61" fillId="7" borderId="42" xfId="0" applyFont="1" applyFill="1" applyBorder="1" applyAlignment="1">
      <alignment horizontal="left" vertical="center"/>
    </xf>
    <xf numFmtId="0" fontId="56" fillId="23" borderId="17" xfId="0" applyFont="1" applyFill="1" applyBorder="1" applyAlignment="1">
      <alignment horizontal="center" vertical="center"/>
    </xf>
    <xf numFmtId="0" fontId="56" fillId="23" borderId="15" xfId="0" applyFont="1" applyFill="1" applyBorder="1" applyAlignment="1">
      <alignment horizontal="center" vertical="center"/>
    </xf>
    <xf numFmtId="0" fontId="56" fillId="23" borderId="20" xfId="0" applyFont="1" applyFill="1" applyBorder="1" applyAlignment="1">
      <alignment horizontal="center" vertical="center"/>
    </xf>
    <xf numFmtId="0" fontId="60" fillId="2" borderId="18" xfId="0" applyFont="1" applyFill="1" applyBorder="1" applyAlignment="1">
      <alignment horizontal="left" vertical="center"/>
    </xf>
    <xf numFmtId="177" fontId="60" fillId="2" borderId="0" xfId="0" applyNumberFormat="1" applyFont="1" applyFill="1" applyAlignment="1">
      <alignment horizontal="left" vertical="center"/>
    </xf>
    <xf numFmtId="0" fontId="60" fillId="2" borderId="21" xfId="0" applyFont="1" applyFill="1" applyBorder="1" applyAlignment="1">
      <alignment horizontal="left" vertical="center"/>
    </xf>
    <xf numFmtId="0" fontId="75" fillId="7" borderId="30" xfId="0" applyFont="1" applyFill="1" applyBorder="1" applyAlignment="1">
      <alignment horizontal="center"/>
    </xf>
    <xf numFmtId="0" fontId="75" fillId="7" borderId="5" xfId="0" applyFont="1" applyFill="1" applyBorder="1" applyAlignment="1">
      <alignment horizontal="center"/>
    </xf>
    <xf numFmtId="0" fontId="75" fillId="7" borderId="6" xfId="0" applyFont="1" applyFill="1" applyBorder="1" applyAlignment="1">
      <alignment horizontal="center"/>
    </xf>
    <xf numFmtId="0" fontId="75" fillId="7" borderId="34" xfId="0" applyFont="1" applyFill="1" applyBorder="1" applyAlignment="1">
      <alignment horizontal="center"/>
    </xf>
    <xf numFmtId="0" fontId="65" fillId="23" borderId="17" xfId="0" applyFont="1" applyFill="1" applyBorder="1" applyAlignment="1">
      <alignment horizontal="center" vertical="center"/>
    </xf>
    <xf numFmtId="0" fontId="65" fillId="23" borderId="15" xfId="0" applyFont="1" applyFill="1" applyBorder="1" applyAlignment="1">
      <alignment horizontal="center" vertical="center"/>
    </xf>
    <xf numFmtId="0" fontId="65" fillId="23" borderId="20" xfId="0" applyFont="1" applyFill="1" applyBorder="1" applyAlignment="1">
      <alignment horizontal="center" vertical="center"/>
    </xf>
    <xf numFmtId="0" fontId="69" fillId="23" borderId="18" xfId="0" applyFont="1" applyFill="1" applyBorder="1" applyAlignment="1">
      <alignment horizontal="left" vertical="center"/>
    </xf>
    <xf numFmtId="0" fontId="69" fillId="23" borderId="0" xfId="0" applyFont="1" applyFill="1" applyAlignment="1">
      <alignment horizontal="left" vertical="center"/>
    </xf>
    <xf numFmtId="0" fontId="69" fillId="23" borderId="21" xfId="0" applyFont="1" applyFill="1" applyBorder="1" applyAlignment="1">
      <alignment horizontal="left" vertical="center"/>
    </xf>
    <xf numFmtId="0" fontId="58" fillId="21" borderId="28" xfId="0" applyFont="1" applyFill="1" applyBorder="1" applyAlignment="1">
      <alignment horizontal="left" vertical="center" wrapText="1"/>
    </xf>
    <xf numFmtId="0" fontId="58" fillId="21" borderId="3" xfId="0" applyFont="1" applyFill="1" applyBorder="1" applyAlignment="1">
      <alignment horizontal="left" vertical="center" wrapText="1"/>
    </xf>
    <xf numFmtId="0" fontId="58" fillId="21" borderId="32" xfId="0" applyFont="1" applyFill="1" applyBorder="1" applyAlignment="1">
      <alignment horizontal="left" vertical="center" wrapText="1"/>
    </xf>
    <xf numFmtId="0" fontId="58" fillId="21" borderId="18" xfId="0" applyFont="1" applyFill="1" applyBorder="1" applyAlignment="1">
      <alignment horizontal="left" vertical="center" wrapText="1"/>
    </xf>
    <xf numFmtId="177" fontId="58" fillId="21" borderId="0" xfId="0" applyNumberFormat="1" applyFont="1" applyFill="1" applyAlignment="1">
      <alignment horizontal="left" vertical="center" wrapText="1"/>
    </xf>
    <xf numFmtId="0" fontId="58" fillId="21" borderId="0" xfId="0" applyFont="1" applyFill="1" applyAlignment="1">
      <alignment horizontal="left" vertical="center" wrapText="1"/>
    </xf>
    <xf numFmtId="0" fontId="58" fillId="21" borderId="21" xfId="0" applyFont="1" applyFill="1" applyBorder="1" applyAlignment="1">
      <alignment horizontal="left" vertical="center" wrapText="1"/>
    </xf>
    <xf numFmtId="0" fontId="73" fillId="21" borderId="29" xfId="0" applyFont="1" applyFill="1" applyBorder="1" applyAlignment="1">
      <alignment horizontal="left" vertical="center" wrapText="1"/>
    </xf>
    <xf numFmtId="168" fontId="74" fillId="21" borderId="7" xfId="0" applyNumberFormat="1" applyFont="1" applyFill="1" applyBorder="1" applyAlignment="1">
      <alignment horizontal="right" vertical="center" wrapText="1"/>
    </xf>
    <xf numFmtId="0" fontId="71" fillId="21" borderId="33" xfId="0" applyFont="1" applyFill="1" applyBorder="1" applyAlignment="1">
      <alignment horizontal="left" vertical="center" wrapText="1"/>
    </xf>
    <xf numFmtId="0" fontId="67" fillId="16" borderId="18" xfId="0" applyFont="1" applyFill="1" applyBorder="1" applyAlignment="1">
      <alignment horizontal="left" vertical="center"/>
    </xf>
    <xf numFmtId="0" fontId="67" fillId="16" borderId="0" xfId="0" applyFont="1" applyFill="1" applyAlignment="1">
      <alignment horizontal="left" vertical="center"/>
    </xf>
    <xf numFmtId="0" fontId="67" fillId="16" borderId="21" xfId="0" applyFont="1" applyFill="1" applyBorder="1" applyAlignment="1">
      <alignment horizontal="left" vertical="center"/>
    </xf>
    <xf numFmtId="0" fontId="67" fillId="17" borderId="18" xfId="0" applyFont="1" applyFill="1" applyBorder="1" applyAlignment="1">
      <alignment horizontal="left" vertical="center"/>
    </xf>
    <xf numFmtId="0" fontId="67" fillId="17" borderId="0" xfId="0" applyFont="1" applyFill="1" applyAlignment="1">
      <alignment horizontal="left" vertical="center"/>
    </xf>
    <xf numFmtId="0" fontId="67" fillId="17" borderId="21" xfId="0" applyFont="1" applyFill="1" applyBorder="1" applyAlignment="1">
      <alignment horizontal="left" vertical="center"/>
    </xf>
    <xf numFmtId="0" fontId="60" fillId="0" borderId="18" xfId="0" applyFont="1" applyBorder="1"/>
    <xf numFmtId="0" fontId="60" fillId="0" borderId="0" xfId="0" applyFont="1"/>
    <xf numFmtId="0" fontId="67" fillId="19" borderId="18" xfId="0" applyFont="1" applyFill="1" applyBorder="1" applyAlignment="1">
      <alignment horizontal="left" vertical="center"/>
    </xf>
    <xf numFmtId="0" fontId="67" fillId="19" borderId="0" xfId="0" applyFont="1" applyFill="1" applyAlignment="1">
      <alignment horizontal="left" vertical="center"/>
    </xf>
    <xf numFmtId="0" fontId="67" fillId="19" borderId="21" xfId="0" applyFont="1" applyFill="1" applyBorder="1" applyAlignment="1">
      <alignment horizontal="left" vertical="center"/>
    </xf>
    <xf numFmtId="0" fontId="67" fillId="18" borderId="18" xfId="0" applyFont="1" applyFill="1" applyBorder="1" applyAlignment="1">
      <alignment horizontal="left" vertical="center"/>
    </xf>
    <xf numFmtId="0" fontId="67" fillId="18" borderId="0" xfId="0" applyFont="1" applyFill="1" applyAlignment="1">
      <alignment horizontal="left" vertical="center"/>
    </xf>
    <xf numFmtId="0" fontId="67" fillId="18" borderId="21" xfId="0" applyFont="1" applyFill="1" applyBorder="1" applyAlignment="1">
      <alignment horizontal="left" vertical="center"/>
    </xf>
    <xf numFmtId="0" fontId="67" fillId="15" borderId="18" xfId="0" applyFont="1" applyFill="1" applyBorder="1" applyAlignment="1">
      <alignment horizontal="left" vertical="center"/>
    </xf>
    <xf numFmtId="0" fontId="67" fillId="15" borderId="0" xfId="0" applyFont="1" applyFill="1" applyAlignment="1">
      <alignment horizontal="left" vertical="center"/>
    </xf>
    <xf numFmtId="0" fontId="67" fillId="15" borderId="21" xfId="0" applyFont="1" applyFill="1" applyBorder="1" applyAlignment="1">
      <alignment horizontal="left" vertical="center"/>
    </xf>
    <xf numFmtId="0" fontId="46" fillId="30" borderId="28" xfId="0" applyFont="1" applyFill="1" applyBorder="1" applyAlignment="1">
      <alignment horizontal="center" vertical="center" wrapText="1"/>
    </xf>
    <xf numFmtId="0" fontId="46" fillId="30" borderId="3" xfId="0" applyFont="1" applyFill="1" applyBorder="1" applyAlignment="1">
      <alignment horizontal="center" vertical="center" wrapText="1"/>
    </xf>
    <xf numFmtId="0" fontId="46" fillId="30" borderId="13" xfId="0" applyFont="1" applyFill="1" applyBorder="1" applyAlignment="1">
      <alignment horizontal="center" vertical="center" wrapText="1"/>
    </xf>
    <xf numFmtId="0" fontId="90" fillId="30" borderId="29" xfId="0" applyFont="1" applyFill="1" applyBorder="1" applyAlignment="1">
      <alignment horizontal="center" vertical="center" wrapText="1"/>
    </xf>
    <xf numFmtId="0" fontId="46" fillId="30" borderId="7" xfId="0" applyFont="1" applyFill="1" applyBorder="1" applyAlignment="1">
      <alignment horizontal="center" vertical="center" wrapText="1"/>
    </xf>
    <xf numFmtId="0" fontId="46" fillId="30" borderId="8" xfId="0" applyFont="1" applyFill="1" applyBorder="1" applyAlignment="1">
      <alignment horizontal="center" vertical="center" wrapText="1"/>
    </xf>
    <xf numFmtId="0" fontId="69" fillId="23" borderId="11" xfId="0" applyFont="1" applyFill="1" applyBorder="1" applyAlignment="1">
      <alignment horizontal="left" vertical="center"/>
    </xf>
    <xf numFmtId="0" fontId="56" fillId="23" borderId="16" xfId="0" applyFont="1" applyFill="1" applyBorder="1" applyAlignment="1">
      <alignment horizontal="center" vertical="center"/>
    </xf>
    <xf numFmtId="0" fontId="87" fillId="11" borderId="18" xfId="0" applyFont="1" applyFill="1" applyBorder="1" applyAlignment="1">
      <alignment horizontal="center" vertical="center"/>
    </xf>
    <xf numFmtId="0" fontId="87" fillId="11" borderId="0" xfId="0" applyFont="1" applyFill="1" applyAlignment="1">
      <alignment horizontal="center" vertical="center"/>
    </xf>
    <xf numFmtId="0" fontId="87" fillId="11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818"/>
      <rgbColor rgb="FF800080"/>
      <rgbColor rgb="FF008080"/>
      <rgbColor rgb="FFB3B3B3"/>
      <rgbColor rgb="FF888888"/>
      <rgbColor rgb="FF9999FF"/>
      <rgbColor rgb="FF993366"/>
      <rgbColor rgb="FFF5F0E0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AE5"/>
      <rgbColor rgb="FFEDE8DE"/>
      <rgbColor rgb="FFFFFF99"/>
      <rgbColor rgb="FF7DCBA8"/>
      <rgbColor rgb="FFFF99CC"/>
      <rgbColor rgb="FFCC99FF"/>
      <rgbColor rgb="FFDDDDD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5C3C"/>
      <rgbColor rgb="FF339966"/>
      <rgbColor rgb="FF0D0C09"/>
      <rgbColor rgb="FF333300"/>
      <rgbColor rgb="FFB8401A"/>
      <rgbColor rgb="FF993366"/>
      <rgbColor rgb="FF555555"/>
      <rgbColor rgb="FF2A3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EAE6"/>
      <color rgb="FFF5F0E0"/>
      <color rgb="FFFBF4F7"/>
      <color rgb="FFFFF893"/>
      <color rgb="FF7ECBA8"/>
      <color rgb="FF315C53"/>
      <color rgb="FFE8F5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Resultado Acumulado (R$)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7D4E5E"/>
            </a:solidFill>
            <a:ln w="25400">
              <a:solidFill>
                <a:srgbClr val="5A3645"/>
              </a:solidFill>
              <a:prstDash val="solid"/>
            </a:ln>
            <a:effectLst/>
            <a:scene3d>
              <a:camera prst="orthographicFront"/>
              <a:lightRig rig="threePt" dir="t"/>
            </a:scene3d>
            <a:sp3d prstMaterial="metal">
              <a:bevelT w="88900" h="88900"/>
            </a:sp3d>
          </c:spPr>
          <c:cat>
            <c:strRef>
              <c:f>'🚀 Investor Dashboard'!$L$77:$L$100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Investor Dashboard'!$Q$77:$Q$100</c:f>
              <c:numCache>
                <c:formatCode>General</c:formatCode>
                <c:ptCount val="24"/>
                <c:pt idx="0">
                  <c:v>-39903.990699999995</c:v>
                </c:pt>
                <c:pt idx="1">
                  <c:v>-57572.57129</c:v>
                </c:pt>
                <c:pt idx="2">
                  <c:v>-54130.800720000007</c:v>
                </c:pt>
                <c:pt idx="3">
                  <c:v>-30899.863570000009</c:v>
                </c:pt>
                <c:pt idx="4">
                  <c:v>10972.409919999984</c:v>
                </c:pt>
                <c:pt idx="5">
                  <c:v>70357.114769999986</c:v>
                </c:pt>
                <c:pt idx="6">
                  <c:v>146167.28935999997</c:v>
                </c:pt>
                <c:pt idx="7">
                  <c:v>237447.38304999995</c:v>
                </c:pt>
                <c:pt idx="8">
                  <c:v>343321.37261999992</c:v>
                </c:pt>
                <c:pt idx="9">
                  <c:v>462932.16010999988</c:v>
                </c:pt>
                <c:pt idx="10">
                  <c:v>595478.89041999984</c:v>
                </c:pt>
                <c:pt idx="11">
                  <c:v>740183.99300999986</c:v>
                </c:pt>
                <c:pt idx="12">
                  <c:v>885133.36728499993</c:v>
                </c:pt>
                <c:pt idx="13">
                  <c:v>1044586.6368999999</c:v>
                </c:pt>
                <c:pt idx="14">
                  <c:v>1217686.7038949998</c:v>
                </c:pt>
                <c:pt idx="15">
                  <c:v>1403670.2972299999</c:v>
                </c:pt>
                <c:pt idx="16">
                  <c:v>1601797.4304249999</c:v>
                </c:pt>
                <c:pt idx="17">
                  <c:v>1811380.0005599998</c:v>
                </c:pt>
                <c:pt idx="18">
                  <c:v>2031757.5485749999</c:v>
                </c:pt>
                <c:pt idx="19">
                  <c:v>2262321.4989700001</c:v>
                </c:pt>
                <c:pt idx="20">
                  <c:v>2502542.803665</c:v>
                </c:pt>
                <c:pt idx="21">
                  <c:v>2751892.4145800001</c:v>
                </c:pt>
                <c:pt idx="22">
                  <c:v>3009822.6248349999</c:v>
                </c:pt>
                <c:pt idx="23">
                  <c:v>3275921.4978299998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F-964E-815A-C0D9FC31D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59040"/>
        <c:axId val="442416128"/>
      </c:areaChart>
      <c:catAx>
        <c:axId val="55615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42416128"/>
        <c:crosses val="autoZero"/>
        <c:auto val="1"/>
        <c:lblAlgn val="ctr"/>
        <c:lblOffset val="100"/>
        <c:noMultiLvlLbl val="0"/>
      </c:catAx>
      <c:valAx>
        <c:axId val="4424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56159040"/>
        <c:crosses val="autoZero"/>
        <c:crossBetween val="midCat"/>
      </c:valAx>
      <c:spPr>
        <a:solidFill>
          <a:srgbClr val="FAF4F6"/>
        </a:solidFill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kumimoji="0" sz="1100" b="1" i="0" u="none" strike="noStrike" kern="1200" cap="none" spc="0" normalizeH="0" baseline="0" noProof="0">
                <a:ln>
                  <a:noFill/>
                </a:ln>
                <a:solidFill>
                  <a:srgbClr val="3D2A33"/>
                </a:solidFill>
                <a:effectLst/>
                <a:latin typeface="Calibri"/>
                <a:ea typeface="Calibri"/>
                <a:cs typeface="Calibri"/>
              </a:defRPr>
            </a:pPr>
            <a:r>
              <a:rPr lang="en-US"/>
              <a:t>Resultado Mensal (R$)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kumimoji="0" sz="1100" b="1" i="0" u="none" strike="noStrike" kern="1200" cap="none" spc="0" normalizeH="0" baseline="0" noProof="0">
              <a:ln>
                <a:noFill/>
              </a:ln>
              <a:solidFill>
                <a:srgbClr val="3D2A33"/>
              </a:solidFill>
              <a:effectLst/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7D4E5E"/>
            </a:solidFill>
            <a:ln w="12700">
              <a:solidFill>
                <a:srgbClr val="7D4E5E"/>
              </a:solidFill>
              <a:prstDash val="solid"/>
            </a:ln>
            <a:effectLst/>
          </c:spPr>
          <c:invertIfNegative val="0"/>
          <c:cat>
            <c:strRef>
              <c:f>'🚀 Investor Dashboard'!$L$77:$L$100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Investor Dashboard'!$P$77:$P$100</c:f>
              <c:numCache>
                <c:formatCode>General</c:formatCode>
                <c:ptCount val="24"/>
                <c:pt idx="0">
                  <c:v>-39903.990699999995</c:v>
                </c:pt>
                <c:pt idx="1">
                  <c:v>-17668.580590000005</c:v>
                </c:pt>
                <c:pt idx="2">
                  <c:v>3441.7705699999933</c:v>
                </c:pt>
                <c:pt idx="3">
                  <c:v>23230.937149999998</c:v>
                </c:pt>
                <c:pt idx="4">
                  <c:v>41872.273489999992</c:v>
                </c:pt>
                <c:pt idx="5">
                  <c:v>59384.704850000009</c:v>
                </c:pt>
                <c:pt idx="6">
                  <c:v>75810.174589999981</c:v>
                </c:pt>
                <c:pt idx="7">
                  <c:v>91280.09368999998</c:v>
                </c:pt>
                <c:pt idx="8">
                  <c:v>105873.98957000001</c:v>
                </c:pt>
                <c:pt idx="9">
                  <c:v>119610.78748999996</c:v>
                </c:pt>
                <c:pt idx="10">
                  <c:v>132546.73030999998</c:v>
                </c:pt>
                <c:pt idx="11">
                  <c:v>144705.10258999997</c:v>
                </c:pt>
                <c:pt idx="12">
                  <c:v>144949.37427500001</c:v>
                </c:pt>
                <c:pt idx="13">
                  <c:v>159453.26961500003</c:v>
                </c:pt>
                <c:pt idx="14">
                  <c:v>173100.06699499997</c:v>
                </c:pt>
                <c:pt idx="15">
                  <c:v>185983.59333500001</c:v>
                </c:pt>
                <c:pt idx="16">
                  <c:v>198127.13319499991</c:v>
                </c:pt>
                <c:pt idx="17">
                  <c:v>209582.57013500002</c:v>
                </c:pt>
                <c:pt idx="18">
                  <c:v>220377.54801499998</c:v>
                </c:pt>
                <c:pt idx="19">
                  <c:v>230563.95039500005</c:v>
                </c:pt>
                <c:pt idx="20">
                  <c:v>240221.30469499997</c:v>
                </c:pt>
                <c:pt idx="21">
                  <c:v>249349.61091499997</c:v>
                </c:pt>
                <c:pt idx="22">
                  <c:v>257930.21025500001</c:v>
                </c:pt>
                <c:pt idx="23">
                  <c:v>266098.87299499998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5-B546-8769-0F551C5A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74162080"/>
        <c:axId val="2076443759"/>
      </c:barChart>
      <c:catAx>
        <c:axId val="5741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076443759"/>
        <c:crosses val="autoZero"/>
        <c:auto val="1"/>
        <c:lblAlgn val="ctr"/>
        <c:lblOffset val="100"/>
        <c:noMultiLvlLbl val="0"/>
      </c:catAx>
      <c:valAx>
        <c:axId val="20764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74162080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+mn-lt"/>
              </a:rPr>
              <a:t>MRR &amp; Assinantes Pagantes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MRR (R$)</c:v>
          </c:tx>
          <c:spPr>
            <a:gradFill>
              <a:gsLst>
                <a:gs pos="0">
                  <a:schemeClr val="accent2">
                    <a:tint val="77000"/>
                    <a:shade val="51000"/>
                  </a:schemeClr>
                </a:gs>
                <a:gs pos="80000">
                  <a:schemeClr val="accent2">
                    <a:tint val="77000"/>
                    <a:shade val="93000"/>
                  </a:schemeClr>
                </a:gs>
                <a:gs pos="100000">
                  <a:schemeClr val="accent2">
                    <a:tint val="77000"/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cat>
            <c:strRef>
              <c:f>'🚀 Investor Dashboard'!$L$77:$L$100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Investor Dashboard'!$M$77:$M$100</c:f>
              <c:numCache>
                <c:formatCode>General</c:formatCode>
                <c:ptCount val="24"/>
                <c:pt idx="0">
                  <c:v>21562</c:v>
                </c:pt>
                <c:pt idx="1">
                  <c:v>52607.4</c:v>
                </c:pt>
                <c:pt idx="2">
                  <c:v>81746.299999999988</c:v>
                </c:pt>
                <c:pt idx="3">
                  <c:v>109078.5</c:v>
                </c:pt>
                <c:pt idx="4">
                  <c:v>134843.6</c:v>
                </c:pt>
                <c:pt idx="5">
                  <c:v>159061.5</c:v>
                </c:pt>
                <c:pt idx="6">
                  <c:v>181792.09999999998</c:v>
                </c:pt>
                <c:pt idx="7">
                  <c:v>203215.09999999998</c:v>
                </c:pt>
                <c:pt idx="8">
                  <c:v>223440.30000000002</c:v>
                </c:pt>
                <c:pt idx="9">
                  <c:v>242487.59999999998</c:v>
                </c:pt>
                <c:pt idx="10">
                  <c:v>260436.9</c:v>
                </c:pt>
                <c:pt idx="11">
                  <c:v>277318.09999999998</c:v>
                </c:pt>
                <c:pt idx="12">
                  <c:v>298641.5</c:v>
                </c:pt>
                <c:pt idx="13">
                  <c:v>318767.10000000003</c:v>
                </c:pt>
                <c:pt idx="14">
                  <c:v>337714.8</c:v>
                </c:pt>
                <c:pt idx="15">
                  <c:v>355614.4</c:v>
                </c:pt>
                <c:pt idx="16">
                  <c:v>372495.79999999993</c:v>
                </c:pt>
                <c:pt idx="17">
                  <c:v>388428.9</c:v>
                </c:pt>
                <c:pt idx="18">
                  <c:v>403453.6</c:v>
                </c:pt>
                <c:pt idx="19">
                  <c:v>417639.80000000005</c:v>
                </c:pt>
                <c:pt idx="20">
                  <c:v>431097.3</c:v>
                </c:pt>
                <c:pt idx="21">
                  <c:v>443826.1</c:v>
                </c:pt>
                <c:pt idx="22">
                  <c:v>455796.2</c:v>
                </c:pt>
                <c:pt idx="23">
                  <c:v>467197.3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4-664D-A2D6-04144D5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20160"/>
        <c:axId val="195366592"/>
      </c:areaChart>
      <c:lineChart>
        <c:grouping val="standard"/>
        <c:varyColors val="0"/>
        <c:ser>
          <c:idx val="1"/>
          <c:order val="1"/>
          <c:tx>
            <c:v>Assinantes Pagantes</c:v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'🚀 Investor Dashboard'!$L$77:$L$100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Investor Dashboard'!$N$77:$N$100</c:f>
              <c:numCache>
                <c:formatCode>#,##0</c:formatCode>
                <c:ptCount val="24"/>
                <c:pt idx="0">
                  <c:v>380</c:v>
                </c:pt>
                <c:pt idx="1">
                  <c:v>926</c:v>
                </c:pt>
                <c:pt idx="2">
                  <c:v>1437</c:v>
                </c:pt>
                <c:pt idx="3">
                  <c:v>1915</c:v>
                </c:pt>
                <c:pt idx="4">
                  <c:v>2364</c:v>
                </c:pt>
                <c:pt idx="5">
                  <c:v>2785</c:v>
                </c:pt>
                <c:pt idx="6">
                  <c:v>3179</c:v>
                </c:pt>
                <c:pt idx="7">
                  <c:v>3549</c:v>
                </c:pt>
                <c:pt idx="8">
                  <c:v>3897</c:v>
                </c:pt>
                <c:pt idx="9">
                  <c:v>4224</c:v>
                </c:pt>
                <c:pt idx="10">
                  <c:v>4531</c:v>
                </c:pt>
                <c:pt idx="11">
                  <c:v>4819</c:v>
                </c:pt>
                <c:pt idx="12">
                  <c:v>5185</c:v>
                </c:pt>
                <c:pt idx="13">
                  <c:v>5529</c:v>
                </c:pt>
                <c:pt idx="14">
                  <c:v>5852</c:v>
                </c:pt>
                <c:pt idx="15">
                  <c:v>6156</c:v>
                </c:pt>
                <c:pt idx="16">
                  <c:v>6442</c:v>
                </c:pt>
                <c:pt idx="17">
                  <c:v>6711</c:v>
                </c:pt>
                <c:pt idx="18">
                  <c:v>6964</c:v>
                </c:pt>
                <c:pt idx="19">
                  <c:v>7202</c:v>
                </c:pt>
                <c:pt idx="20">
                  <c:v>7427</c:v>
                </c:pt>
                <c:pt idx="21">
                  <c:v>7639</c:v>
                </c:pt>
                <c:pt idx="22">
                  <c:v>7838</c:v>
                </c:pt>
                <c:pt idx="23">
                  <c:v>8027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4-664D-A2D6-04144D5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585216"/>
        <c:axId val="1443561456"/>
      </c:lineChart>
      <c:catAx>
        <c:axId val="1959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66592"/>
        <c:crosses val="autoZero"/>
        <c:auto val="1"/>
        <c:lblAlgn val="ctr"/>
        <c:lblOffset val="100"/>
        <c:noMultiLvlLbl val="0"/>
      </c:catAx>
      <c:valAx>
        <c:axId val="1953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20160"/>
        <c:crosses val="autoZero"/>
        <c:crossBetween val="between"/>
      </c:valAx>
      <c:valAx>
        <c:axId val="1443561456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585216"/>
        <c:crosses val="max"/>
        <c:crossBetween val="between"/>
      </c:valAx>
      <c:catAx>
        <c:axId val="144358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3561456"/>
        <c:crosses val="autoZero"/>
        <c:auto val="1"/>
        <c:lblAlgn val="ctr"/>
        <c:lblOffset val="100"/>
        <c:noMultiLvlLbl val="0"/>
      </c:catAx>
      <c:spPr>
        <a:solidFill>
          <a:srgbClr val="FBF4F7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Comparativo de Cenários · Valuation &amp; Retorno do Anjo (M24)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Aporte (R$ M)</c:v>
          </c:tx>
          <c:spPr>
            <a:solidFill>
              <a:srgbClr val="7D4E5E"/>
            </a:solidFill>
            <a:ln>
              <a:solidFill>
                <a:srgbClr val="9B6A7D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-1.9927536231884056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A-1746-9E35-283DC86E4CCC}"/>
                </c:ext>
              </c:extLst>
            </c:dLbl>
            <c:dLbl>
              <c:idx val="1"/>
              <c:layout>
                <c:manualLayout>
                  <c:x val="-9.0579710144928199E-3"/>
                  <c:y val="-1.2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3A-1746-9E35-283DC86E4CCC}"/>
                </c:ext>
              </c:extLst>
            </c:dLbl>
            <c:dLbl>
              <c:idx val="2"/>
              <c:layout>
                <c:manualLayout>
                  <c:x val="-1.0869565217391438E-2"/>
                  <c:y val="-2.1875000000000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Investor Dashboard'!$L$103:$L$105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'🚀 Investor Dashboard'!$M$103:$M$105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A-1746-9E35-283DC86E4CCC}"/>
            </c:ext>
          </c:extLst>
        </c:ser>
        <c:ser>
          <c:idx val="1"/>
          <c:order val="1"/>
          <c:tx>
            <c:v>Valuation 100% M24 (R$ M)</c:v>
          </c:tx>
          <c:spPr>
            <a:solidFill>
              <a:srgbClr val="C08497"/>
            </a:solidFill>
            <a:ln>
              <a:solidFill>
                <a:srgbClr val="5A3645"/>
              </a:solidFill>
              <a:prstDash val="solid"/>
            </a:ln>
            <a:effectLst/>
          </c:spPr>
          <c:invertIfNegative val="0"/>
          <c:dLbls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6B3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Investor Dashboard'!$L$103:$L$105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'🚀 Investor Dashboard'!$N$103:$N$105</c:f>
              <c:numCache>
                <c:formatCode>General</c:formatCode>
                <c:ptCount val="3"/>
                <c:pt idx="0">
                  <c:v>19.914786599999996</c:v>
                </c:pt>
                <c:pt idx="1">
                  <c:v>50.824493500000003</c:v>
                </c:pt>
                <c:pt idx="2">
                  <c:v>101.18222659999999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A-1746-9E35-283DC86E4CCC}"/>
            </c:ext>
          </c:extLst>
        </c:ser>
        <c:ser>
          <c:idx val="2"/>
          <c:order val="2"/>
          <c:tx>
            <c:v>Retorno do anjo (R$ M)</c:v>
          </c:tx>
          <c:spPr>
            <a:solidFill>
              <a:srgbClr val="92D050"/>
            </a:solidFill>
            <a:ln>
              <a:solidFill>
                <a:srgbClr val="6FA33A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2.8985507246376812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3A-1746-9E35-283DC86E4CCC}"/>
                </c:ext>
              </c:extLst>
            </c:dLbl>
            <c:dLbl>
              <c:idx val="1"/>
              <c:layout>
                <c:manualLayout>
                  <c:x val="2.3550724637681094E-2"/>
                  <c:y val="-6.25000000000000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3A-1746-9E35-283DC86E4CCC}"/>
                </c:ext>
              </c:extLst>
            </c:dLbl>
            <c:dLbl>
              <c:idx val="2"/>
              <c:layout>
                <c:manualLayout>
                  <c:x val="2.717391304347826E-2"/>
                  <c:y val="-1.8750000000000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Investor Dashboard'!$L$103:$L$105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'🚀 Investor Dashboard'!$O$103:$O$105</c:f>
              <c:numCache>
                <c:formatCode>General</c:formatCode>
                <c:ptCount val="3"/>
                <c:pt idx="0">
                  <c:v>2.9872179899999987</c:v>
                </c:pt>
                <c:pt idx="1">
                  <c:v>7.6236740249999997</c:v>
                </c:pt>
                <c:pt idx="2">
                  <c:v>15.177333989999997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A-1746-9E35-283DC86E4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7302111"/>
        <c:axId val="1637303823"/>
      </c:barChart>
      <c:catAx>
        <c:axId val="1637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637303823"/>
        <c:crosses val="autoZero"/>
        <c:auto val="1"/>
        <c:lblAlgn val="ctr"/>
        <c:lblOffset val="100"/>
        <c:noMultiLvlLbl val="0"/>
      </c:catAx>
      <c:valAx>
        <c:axId val="16373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&quot;R$&quot;#,##0&quot;M&quot;" sourceLinked="0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637302111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80808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Retorno do Anjo por Cenário (× sobre aporte)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3D2A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Múltiplo s/ aporte</c:v>
          </c:tx>
          <c:spPr>
            <a:solidFill>
              <a:srgbClr val="9B6A7D"/>
            </a:solidFill>
            <a:ln>
              <a:solidFill>
                <a:srgbClr val="5A3645"/>
              </a:solidFill>
              <a:prstDash val="solid"/>
            </a:ln>
            <a:effectLst/>
          </c:spPr>
          <c:invertIfNegative val="0"/>
          <c:dLbls>
            <c:numFmt formatCode="0.0&quot;×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D2A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'💎 Angel Summary'!$B$21:$B$23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Optimistic</c:v>
                </c:pt>
              </c:strCache>
            </c:strRef>
          </c:cat>
          <c:val>
            <c:numRef>
              <c:f>'💎 Angel Summary'!$E$21:$E$23</c:f>
              <c:numCache>
                <c:formatCode>0.0"x"</c:formatCode>
                <c:ptCount val="3"/>
                <c:pt idx="0">
                  <c:v>2.9872179899999987</c:v>
                </c:pt>
                <c:pt idx="1">
                  <c:v>7.6236740249999997</c:v>
                </c:pt>
                <c:pt idx="2">
                  <c:v>15.177333989999997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3-B34C-B7BF-F6FE4F41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42644095"/>
        <c:axId val="142645807"/>
      </c:barChart>
      <c:catAx>
        <c:axId val="142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0E0E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D2A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42645807"/>
        <c:crosses val="autoZero"/>
        <c:auto val="1"/>
        <c:lblAlgn val="ctr"/>
        <c:lblOffset val="100"/>
        <c:noMultiLvlLbl val="0"/>
      </c:catAx>
      <c:valAx>
        <c:axId val="1426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0.0&quot;x&quot;" sourceLinked="1"/>
        <c:majorTickMark val="none"/>
        <c:minorTickMark val="none"/>
        <c:tickLblPos val="nextTo"/>
        <c:spPr>
          <a:noFill/>
          <a:ln>
            <a:solidFill>
              <a:srgbClr val="E0E0E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80808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426440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CF7F9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4</xdr:col>
      <xdr:colOff>914400</xdr:colOff>
      <xdr:row>50</xdr:row>
      <xdr:rowOff>152400</xdr:rowOff>
    </xdr:to>
    <xdr:graphicFrame macro="">
      <xdr:nvGraphicFramePr>
        <xdr:cNvPr id="10" name="Fluxo_Acumulado">
          <a:extLst>
            <a:ext uri="{FF2B5EF4-FFF2-40B4-BE49-F238E27FC236}">
              <a16:creationId xmlns:a16="http://schemas.microsoft.com/office/drawing/2014/main" id="{2E31CFCC-882F-6EFC-C56D-BD964674F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9</xdr:col>
      <xdr:colOff>914400</xdr:colOff>
      <xdr:row>32</xdr:row>
      <xdr:rowOff>152400</xdr:rowOff>
    </xdr:to>
    <xdr:graphicFrame macro="">
      <xdr:nvGraphicFramePr>
        <xdr:cNvPr id="11" name="Resultado_Mensal">
          <a:extLst>
            <a:ext uri="{FF2B5EF4-FFF2-40B4-BE49-F238E27FC236}">
              <a16:creationId xmlns:a16="http://schemas.microsoft.com/office/drawing/2014/main" id="{C079EEAE-6073-AE89-6EF2-1C19DB10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4</xdr:col>
      <xdr:colOff>914400</xdr:colOff>
      <xdr:row>32</xdr:row>
      <xdr:rowOff>111760</xdr:rowOff>
    </xdr:to>
    <xdr:graphicFrame macro="">
      <xdr:nvGraphicFramePr>
        <xdr:cNvPr id="12" name="MRR_Pagantes">
          <a:extLst>
            <a:ext uri="{FF2B5EF4-FFF2-40B4-BE49-F238E27FC236}">
              <a16:creationId xmlns:a16="http://schemas.microsoft.com/office/drawing/2014/main" id="{6CF99E90-3521-D222-9953-0DC754B7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9</xdr:col>
      <xdr:colOff>914400</xdr:colOff>
      <xdr:row>50</xdr:row>
      <xdr:rowOff>152400</xdr:rowOff>
    </xdr:to>
    <xdr:graphicFrame macro="">
      <xdr:nvGraphicFramePr>
        <xdr:cNvPr id="3" name="Comparativo_3Cenarios">
          <a:extLst>
            <a:ext uri="{FF2B5EF4-FFF2-40B4-BE49-F238E27FC236}">
              <a16:creationId xmlns:a16="http://schemas.microsoft.com/office/drawing/2014/main" id="{4D6B0A64-F29C-5C80-89E0-D8E9CD5F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52</xdr:row>
      <xdr:rowOff>114300</xdr:rowOff>
    </xdr:from>
    <xdr:to>
      <xdr:col>6</xdr:col>
      <xdr:colOff>0</xdr:colOff>
      <xdr:row>73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4F5AD2-D5DA-E832-2624-2ED62A140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1003D9-DB17-1546-92D9-739A3603C4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0acab38-e546-49da-b3e4-e42911457f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D4E5E"/>
  </sheetPr>
  <dimension ref="A1:Z113"/>
  <sheetViews>
    <sheetView showGridLines="0" zoomScale="125" zoomScaleNormal="125" workbookViewId="0">
      <selection activeCell="A14" sqref="A14:B14"/>
    </sheetView>
  </sheetViews>
  <sheetFormatPr baseColWidth="10" defaultColWidth="8.6640625" defaultRowHeight="15" outlineLevelRow="1" x14ac:dyDescent="0.2"/>
  <cols>
    <col min="1" max="1" width="22" customWidth="1"/>
    <col min="2" max="2" width="14" bestFit="1" customWidth="1"/>
    <col min="3" max="3" width="18.1640625" customWidth="1"/>
    <col min="4" max="4" width="13.33203125" customWidth="1"/>
    <col min="5" max="5" width="19.83203125" customWidth="1"/>
    <col min="6" max="6" width="13.33203125" customWidth="1"/>
    <col min="7" max="7" width="17" customWidth="1"/>
    <col min="8" max="8" width="13.33203125" customWidth="1"/>
    <col min="9" max="9" width="20.33203125" customWidth="1"/>
    <col min="10" max="10" width="13.33203125" customWidth="1"/>
    <col min="11" max="11" width="3.33203125" customWidth="1"/>
  </cols>
  <sheetData>
    <row r="1" spans="1:26" ht="8" customHeight="1" x14ac:dyDescent="0.2">
      <c r="A1" s="11"/>
      <c r="B1" s="12"/>
      <c r="C1" s="12"/>
      <c r="D1" s="12"/>
      <c r="E1" s="12"/>
      <c r="F1" s="12"/>
      <c r="G1" s="12"/>
      <c r="H1" s="12"/>
      <c r="I1" s="12"/>
      <c r="J1" s="13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5" customHeight="1" x14ac:dyDescent="0.35">
      <c r="A2" s="340" t="s">
        <v>104</v>
      </c>
      <c r="B2" s="341"/>
      <c r="C2" s="344" t="s">
        <v>200</v>
      </c>
      <c r="D2" s="344"/>
      <c r="E2" s="344"/>
      <c r="F2" s="14"/>
      <c r="G2" s="14"/>
      <c r="H2" s="14"/>
      <c r="I2" s="14"/>
      <c r="J2" s="16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 x14ac:dyDescent="0.2">
      <c r="A3" s="342" t="s">
        <v>201</v>
      </c>
      <c r="B3" s="343"/>
      <c r="C3" s="343"/>
      <c r="D3" s="343"/>
      <c r="E3" s="343"/>
      <c r="F3" s="343"/>
      <c r="G3" s="343"/>
      <c r="H3" s="343"/>
      <c r="I3" s="14"/>
      <c r="J3" s="16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5" customHeight="1" thickBot="1" x14ac:dyDescent="0.25">
      <c r="A4" s="17"/>
      <c r="B4" s="18"/>
      <c r="C4" s="18"/>
      <c r="D4" s="18"/>
      <c r="E4" s="18"/>
      <c r="F4" s="18"/>
      <c r="G4" s="18"/>
      <c r="H4" s="18"/>
      <c r="I4" s="19"/>
      <c r="J4" s="20"/>
      <c r="K4" s="1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 thickBot="1" x14ac:dyDescent="0.25">
      <c r="A5" s="21" t="s">
        <v>202</v>
      </c>
      <c r="B5" s="22" t="str">
        <f>'🔧 Active Scenario'!B2</f>
        <v>Conservative</v>
      </c>
      <c r="C5" s="23" t="s">
        <v>203</v>
      </c>
      <c r="D5" s="24"/>
      <c r="E5" s="24"/>
      <c r="F5" s="24"/>
      <c r="G5" s="14"/>
      <c r="H5" s="14"/>
      <c r="I5" s="14"/>
      <c r="J5" s="16"/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 x14ac:dyDescent="0.2">
      <c r="A6" s="25"/>
      <c r="B6" s="14"/>
      <c r="C6" s="14"/>
      <c r="D6" s="14"/>
      <c r="E6" s="14"/>
      <c r="F6" s="14"/>
      <c r="G6" s="14"/>
      <c r="H6" s="14"/>
      <c r="I6" s="14"/>
      <c r="J6" s="16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4" customHeight="1" x14ac:dyDescent="0.2">
      <c r="A7" s="17"/>
      <c r="B7" s="18"/>
      <c r="C7" s="26"/>
      <c r="D7" s="27"/>
      <c r="E7" s="28"/>
      <c r="F7" s="29"/>
      <c r="G7" s="30"/>
      <c r="H7" s="18"/>
      <c r="I7" s="31"/>
      <c r="J7" s="20"/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 x14ac:dyDescent="0.2">
      <c r="A8" s="364" t="s">
        <v>105</v>
      </c>
      <c r="B8" s="359"/>
      <c r="C8" s="358" t="s">
        <v>204</v>
      </c>
      <c r="D8" s="359"/>
      <c r="E8" s="358" t="s">
        <v>205</v>
      </c>
      <c r="F8" s="359"/>
      <c r="G8" s="358" t="s">
        <v>206</v>
      </c>
      <c r="H8" s="359"/>
      <c r="I8" s="358" t="s">
        <v>207</v>
      </c>
      <c r="J8" s="360"/>
      <c r="K8" s="1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6" customHeight="1" x14ac:dyDescent="0.3">
      <c r="A9" s="365">
        <f>IF('🔧 Active Scenario'!B2="Conservative",'📊 Scenario Summary'!B21,IF('🔧 Active Scenario'!B2="Base",'📊 Scenario Summary'!C21,'📊 Scenario Summary'!D21))</f>
        <v>19914786.599999994</v>
      </c>
      <c r="B9" s="357"/>
      <c r="C9" s="353">
        <f>A9*'🎛️ Assumptions'!B59</f>
        <v>2987217.9899999988</v>
      </c>
      <c r="D9" s="357"/>
      <c r="E9" s="353">
        <f>IF('🔧 Active Scenario'!B2="Conservative",'📊 Scenario Summary'!B19,IF('🔧 Active Scenario'!B2="Base",'📊 Scenario Summary'!C19,'📊 Scenario Summary'!D19))</f>
        <v>6638262.1999999983</v>
      </c>
      <c r="F9" s="357"/>
      <c r="G9" s="355" t="str" cm="1">
        <f t="array" ref="G9">IFERROR("M"&amp;MATCH(TRUE,INDEX('📊 Monthly Base'!C25:Z25&gt;0,0),0),"&gt;24m")</f>
        <v>M5</v>
      </c>
      <c r="H9" s="356"/>
      <c r="I9" s="353">
        <f>'💰 Cash &amp; Runway'!Z10</f>
        <v>4275921.4978299998</v>
      </c>
      <c r="J9" s="354"/>
      <c r="K9" s="1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s="2" customFormat="1" ht="19" customHeight="1" x14ac:dyDescent="0.2">
      <c r="A10" s="363" t="str">
        <f>"cumul. rev. × "&amp;TEXT('🔧 Active Scenario'!B50,"0.0")&amp;"× (scenario multiple)"</f>
        <v>cumul. rev. × 03× (scenario multiple)</v>
      </c>
      <c r="B10" s="362"/>
      <c r="C10" s="361" t="str">
        <f>TEXT(C9/'🎛️ Assumptions'!B58,"0.0")&amp;"× over R$ "&amp;TEXT('🎛️ Assumptions'!B58/1000,"#,##0")&amp;"K investment · "&amp;TEXT('🎛️ Assumptions'!B59,"0%")&amp;" stake"</f>
        <v>03× over R$ 1000,0K investment · 15% stake</v>
      </c>
      <c r="D10" s="362"/>
      <c r="E10" s="361" t="s">
        <v>208</v>
      </c>
      <c r="F10" s="362"/>
      <c r="G10" s="361" t="s">
        <v>209</v>
      </c>
      <c r="H10" s="362"/>
      <c r="I10" s="361" t="str">
        <f>"cash never below R$ "&amp;TEXT(MIN('💰 Cash &amp; Runway'!C10:Z10)/1000,"#,##0")&amp;"K"</f>
        <v>cash never below R$ 942,427K</v>
      </c>
      <c r="J10" s="371"/>
      <c r="K10" s="14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9" customHeight="1" x14ac:dyDescent="0.2">
      <c r="A11" s="25"/>
      <c r="B11" s="14"/>
      <c r="C11" s="14"/>
      <c r="D11" s="14"/>
      <c r="E11" s="14"/>
      <c r="F11" s="14"/>
      <c r="G11" s="14"/>
      <c r="H11" s="14"/>
      <c r="I11" s="14"/>
      <c r="J11" s="16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s="1" customFormat="1" ht="4" customHeight="1" x14ac:dyDescent="0.2">
      <c r="A12" s="33"/>
      <c r="B12" s="29"/>
      <c r="C12" s="30"/>
      <c r="D12" s="18"/>
      <c r="E12" s="31"/>
      <c r="F12" s="19"/>
      <c r="G12" s="26"/>
      <c r="H12" s="27"/>
      <c r="I12" s="28"/>
      <c r="J12" s="34"/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 x14ac:dyDescent="0.2">
      <c r="A13" s="364" t="s">
        <v>106</v>
      </c>
      <c r="B13" s="359"/>
      <c r="C13" s="358" t="s">
        <v>210</v>
      </c>
      <c r="D13" s="359"/>
      <c r="E13" s="358" t="s">
        <v>1</v>
      </c>
      <c r="F13" s="359"/>
      <c r="G13" s="358" t="s">
        <v>211</v>
      </c>
      <c r="H13" s="359"/>
      <c r="I13" s="358" t="s">
        <v>212</v>
      </c>
      <c r="J13" s="360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6" customHeight="1" x14ac:dyDescent="0.3">
      <c r="A14" s="365">
        <f>'📊 Monthly Base'!Z11*12</f>
        <v>5606367.5999999996</v>
      </c>
      <c r="B14" s="366"/>
      <c r="C14" s="367">
        <f>'📊 Monthly Base'!Z9</f>
        <v>8027</v>
      </c>
      <c r="D14" s="368"/>
      <c r="E14" s="369">
        <f>'🔧 Active Scenario'!B56</f>
        <v>6.886103125</v>
      </c>
      <c r="F14" s="370"/>
      <c r="G14" s="374">
        <f>'🔧 Active Scenario'!B57</f>
        <v>1.8152501891263793</v>
      </c>
      <c r="H14" s="375"/>
      <c r="I14" s="372">
        <f>'📊 Monthly Base'!Z26</f>
        <v>0.84939386848982212</v>
      </c>
      <c r="J14" s="373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 x14ac:dyDescent="0.2">
      <c r="A15" s="363" t="str">
        <f>"ARR of R$ "&amp;TEXT('📊 Monthly Base'!Z11*12/1000000,"0.0")&amp;"M at end of Year 2"</f>
        <v>ARR of R$ 06M at end of Year 2</v>
      </c>
      <c r="B15" s="362"/>
      <c r="C15" s="361" t="str">
        <f>"from "&amp;TEXT(('🔧 Active Scenario'!B30+'🔧 Active Scenario'!B31)*12,"#,##0")&amp;" cumul. sign-ups · 30d trial"</f>
        <v>from 78000,0 cumul. sign-ups · 30d trial</v>
      </c>
      <c r="D15" s="362"/>
      <c r="E15" s="361" t="str">
        <f>"CAC R$ "&amp;TEXT('🔧 Active Scenario'!B47,"0")&amp;" · LTV R$ "&amp;TEXT('🔧 Active Scenario'!B55,"0")&amp;" (Essencial)"</f>
        <v>CAC R$ 80 · LTV R$ 551 (Essencial)</v>
      </c>
      <c r="F15" s="362"/>
      <c r="G15" s="361" t="str">
        <f>"≈ "&amp;TEXT('🔧 Active Scenario'!B57*30,"0")&amp;" days to recover CAC"</f>
        <v>≈ 54 days to recover CAC</v>
      </c>
      <c r="H15" s="362"/>
      <c r="I15" s="361" t="s">
        <v>213</v>
      </c>
      <c r="J15" s="371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 x14ac:dyDescent="0.2">
      <c r="A16" s="345" t="s">
        <v>214</v>
      </c>
      <c r="B16" s="346"/>
      <c r="C16" s="346"/>
      <c r="D16" s="346"/>
      <c r="E16" s="346"/>
      <c r="F16" s="349" t="str">
        <f>"Active scenario: "&amp;'🔧 Active Scenario'!B2</f>
        <v>Active scenario: Conservative</v>
      </c>
      <c r="G16" s="349"/>
      <c r="H16" s="349"/>
      <c r="I16" s="349"/>
      <c r="J16" s="350"/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 x14ac:dyDescent="0.2">
      <c r="A17" s="347"/>
      <c r="B17" s="348"/>
      <c r="C17" s="348"/>
      <c r="D17" s="348"/>
      <c r="E17" s="348"/>
      <c r="F17" s="351"/>
      <c r="G17" s="351"/>
      <c r="H17" s="351"/>
      <c r="I17" s="351"/>
      <c r="J17" s="352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" customHeight="1" x14ac:dyDescent="0.2">
      <c r="A18" s="33"/>
      <c r="B18" s="29"/>
      <c r="C18" s="29"/>
      <c r="D18" s="14"/>
      <c r="E18" s="14"/>
      <c r="F18" s="14"/>
      <c r="G18" s="14"/>
      <c r="H18" s="14"/>
      <c r="I18" s="14"/>
      <c r="J18" s="16"/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 x14ac:dyDescent="0.2">
      <c r="A19" s="25"/>
      <c r="B19" s="14"/>
      <c r="C19" s="14"/>
      <c r="D19" s="14"/>
      <c r="E19" s="14"/>
      <c r="F19" s="14"/>
      <c r="G19" s="14"/>
      <c r="H19" s="14"/>
      <c r="I19" s="14"/>
      <c r="J19" s="16"/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 x14ac:dyDescent="0.2">
      <c r="A20" s="25"/>
      <c r="B20" s="14"/>
      <c r="C20" s="14"/>
      <c r="D20" s="14"/>
      <c r="E20" s="15"/>
      <c r="F20" s="14"/>
      <c r="G20" s="14"/>
      <c r="H20" s="14"/>
      <c r="I20" s="14"/>
      <c r="J20" s="16"/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 x14ac:dyDescent="0.2">
      <c r="A21" s="25"/>
      <c r="B21" s="14"/>
      <c r="C21" s="14"/>
      <c r="D21" s="14"/>
      <c r="E21" s="14"/>
      <c r="F21" s="14"/>
      <c r="G21" s="14"/>
      <c r="H21" s="14"/>
      <c r="I21" s="14"/>
      <c r="J21" s="16"/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 x14ac:dyDescent="0.2">
      <c r="A22" s="25"/>
      <c r="B22" s="14"/>
      <c r="C22" s="14"/>
      <c r="D22" s="14"/>
      <c r="E22" s="14"/>
      <c r="F22" s="14"/>
      <c r="G22" s="14"/>
      <c r="H22" s="14"/>
      <c r="I22" s="14"/>
      <c r="J22" s="16"/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 x14ac:dyDescent="0.2">
      <c r="A23" s="25"/>
      <c r="B23" s="14"/>
      <c r="C23" s="14"/>
      <c r="D23" s="14"/>
      <c r="E23" s="14"/>
      <c r="F23" s="14"/>
      <c r="G23" s="14"/>
      <c r="H23" s="14"/>
      <c r="I23" s="14"/>
      <c r="J23" s="16"/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 x14ac:dyDescent="0.2">
      <c r="A24" s="25"/>
      <c r="B24" s="14"/>
      <c r="C24" s="14"/>
      <c r="D24" s="14"/>
      <c r="E24" s="14"/>
      <c r="F24" s="14"/>
      <c r="G24" s="14"/>
      <c r="H24" s="14"/>
      <c r="I24" s="14"/>
      <c r="J24" s="16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 x14ac:dyDescent="0.2">
      <c r="A25" s="25"/>
      <c r="B25" s="14"/>
      <c r="C25" s="14"/>
      <c r="D25" s="14"/>
      <c r="E25" s="14"/>
      <c r="F25" s="14"/>
      <c r="G25" s="14"/>
      <c r="H25" s="14"/>
      <c r="I25" s="14"/>
      <c r="J25" s="16"/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 x14ac:dyDescent="0.2">
      <c r="A26" s="25"/>
      <c r="B26" s="14"/>
      <c r="C26" s="14"/>
      <c r="D26" s="14"/>
      <c r="E26" s="14"/>
      <c r="F26" s="14"/>
      <c r="G26" s="14"/>
      <c r="H26" s="14"/>
      <c r="I26" s="14"/>
      <c r="J26" s="16"/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 x14ac:dyDescent="0.2">
      <c r="A27" s="25"/>
      <c r="B27" s="14"/>
      <c r="C27" s="14"/>
      <c r="D27" s="14"/>
      <c r="E27" s="14"/>
      <c r="F27" s="14"/>
      <c r="G27" s="14"/>
      <c r="H27" s="14"/>
      <c r="I27" s="14"/>
      <c r="J27" s="16"/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 x14ac:dyDescent="0.2">
      <c r="A28" s="25"/>
      <c r="B28" s="14"/>
      <c r="C28" s="14"/>
      <c r="D28" s="14"/>
      <c r="E28" s="14"/>
      <c r="F28" s="14"/>
      <c r="G28" s="14"/>
      <c r="H28" s="14"/>
      <c r="I28" s="14"/>
      <c r="J28" s="16"/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 x14ac:dyDescent="0.2">
      <c r="A29" s="25"/>
      <c r="B29" s="14"/>
      <c r="C29" s="14"/>
      <c r="D29" s="14"/>
      <c r="E29" s="14"/>
      <c r="F29" s="14"/>
      <c r="G29" s="14"/>
      <c r="H29" s="14"/>
      <c r="I29" s="14"/>
      <c r="J29" s="16"/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 x14ac:dyDescent="0.2">
      <c r="A30" s="25" t="s">
        <v>215</v>
      </c>
      <c r="B30" s="14"/>
      <c r="C30" s="14"/>
      <c r="D30" s="14"/>
      <c r="E30" s="14"/>
      <c r="F30" s="14"/>
      <c r="G30" s="14"/>
      <c r="H30" s="14"/>
      <c r="I30" s="14"/>
      <c r="J30" s="16"/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 x14ac:dyDescent="0.2">
      <c r="A31" s="25"/>
      <c r="B31" s="14"/>
      <c r="C31" s="14"/>
      <c r="D31" s="14"/>
      <c r="E31" s="14"/>
      <c r="F31" s="14"/>
      <c r="G31" s="14"/>
      <c r="H31" s="14"/>
      <c r="I31" s="14"/>
      <c r="J31" s="16"/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 x14ac:dyDescent="0.2">
      <c r="A32" s="25"/>
      <c r="B32" s="14"/>
      <c r="C32" s="14"/>
      <c r="D32" s="14"/>
      <c r="E32" s="14"/>
      <c r="F32" s="14"/>
      <c r="G32" s="14"/>
      <c r="H32" s="14"/>
      <c r="I32" s="14"/>
      <c r="J32" s="16"/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 x14ac:dyDescent="0.2">
      <c r="A33" s="25"/>
      <c r="B33" s="14"/>
      <c r="C33" s="14"/>
      <c r="D33" s="14"/>
      <c r="E33" s="14"/>
      <c r="F33" s="14"/>
      <c r="G33" s="14"/>
      <c r="H33" s="14"/>
      <c r="I33" s="14"/>
      <c r="J33" s="16"/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 x14ac:dyDescent="0.2">
      <c r="A34" s="25"/>
      <c r="B34" s="14"/>
      <c r="C34" s="14"/>
      <c r="D34" s="14"/>
      <c r="E34" s="14"/>
      <c r="F34" s="14"/>
      <c r="G34" s="14"/>
      <c r="H34" s="14"/>
      <c r="I34" s="14"/>
      <c r="J34" s="16"/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 x14ac:dyDescent="0.2">
      <c r="A35" s="376" t="s">
        <v>107</v>
      </c>
      <c r="B35" s="377"/>
      <c r="C35" s="377"/>
      <c r="D35" s="377"/>
      <c r="E35" s="377"/>
      <c r="F35" s="377"/>
      <c r="G35" s="377"/>
      <c r="H35" s="377"/>
      <c r="I35" s="377"/>
      <c r="J35" s="378"/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3" customHeight="1" x14ac:dyDescent="0.2">
      <c r="A36" s="33"/>
      <c r="B36" s="29"/>
      <c r="C36" s="29"/>
      <c r="D36" s="14"/>
      <c r="E36" s="14"/>
      <c r="F36" s="14"/>
      <c r="G36" s="14"/>
      <c r="H36" s="14"/>
      <c r="I36" s="14"/>
      <c r="J36" s="16"/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 x14ac:dyDescent="0.2">
      <c r="A37" s="25"/>
      <c r="B37" s="14"/>
      <c r="C37" s="14"/>
      <c r="D37" s="14"/>
      <c r="E37" s="14"/>
      <c r="F37" s="14"/>
      <c r="G37" s="14"/>
      <c r="H37" s="14"/>
      <c r="I37" s="14"/>
      <c r="J37" s="16"/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 x14ac:dyDescent="0.2">
      <c r="A38" s="25"/>
      <c r="B38" s="14"/>
      <c r="C38" s="14"/>
      <c r="D38" s="14"/>
      <c r="E38" s="14"/>
      <c r="F38" s="14"/>
      <c r="G38" s="14"/>
      <c r="H38" s="14"/>
      <c r="I38" s="14"/>
      <c r="J38" s="16"/>
      <c r="K38" s="1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" customHeight="1" x14ac:dyDescent="0.2">
      <c r="A39" s="25"/>
      <c r="B39" s="14"/>
      <c r="C39" s="14"/>
      <c r="D39" s="14"/>
      <c r="E39" s="14"/>
      <c r="F39" s="14"/>
      <c r="G39" s="14"/>
      <c r="H39" s="14"/>
      <c r="I39" s="14"/>
      <c r="J39" s="16"/>
      <c r="K39" s="1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 x14ac:dyDescent="0.2">
      <c r="A40" s="25"/>
      <c r="B40" s="14"/>
      <c r="C40" s="14"/>
      <c r="D40" s="14"/>
      <c r="E40" s="14"/>
      <c r="F40" s="14"/>
      <c r="G40" s="14"/>
      <c r="H40" s="14"/>
      <c r="I40" s="14"/>
      <c r="J40" s="16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 x14ac:dyDescent="0.2">
      <c r="A41" s="25"/>
      <c r="B41" s="14"/>
      <c r="C41" s="14"/>
      <c r="D41" s="14"/>
      <c r="E41" s="14"/>
      <c r="F41" s="14"/>
      <c r="G41" s="14"/>
      <c r="H41" s="14"/>
      <c r="I41" s="14"/>
      <c r="J41" s="16"/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 x14ac:dyDescent="0.2">
      <c r="A42" s="25"/>
      <c r="B42" s="14"/>
      <c r="C42" s="14"/>
      <c r="D42" s="14"/>
      <c r="E42" s="14"/>
      <c r="F42" s="14"/>
      <c r="G42" s="14"/>
      <c r="H42" s="14"/>
      <c r="I42" s="14"/>
      <c r="J42" s="16"/>
      <c r="K42" s="1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 x14ac:dyDescent="0.2">
      <c r="A43" s="25"/>
      <c r="B43" s="14"/>
      <c r="C43" s="14"/>
      <c r="D43" s="14"/>
      <c r="E43" s="14"/>
      <c r="F43" s="14"/>
      <c r="G43" s="14"/>
      <c r="H43" s="14"/>
      <c r="I43" s="14"/>
      <c r="J43" s="16"/>
      <c r="K43" s="1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 x14ac:dyDescent="0.2">
      <c r="A44" s="25"/>
      <c r="B44" s="14"/>
      <c r="C44" s="14"/>
      <c r="D44" s="14"/>
      <c r="E44" s="14"/>
      <c r="F44" s="14"/>
      <c r="G44" s="14"/>
      <c r="H44" s="14"/>
      <c r="I44" s="14"/>
      <c r="J44" s="16"/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9" customHeight="1" x14ac:dyDescent="0.2">
      <c r="A45" s="25"/>
      <c r="B45" s="14"/>
      <c r="C45" s="14"/>
      <c r="D45" s="14"/>
      <c r="E45" s="14"/>
      <c r="F45" s="14"/>
      <c r="G45" s="14"/>
      <c r="H45" s="14"/>
      <c r="I45" s="14"/>
      <c r="J45" s="16"/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9" customHeight="1" x14ac:dyDescent="0.2">
      <c r="A46" s="25"/>
      <c r="B46" s="14"/>
      <c r="C46" s="14"/>
      <c r="D46" s="14"/>
      <c r="E46" s="14"/>
      <c r="F46" s="14"/>
      <c r="G46" s="14"/>
      <c r="H46" s="14"/>
      <c r="I46" s="14"/>
      <c r="J46" s="16"/>
      <c r="K46" s="1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 x14ac:dyDescent="0.2">
      <c r="A47" s="25"/>
      <c r="B47" s="14"/>
      <c r="C47" s="14"/>
      <c r="D47" s="14"/>
      <c r="E47" s="14"/>
      <c r="F47" s="14"/>
      <c r="G47" s="14"/>
      <c r="H47" s="14"/>
      <c r="I47" s="14"/>
      <c r="J47" s="16"/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9" customHeight="1" x14ac:dyDescent="0.2">
      <c r="A48" s="25"/>
      <c r="B48" s="14"/>
      <c r="C48" s="14"/>
      <c r="D48" s="14"/>
      <c r="E48" s="14"/>
      <c r="F48" s="14"/>
      <c r="G48" s="14"/>
      <c r="H48" s="14"/>
      <c r="I48" s="14"/>
      <c r="J48" s="16"/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9" customHeight="1" x14ac:dyDescent="0.2">
      <c r="A49" s="25"/>
      <c r="B49" s="14"/>
      <c r="C49" s="14"/>
      <c r="D49" s="14"/>
      <c r="E49" s="14"/>
      <c r="F49" s="14"/>
      <c r="G49" s="14"/>
      <c r="H49" s="14"/>
      <c r="I49" s="14"/>
      <c r="J49" s="16"/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s="3" customFormat="1" ht="19" customHeight="1" x14ac:dyDescent="0.2">
      <c r="A50" s="25"/>
      <c r="B50" s="14"/>
      <c r="C50" s="14"/>
      <c r="D50" s="14"/>
      <c r="E50" s="14"/>
      <c r="F50" s="14"/>
      <c r="G50" s="14"/>
      <c r="H50" s="14"/>
      <c r="I50" s="14"/>
      <c r="J50" s="16"/>
      <c r="K50" s="14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9" customHeight="1" x14ac:dyDescent="0.2">
      <c r="A51" s="25"/>
      <c r="B51" s="14"/>
      <c r="C51" s="14"/>
      <c r="D51" s="14"/>
      <c r="E51" s="14"/>
      <c r="F51" s="14"/>
      <c r="G51" s="14"/>
      <c r="H51" s="14"/>
      <c r="I51" s="14"/>
      <c r="J51" s="16"/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9" customHeight="1" x14ac:dyDescent="0.2">
      <c r="A52" s="25"/>
      <c r="B52" s="14"/>
      <c r="C52" s="14"/>
      <c r="D52" s="14"/>
      <c r="E52" s="14"/>
      <c r="F52" s="14"/>
      <c r="G52" s="14"/>
      <c r="H52" s="14"/>
      <c r="I52" s="14"/>
      <c r="J52" s="16"/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9" customHeight="1" x14ac:dyDescent="0.2">
      <c r="A53" s="382" t="s">
        <v>108</v>
      </c>
      <c r="B53" s="383"/>
      <c r="C53" s="383"/>
      <c r="D53" s="383"/>
      <c r="E53" s="383"/>
      <c r="F53" s="383"/>
      <c r="G53" s="383"/>
      <c r="H53" s="383"/>
      <c r="I53" s="383"/>
      <c r="J53" s="384"/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9" customHeight="1" x14ac:dyDescent="0.2">
      <c r="A54" s="379" t="s">
        <v>109</v>
      </c>
      <c r="B54" s="380"/>
      <c r="C54" s="380"/>
      <c r="D54" s="380"/>
      <c r="E54" s="380"/>
      <c r="F54" s="380"/>
      <c r="G54" s="380"/>
      <c r="H54" s="380"/>
      <c r="I54" s="380"/>
      <c r="J54" s="381"/>
      <c r="K54" s="1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9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9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9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9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9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9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9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9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9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9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9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9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9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9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9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9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0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0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0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0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0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0" customHeight="1" outlineLevel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 t="s">
        <v>216</v>
      </c>
      <c r="M76" s="15" t="s">
        <v>47</v>
      </c>
      <c r="N76" s="15" t="s">
        <v>217</v>
      </c>
      <c r="O76" s="15" t="s">
        <v>48</v>
      </c>
      <c r="P76" s="15" t="s">
        <v>218</v>
      </c>
      <c r="Q76" s="15" t="s">
        <v>219</v>
      </c>
      <c r="R76" s="15" t="s">
        <v>49</v>
      </c>
      <c r="S76" s="15" t="s">
        <v>50</v>
      </c>
      <c r="T76" s="15" t="s">
        <v>51</v>
      </c>
      <c r="U76" s="15" t="s">
        <v>220</v>
      </c>
      <c r="V76" s="15" t="s">
        <v>221</v>
      </c>
      <c r="W76" s="15" t="s">
        <v>222</v>
      </c>
      <c r="X76" s="15"/>
      <c r="Y76" s="15"/>
      <c r="Z76" s="15"/>
    </row>
    <row r="77" spans="1:26" ht="20" customHeight="1" outlineLevel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 t="s">
        <v>19</v>
      </c>
      <c r="M77" s="15">
        <f>'📊 Monthly Base'!C11</f>
        <v>21562</v>
      </c>
      <c r="N77" s="36">
        <f>'📊 Monthly Base'!C9</f>
        <v>380</v>
      </c>
      <c r="O77" s="36">
        <f>'📊 Monthly Base'!C5</f>
        <v>2000</v>
      </c>
      <c r="P77" s="15">
        <f>'📊 Monthly Base'!C24</f>
        <v>-39903.990699999995</v>
      </c>
      <c r="Q77" s="15">
        <f>'📊 Monthly Base'!C25</f>
        <v>-39903.990699999995</v>
      </c>
      <c r="R77" s="36">
        <f>'📊 Monthly Base'!C6</f>
        <v>200</v>
      </c>
      <c r="S77" s="36">
        <f>'📊 Monthly Base'!C7</f>
        <v>140</v>
      </c>
      <c r="T77" s="36">
        <f>'📊 Monthly Base'!C8</f>
        <v>40</v>
      </c>
      <c r="U77" s="15">
        <f>'📊 Monthly Base'!C18</f>
        <v>3662.9307000000003</v>
      </c>
      <c r="V77" s="15">
        <f>'📊 Monthly Base'!C20</f>
        <v>55000</v>
      </c>
      <c r="W77" s="15">
        <f>'📊 Monthly Base'!C26</f>
        <v>0.83012101382061032</v>
      </c>
      <c r="X77" s="15"/>
      <c r="Y77" s="15"/>
      <c r="Z77" s="15"/>
    </row>
    <row r="78" spans="1:26" ht="20" customHeight="1" outlineLevel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 t="s">
        <v>20</v>
      </c>
      <c r="M78" s="15">
        <f>'📊 Monthly Base'!D11</f>
        <v>52607.4</v>
      </c>
      <c r="N78" s="36">
        <f>'📊 Monthly Base'!D9</f>
        <v>926</v>
      </c>
      <c r="O78" s="36">
        <f>'📊 Monthly Base'!D5</f>
        <v>3000</v>
      </c>
      <c r="P78" s="15">
        <f>'📊 Monthly Base'!D24</f>
        <v>-17668.580590000005</v>
      </c>
      <c r="Q78" s="15">
        <f>'📊 Monthly Base'!D25</f>
        <v>-57572.57129</v>
      </c>
      <c r="R78" s="36">
        <f>'📊 Monthly Base'!D6</f>
        <v>484</v>
      </c>
      <c r="S78" s="36">
        <f>'📊 Monthly Base'!D7</f>
        <v>343</v>
      </c>
      <c r="T78" s="36">
        <f>'📊 Monthly Base'!D8</f>
        <v>99</v>
      </c>
      <c r="U78" s="15">
        <f>'📊 Monthly Base'!D18</f>
        <v>8437.0185900000015</v>
      </c>
      <c r="V78" s="15">
        <f>'📊 Monthly Base'!D20</f>
        <v>55000</v>
      </c>
      <c r="W78" s="15">
        <f>'📊 Monthly Base'!D26</f>
        <v>0.83962296958222604</v>
      </c>
      <c r="X78" s="15"/>
      <c r="Y78" s="15"/>
      <c r="Z78" s="15"/>
    </row>
    <row r="79" spans="1:26" ht="20" customHeight="1" outlineLevel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 t="s">
        <v>21</v>
      </c>
      <c r="M79" s="15">
        <f>'📊 Monthly Base'!E11</f>
        <v>81746.299999999988</v>
      </c>
      <c r="N79" s="36">
        <f>'📊 Monthly Base'!E9</f>
        <v>1437</v>
      </c>
      <c r="O79" s="36">
        <f>'📊 Monthly Base'!E5</f>
        <v>3000</v>
      </c>
      <c r="P79" s="15">
        <f>'📊 Monthly Base'!E24</f>
        <v>3441.7705699999933</v>
      </c>
      <c r="Q79" s="15">
        <f>'📊 Monthly Base'!E25</f>
        <v>-54130.800720000007</v>
      </c>
      <c r="R79" s="36">
        <f>'📊 Monthly Base'!E6</f>
        <v>745</v>
      </c>
      <c r="S79" s="36">
        <f>'📊 Monthly Base'!E7</f>
        <v>536</v>
      </c>
      <c r="T79" s="36">
        <f>'📊 Monthly Base'!E8</f>
        <v>156</v>
      </c>
      <c r="U79" s="15">
        <f>'📊 Monthly Base'!E18</f>
        <v>12677.510430000002</v>
      </c>
      <c r="V79" s="15">
        <f>'📊 Monthly Base'!E20</f>
        <v>55000</v>
      </c>
      <c r="W79" s="15">
        <f>'📊 Monthly Base'!E26</f>
        <v>0.84491640074229657</v>
      </c>
      <c r="X79" s="15"/>
      <c r="Y79" s="15"/>
      <c r="Z79" s="15"/>
    </row>
    <row r="80" spans="1:26" ht="20" customHeight="1" outlineLevel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 t="s">
        <v>22</v>
      </c>
      <c r="M80" s="15">
        <f>'📊 Monthly Base'!F11</f>
        <v>109078.5</v>
      </c>
      <c r="N80" s="36">
        <f>'📊 Monthly Base'!F9</f>
        <v>1915</v>
      </c>
      <c r="O80" s="36">
        <f>'📊 Monthly Base'!F5</f>
        <v>3000</v>
      </c>
      <c r="P80" s="15">
        <f>'📊 Monthly Base'!F24</f>
        <v>23230.937149999998</v>
      </c>
      <c r="Q80" s="15">
        <f>'📊 Monthly Base'!F25</f>
        <v>-30899.863570000009</v>
      </c>
      <c r="R80" s="36">
        <f>'📊 Monthly Base'!F6</f>
        <v>985</v>
      </c>
      <c r="S80" s="36">
        <f>'📊 Monthly Base'!F7</f>
        <v>719</v>
      </c>
      <c r="T80" s="36">
        <f>'📊 Monthly Base'!F8</f>
        <v>211</v>
      </c>
      <c r="U80" s="15">
        <f>'📊 Monthly Base'!F18</f>
        <v>16667.35785</v>
      </c>
      <c r="V80" s="15">
        <f>'📊 Monthly Base'!F20</f>
        <v>55000</v>
      </c>
      <c r="W80" s="15">
        <f>'📊 Monthly Base'!F26</f>
        <v>0.84719850520496709</v>
      </c>
      <c r="X80" s="15"/>
      <c r="Y80" s="15"/>
      <c r="Z80" s="15"/>
    </row>
    <row r="81" spans="1:26" ht="20" customHeight="1" outlineLevel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 t="s">
        <v>23</v>
      </c>
      <c r="M81" s="15">
        <f>'📊 Monthly Base'!G11</f>
        <v>134843.6</v>
      </c>
      <c r="N81" s="36">
        <f>'📊 Monthly Base'!G9</f>
        <v>2364</v>
      </c>
      <c r="O81" s="36">
        <f>'📊 Monthly Base'!G5</f>
        <v>3000</v>
      </c>
      <c r="P81" s="15">
        <f>'📊 Monthly Base'!G24</f>
        <v>41872.273489999992</v>
      </c>
      <c r="Q81" s="15">
        <f>'📊 Monthly Base'!G25</f>
        <v>10972.409919999984</v>
      </c>
      <c r="R81" s="36">
        <f>'📊 Monthly Base'!G6</f>
        <v>1206</v>
      </c>
      <c r="S81" s="36">
        <f>'📊 Monthly Base'!G7</f>
        <v>893</v>
      </c>
      <c r="T81" s="36">
        <f>'📊 Monthly Base'!G8</f>
        <v>265</v>
      </c>
      <c r="U81" s="15">
        <f>'📊 Monthly Base'!G18</f>
        <v>20441.658510000005</v>
      </c>
      <c r="V81" s="15">
        <f>'📊 Monthly Base'!G20</f>
        <v>55000</v>
      </c>
      <c r="W81" s="15">
        <f>'📊 Monthly Base'!G26</f>
        <v>0.84840468134935576</v>
      </c>
      <c r="X81" s="15"/>
      <c r="Y81" s="15"/>
      <c r="Z81" s="15"/>
    </row>
    <row r="82" spans="1:26" ht="20" customHeight="1" outlineLevel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 t="s">
        <v>52</v>
      </c>
      <c r="M82" s="15">
        <f>'📊 Monthly Base'!H11</f>
        <v>159061.5</v>
      </c>
      <c r="N82" s="36">
        <f>'📊 Monthly Base'!H9</f>
        <v>2785</v>
      </c>
      <c r="O82" s="36">
        <f>'📊 Monthly Base'!H5</f>
        <v>3000</v>
      </c>
      <c r="P82" s="15">
        <f>'📊 Monthly Base'!H24</f>
        <v>59384.704850000009</v>
      </c>
      <c r="Q82" s="15">
        <f>'📊 Monthly Base'!H25</f>
        <v>70357.114769999986</v>
      </c>
      <c r="R82" s="36">
        <f>'📊 Monthly Base'!H6</f>
        <v>1410</v>
      </c>
      <c r="S82" s="36">
        <f>'📊 Monthly Base'!H7</f>
        <v>1058</v>
      </c>
      <c r="T82" s="36">
        <f>'📊 Monthly Base'!H8</f>
        <v>317</v>
      </c>
      <c r="U82" s="15">
        <f>'📊 Monthly Base'!H18</f>
        <v>23998.800150000003</v>
      </c>
      <c r="V82" s="15">
        <f>'📊 Monthly Base'!H20</f>
        <v>55000</v>
      </c>
      <c r="W82" s="15">
        <f>'📊 Monthly Base'!H26</f>
        <v>0.84912250827510116</v>
      </c>
      <c r="X82" s="15"/>
      <c r="Y82" s="15"/>
      <c r="Z82" s="15"/>
    </row>
    <row r="83" spans="1:26" ht="20" customHeight="1" outlineLevel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 t="s">
        <v>24</v>
      </c>
      <c r="M83" s="15">
        <f>'📊 Monthly Base'!I11</f>
        <v>181792.09999999998</v>
      </c>
      <c r="N83" s="36">
        <f>'📊 Monthly Base'!I9</f>
        <v>3179</v>
      </c>
      <c r="O83" s="36">
        <f>'📊 Monthly Base'!I5</f>
        <v>3000</v>
      </c>
      <c r="P83" s="15">
        <f>'📊 Monthly Base'!I24</f>
        <v>75810.174589999981</v>
      </c>
      <c r="Q83" s="15">
        <f>'📊 Monthly Base'!I25</f>
        <v>146167.28935999997</v>
      </c>
      <c r="R83" s="36">
        <f>'📊 Monthly Base'!I6</f>
        <v>1597</v>
      </c>
      <c r="S83" s="36">
        <f>'📊 Monthly Base'!I7</f>
        <v>1215</v>
      </c>
      <c r="T83" s="36">
        <f>'📊 Monthly Base'!I8</f>
        <v>367</v>
      </c>
      <c r="U83" s="15">
        <f>'📊 Monthly Base'!I18</f>
        <v>27348.952410000005</v>
      </c>
      <c r="V83" s="15">
        <f>'📊 Monthly Base'!I20</f>
        <v>55000</v>
      </c>
      <c r="W83" s="15">
        <f>'📊 Monthly Base'!I26</f>
        <v>0.84955918100951577</v>
      </c>
      <c r="X83" s="15"/>
      <c r="Y83" s="15"/>
      <c r="Z83" s="15"/>
    </row>
    <row r="84" spans="1:26" ht="20" customHeight="1" outlineLevel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 t="s">
        <v>25</v>
      </c>
      <c r="M84" s="15">
        <f>'📊 Monthly Base'!J11</f>
        <v>203215.09999999998</v>
      </c>
      <c r="N84" s="36">
        <f>'📊 Monthly Base'!J9</f>
        <v>3549</v>
      </c>
      <c r="O84" s="36">
        <f>'📊 Monthly Base'!J5</f>
        <v>3000</v>
      </c>
      <c r="P84" s="15">
        <f>'📊 Monthly Base'!J24</f>
        <v>91280.09368999998</v>
      </c>
      <c r="Q84" s="15">
        <f>'📊 Monthly Base'!J25</f>
        <v>237447.38304999995</v>
      </c>
      <c r="R84" s="36">
        <f>'📊 Monthly Base'!J6</f>
        <v>1769</v>
      </c>
      <c r="S84" s="36">
        <f>'📊 Monthly Base'!J7</f>
        <v>1364</v>
      </c>
      <c r="T84" s="36">
        <f>'📊 Monthly Base'!J8</f>
        <v>416</v>
      </c>
      <c r="U84" s="15">
        <f>'📊 Monthly Base'!J18</f>
        <v>30517.043310000005</v>
      </c>
      <c r="V84" s="15">
        <f>'📊 Monthly Base'!J20</f>
        <v>55000</v>
      </c>
      <c r="W84" s="15">
        <f>'📊 Monthly Base'!J26</f>
        <v>0.84982885961722332</v>
      </c>
      <c r="X84" s="15"/>
      <c r="Y84" s="15"/>
      <c r="Z84" s="15"/>
    </row>
    <row r="85" spans="1:26" ht="20" customHeight="1" outlineLevel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 t="s">
        <v>26</v>
      </c>
      <c r="M85" s="15">
        <f>'📊 Monthly Base'!K11</f>
        <v>223440.30000000002</v>
      </c>
      <c r="N85" s="36">
        <f>'📊 Monthly Base'!K9</f>
        <v>3897</v>
      </c>
      <c r="O85" s="36">
        <f>'📊 Monthly Base'!K5</f>
        <v>3000</v>
      </c>
      <c r="P85" s="15">
        <f>'📊 Monthly Base'!K24</f>
        <v>105873.98957000001</v>
      </c>
      <c r="Q85" s="15">
        <f>'📊 Monthly Base'!K25</f>
        <v>343321.37261999992</v>
      </c>
      <c r="R85" s="36">
        <f>'📊 Monthly Base'!K6</f>
        <v>1927</v>
      </c>
      <c r="S85" s="36">
        <f>'📊 Monthly Base'!K7</f>
        <v>1506</v>
      </c>
      <c r="T85" s="36">
        <f>'📊 Monthly Base'!K8</f>
        <v>464</v>
      </c>
      <c r="U85" s="15">
        <f>'📊 Monthly Base'!K18</f>
        <v>33519.071430000004</v>
      </c>
      <c r="V85" s="15">
        <f>'📊 Monthly Base'!K20</f>
        <v>55000</v>
      </c>
      <c r="W85" s="15">
        <f>'📊 Monthly Base'!K26</f>
        <v>0.84998645530819639</v>
      </c>
      <c r="X85" s="15"/>
      <c r="Y85" s="15"/>
      <c r="Z85" s="15"/>
    </row>
    <row r="86" spans="1:26" ht="20" customHeight="1" outlineLevel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 t="s">
        <v>27</v>
      </c>
      <c r="M86" s="15">
        <f>'📊 Monthly Base'!L11</f>
        <v>242487.59999999998</v>
      </c>
      <c r="N86" s="36">
        <f>'📊 Monthly Base'!L9</f>
        <v>4224</v>
      </c>
      <c r="O86" s="36">
        <f>'📊 Monthly Base'!L5</f>
        <v>3000</v>
      </c>
      <c r="P86" s="15">
        <f>'📊 Monthly Base'!L24</f>
        <v>119610.78748999996</v>
      </c>
      <c r="Q86" s="15">
        <f>'📊 Monthly Base'!L25</f>
        <v>462932.16010999988</v>
      </c>
      <c r="R86" s="36">
        <f>'📊 Monthly Base'!L6</f>
        <v>2073</v>
      </c>
      <c r="S86" s="36">
        <f>'📊 Monthly Base'!L7</f>
        <v>1641</v>
      </c>
      <c r="T86" s="36">
        <f>'📊 Monthly Base'!L8</f>
        <v>510</v>
      </c>
      <c r="U86" s="15">
        <f>'📊 Monthly Base'!L18</f>
        <v>36353.424510000004</v>
      </c>
      <c r="V86" s="15">
        <f>'📊 Monthly Base'!L20</f>
        <v>55000</v>
      </c>
      <c r="W86" s="15">
        <f>'📊 Monthly Base'!L26</f>
        <v>0.85008130514714975</v>
      </c>
      <c r="X86" s="15"/>
      <c r="Y86" s="15"/>
      <c r="Z86" s="15"/>
    </row>
    <row r="87" spans="1:26" ht="20" customHeight="1" outlineLevel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 t="s">
        <v>53</v>
      </c>
      <c r="M87" s="15">
        <f>'📊 Monthly Base'!M11</f>
        <v>260436.9</v>
      </c>
      <c r="N87" s="36">
        <f>'📊 Monthly Base'!M9</f>
        <v>4531</v>
      </c>
      <c r="O87" s="36">
        <f>'📊 Monthly Base'!M5</f>
        <v>3000</v>
      </c>
      <c r="P87" s="15">
        <f>'📊 Monthly Base'!M24</f>
        <v>132546.73030999998</v>
      </c>
      <c r="Q87" s="15">
        <f>'📊 Monthly Base'!M25</f>
        <v>595478.89041999984</v>
      </c>
      <c r="R87" s="36">
        <f>'📊 Monthly Base'!M6</f>
        <v>2207</v>
      </c>
      <c r="S87" s="36">
        <f>'📊 Monthly Base'!M7</f>
        <v>1769</v>
      </c>
      <c r="T87" s="36">
        <f>'📊 Monthly Base'!M8</f>
        <v>555</v>
      </c>
      <c r="U87" s="15">
        <f>'📊 Monthly Base'!M18</f>
        <v>39033.372690000004</v>
      </c>
      <c r="V87" s="15">
        <f>'📊 Monthly Base'!M20</f>
        <v>55000</v>
      </c>
      <c r="W87" s="15">
        <f>'📊 Monthly Base'!M26</f>
        <v>0.85012349367543538</v>
      </c>
      <c r="X87" s="15"/>
      <c r="Y87" s="15"/>
      <c r="Z87" s="15"/>
    </row>
    <row r="88" spans="1:26" ht="20" customHeight="1" outlineLevel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 t="s">
        <v>54</v>
      </c>
      <c r="M88" s="15">
        <f>'📊 Monthly Base'!N11</f>
        <v>277318.09999999998</v>
      </c>
      <c r="N88" s="36">
        <f>'📊 Monthly Base'!N9</f>
        <v>4819</v>
      </c>
      <c r="O88" s="36">
        <f>'📊 Monthly Base'!N5</f>
        <v>3000</v>
      </c>
      <c r="P88" s="15">
        <f>'📊 Monthly Base'!N24</f>
        <v>144705.10258999997</v>
      </c>
      <c r="Q88" s="15">
        <f>'📊 Monthly Base'!N25</f>
        <v>740183.99300999986</v>
      </c>
      <c r="R88" s="36">
        <f>'📊 Monthly Base'!N6</f>
        <v>2330</v>
      </c>
      <c r="S88" s="36">
        <f>'📊 Monthly Base'!N7</f>
        <v>1891</v>
      </c>
      <c r="T88" s="36">
        <f>'📊 Monthly Base'!N8</f>
        <v>598</v>
      </c>
      <c r="U88" s="15">
        <f>'📊 Monthly Base'!N18</f>
        <v>41561.644410000008</v>
      </c>
      <c r="V88" s="15">
        <f>'📊 Monthly Base'!N20</f>
        <v>55000</v>
      </c>
      <c r="W88" s="15">
        <f>'📊 Monthly Base'!N26</f>
        <v>0.85013006936799285</v>
      </c>
      <c r="X88" s="15"/>
      <c r="Y88" s="15"/>
      <c r="Z88" s="15"/>
    </row>
    <row r="89" spans="1:26" ht="20" customHeight="1" outlineLevel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 t="s">
        <v>29</v>
      </c>
      <c r="M89" s="15">
        <f>'📊 Monthly Base'!O11</f>
        <v>298641.5</v>
      </c>
      <c r="N89" s="36">
        <f>'📊 Monthly Base'!O9</f>
        <v>5185</v>
      </c>
      <c r="O89" s="36">
        <f>'📊 Monthly Base'!O5</f>
        <v>3500</v>
      </c>
      <c r="P89" s="15">
        <f>'📊 Monthly Base'!O24</f>
        <v>144949.37427500001</v>
      </c>
      <c r="Q89" s="15">
        <f>'📊 Monthly Base'!O25</f>
        <v>885133.36728499993</v>
      </c>
      <c r="R89" s="36">
        <f>'📊 Monthly Base'!O6</f>
        <v>2494</v>
      </c>
      <c r="S89" s="36">
        <f>'📊 Monthly Base'!O7</f>
        <v>2041</v>
      </c>
      <c r="T89" s="36">
        <f>'📊 Monthly Base'!O8</f>
        <v>650</v>
      </c>
      <c r="U89" s="15">
        <f>'📊 Monthly Base'!O18</f>
        <v>44868.730725000009</v>
      </c>
      <c r="V89" s="15">
        <f>'📊 Monthly Base'!O20</f>
        <v>70000</v>
      </c>
      <c r="W89" s="15">
        <f>'📊 Monthly Base'!O26</f>
        <v>0.84975721483785738</v>
      </c>
      <c r="X89" s="15"/>
      <c r="Y89" s="15"/>
      <c r="Z89" s="15"/>
    </row>
    <row r="90" spans="1:26" ht="20" customHeight="1" outlineLevel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 t="s">
        <v>30</v>
      </c>
      <c r="M90" s="15">
        <f>'📊 Monthly Base'!P11</f>
        <v>318767.10000000003</v>
      </c>
      <c r="N90" s="36">
        <f>'📊 Monthly Base'!P9</f>
        <v>5529</v>
      </c>
      <c r="O90" s="36">
        <f>'📊 Monthly Base'!P5</f>
        <v>3500</v>
      </c>
      <c r="P90" s="15">
        <f>'📊 Monthly Base'!P24</f>
        <v>159453.26961500003</v>
      </c>
      <c r="Q90" s="15">
        <f>'📊 Monthly Base'!P25</f>
        <v>1044586.6368999999</v>
      </c>
      <c r="R90" s="36">
        <f>'📊 Monthly Base'!P6</f>
        <v>2644</v>
      </c>
      <c r="S90" s="36">
        <f>'📊 Monthly Base'!P7</f>
        <v>2184</v>
      </c>
      <c r="T90" s="36">
        <f>'📊 Monthly Base'!P8</f>
        <v>701</v>
      </c>
      <c r="U90" s="15">
        <f>'📊 Monthly Base'!P18</f>
        <v>47874.107385000003</v>
      </c>
      <c r="V90" s="15">
        <f>'📊 Monthly Base'!P20</f>
        <v>70000</v>
      </c>
      <c r="W90" s="15">
        <f>'📊 Monthly Base'!P26</f>
        <v>0.84981477892480117</v>
      </c>
      <c r="X90" s="15"/>
      <c r="Y90" s="15"/>
      <c r="Z90" s="15"/>
    </row>
    <row r="91" spans="1:26" ht="20" customHeight="1" outlineLevel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 t="s">
        <v>31</v>
      </c>
      <c r="M91" s="15">
        <f>'📊 Monthly Base'!Q11</f>
        <v>337714.8</v>
      </c>
      <c r="N91" s="36">
        <f>'📊 Monthly Base'!Q9</f>
        <v>5852</v>
      </c>
      <c r="O91" s="36">
        <f>'📊 Monthly Base'!Q5</f>
        <v>3500</v>
      </c>
      <c r="P91" s="15">
        <f>'📊 Monthly Base'!Q24</f>
        <v>173100.06699499997</v>
      </c>
      <c r="Q91" s="15">
        <f>'📊 Monthly Base'!Q25</f>
        <v>1217686.7038949998</v>
      </c>
      <c r="R91" s="36">
        <f>'📊 Monthly Base'!Q6</f>
        <v>2782</v>
      </c>
      <c r="S91" s="36">
        <f>'📊 Monthly Base'!Q7</f>
        <v>2320</v>
      </c>
      <c r="T91" s="36">
        <f>'📊 Monthly Base'!Q8</f>
        <v>750</v>
      </c>
      <c r="U91" s="15">
        <f>'📊 Monthly Base'!Q18</f>
        <v>50711.80900500001</v>
      </c>
      <c r="V91" s="15">
        <f>'📊 Monthly Base'!Q20</f>
        <v>70000</v>
      </c>
      <c r="W91" s="15">
        <f>'📊 Monthly Base'!Q26</f>
        <v>0.84983835767635885</v>
      </c>
      <c r="X91" s="15"/>
      <c r="Y91" s="15"/>
      <c r="Z91" s="15"/>
    </row>
    <row r="92" spans="1:26" ht="20" customHeight="1" outlineLevel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 t="s">
        <v>32</v>
      </c>
      <c r="M92" s="15">
        <f>'📊 Monthly Base'!R11</f>
        <v>355614.4</v>
      </c>
      <c r="N92" s="36">
        <f>'📊 Monthly Base'!R9</f>
        <v>6156</v>
      </c>
      <c r="O92" s="36">
        <f>'📊 Monthly Base'!R5</f>
        <v>3500</v>
      </c>
      <c r="P92" s="15">
        <f>'📊 Monthly Base'!R24</f>
        <v>185983.59333500001</v>
      </c>
      <c r="Q92" s="15">
        <f>'📊 Monthly Base'!R25</f>
        <v>1403670.2972299999</v>
      </c>
      <c r="R92" s="36">
        <f>'📊 Monthly Base'!R6</f>
        <v>2909</v>
      </c>
      <c r="S92" s="36">
        <f>'📊 Monthly Base'!R7</f>
        <v>2449</v>
      </c>
      <c r="T92" s="36">
        <f>'📊 Monthly Base'!R8</f>
        <v>798</v>
      </c>
      <c r="U92" s="15">
        <f>'📊 Monthly Base'!R18</f>
        <v>53400.934665000001</v>
      </c>
      <c r="V92" s="15">
        <f>'📊 Monthly Base'!R20</f>
        <v>70000</v>
      </c>
      <c r="W92" s="15">
        <f>'📊 Monthly Base'!R26</f>
        <v>0.84983472360793044</v>
      </c>
      <c r="X92" s="15"/>
      <c r="Y92" s="15"/>
      <c r="Z92" s="15"/>
    </row>
    <row r="93" spans="1:26" ht="20" customHeight="1" outlineLevel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 t="s">
        <v>33</v>
      </c>
      <c r="M93" s="15">
        <f>'📊 Monthly Base'!S11</f>
        <v>372495.79999999993</v>
      </c>
      <c r="N93" s="36">
        <f>'📊 Monthly Base'!S9</f>
        <v>6442</v>
      </c>
      <c r="O93" s="36">
        <f>'📊 Monthly Base'!S5</f>
        <v>3500</v>
      </c>
      <c r="P93" s="15">
        <f>'📊 Monthly Base'!S24</f>
        <v>198127.13319499991</v>
      </c>
      <c r="Q93" s="15">
        <f>'📊 Monthly Base'!S25</f>
        <v>1601797.4304249999</v>
      </c>
      <c r="R93" s="36">
        <f>'📊 Monthly Base'!S6</f>
        <v>3026</v>
      </c>
      <c r="S93" s="36">
        <f>'📊 Monthly Base'!S7</f>
        <v>2572</v>
      </c>
      <c r="T93" s="36">
        <f>'📊 Monthly Base'!S8</f>
        <v>844</v>
      </c>
      <c r="U93" s="15">
        <f>'📊 Monthly Base'!S18</f>
        <v>55944.21280500001</v>
      </c>
      <c r="V93" s="15">
        <f>'📊 Monthly Base'!S20</f>
        <v>70000</v>
      </c>
      <c r="W93" s="15">
        <f>'📊 Monthly Base'!S26</f>
        <v>0.84981250042282352</v>
      </c>
      <c r="X93" s="15"/>
      <c r="Y93" s="15"/>
      <c r="Z93" s="15"/>
    </row>
    <row r="94" spans="1:26" ht="20" customHeight="1" outlineLevel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 t="s">
        <v>55</v>
      </c>
      <c r="M94" s="15">
        <f>'📊 Monthly Base'!T11</f>
        <v>388428.9</v>
      </c>
      <c r="N94" s="36">
        <f>'📊 Monthly Base'!T9</f>
        <v>6711</v>
      </c>
      <c r="O94" s="36">
        <f>'📊 Monthly Base'!T5</f>
        <v>3500</v>
      </c>
      <c r="P94" s="15">
        <f>'📊 Monthly Base'!T24</f>
        <v>209582.57013500002</v>
      </c>
      <c r="Q94" s="15">
        <f>'📊 Monthly Base'!T25</f>
        <v>1811380.0005599998</v>
      </c>
      <c r="R94" s="36">
        <f>'📊 Monthly Base'!T6</f>
        <v>3134</v>
      </c>
      <c r="S94" s="36">
        <f>'📊 Monthly Base'!T7</f>
        <v>2688</v>
      </c>
      <c r="T94" s="36">
        <f>'📊 Monthly Base'!T8</f>
        <v>889</v>
      </c>
      <c r="U94" s="15">
        <f>'📊 Monthly Base'!T18</f>
        <v>58350.572865000009</v>
      </c>
      <c r="V94" s="15">
        <f>'📊 Monthly Base'!T20</f>
        <v>70000</v>
      </c>
      <c r="W94" s="15">
        <f>'📊 Monthly Base'!T26</f>
        <v>0.84977798288180928</v>
      </c>
      <c r="X94" s="15"/>
      <c r="Y94" s="15"/>
      <c r="Z94" s="15"/>
    </row>
    <row r="95" spans="1:26" ht="20" customHeight="1" outlineLevel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 t="s">
        <v>34</v>
      </c>
      <c r="M95" s="15">
        <f>'📊 Monthly Base'!U11</f>
        <v>403453.6</v>
      </c>
      <c r="N95" s="36">
        <f>'📊 Monthly Base'!U9</f>
        <v>6964</v>
      </c>
      <c r="O95" s="36">
        <f>'📊 Monthly Base'!U5</f>
        <v>3500</v>
      </c>
      <c r="P95" s="15">
        <f>'📊 Monthly Base'!U24</f>
        <v>220377.54801499998</v>
      </c>
      <c r="Q95" s="15">
        <f>'📊 Monthly Base'!U25</f>
        <v>2031757.5485749999</v>
      </c>
      <c r="R95" s="36">
        <f>'📊 Monthly Base'!U6</f>
        <v>3233</v>
      </c>
      <c r="S95" s="36">
        <f>'📊 Monthly Base'!U7</f>
        <v>2799</v>
      </c>
      <c r="T95" s="36">
        <f>'📊 Monthly Base'!U8</f>
        <v>932</v>
      </c>
      <c r="U95" s="15">
        <f>'📊 Monthly Base'!U18</f>
        <v>60627.083985000005</v>
      </c>
      <c r="V95" s="15">
        <f>'📊 Monthly Base'!U20</f>
        <v>70000</v>
      </c>
      <c r="W95" s="15">
        <f>'📊 Monthly Base'!U26</f>
        <v>0.84972972360390386</v>
      </c>
      <c r="X95" s="15"/>
      <c r="Y95" s="15"/>
      <c r="Z95" s="15"/>
    </row>
    <row r="96" spans="1:26" ht="20" customHeight="1" outlineLevel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 t="s">
        <v>35</v>
      </c>
      <c r="M96" s="15">
        <f>'📊 Monthly Base'!V11</f>
        <v>417639.80000000005</v>
      </c>
      <c r="N96" s="36">
        <f>'📊 Monthly Base'!V9</f>
        <v>7202</v>
      </c>
      <c r="O96" s="36">
        <f>'📊 Monthly Base'!V5</f>
        <v>3500</v>
      </c>
      <c r="P96" s="15">
        <f>'📊 Monthly Base'!V24</f>
        <v>230563.95039500005</v>
      </c>
      <c r="Q96" s="15">
        <f>'📊 Monthly Base'!V25</f>
        <v>2262321.4989700001</v>
      </c>
      <c r="R96" s="36">
        <f>'📊 Monthly Base'!V6</f>
        <v>3324</v>
      </c>
      <c r="S96" s="36">
        <f>'📊 Monthly Base'!V7</f>
        <v>2904</v>
      </c>
      <c r="T96" s="36">
        <f>'📊 Monthly Base'!V8</f>
        <v>974</v>
      </c>
      <c r="U96" s="15">
        <f>'📊 Monthly Base'!V18</f>
        <v>62782.675605000004</v>
      </c>
      <c r="V96" s="15">
        <f>'📊 Monthly Base'!V20</f>
        <v>70000</v>
      </c>
      <c r="W96" s="15">
        <f>'📊 Monthly Base'!V26</f>
        <v>0.84967267103135291</v>
      </c>
      <c r="X96" s="15"/>
      <c r="Y96" s="15"/>
      <c r="Z96" s="15"/>
    </row>
    <row r="97" spans="1:26" ht="20" customHeight="1" outlineLevel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 t="s">
        <v>36</v>
      </c>
      <c r="M97" s="15">
        <f>'📊 Monthly Base'!W11</f>
        <v>431097.3</v>
      </c>
      <c r="N97" s="36">
        <f>'📊 Monthly Base'!W9</f>
        <v>7427</v>
      </c>
      <c r="O97" s="36">
        <f>'📊 Monthly Base'!W5</f>
        <v>3500</v>
      </c>
      <c r="P97" s="15">
        <f>'📊 Monthly Base'!W24</f>
        <v>240221.30469499997</v>
      </c>
      <c r="Q97" s="15">
        <f>'📊 Monthly Base'!W25</f>
        <v>2502542.803665</v>
      </c>
      <c r="R97" s="36">
        <f>'📊 Monthly Base'!W6</f>
        <v>3408</v>
      </c>
      <c r="S97" s="36">
        <f>'📊 Monthly Base'!W7</f>
        <v>3004</v>
      </c>
      <c r="T97" s="36">
        <f>'📊 Monthly Base'!W8</f>
        <v>1015</v>
      </c>
      <c r="U97" s="15">
        <f>'📊 Monthly Base'!W18</f>
        <v>64833.346304999999</v>
      </c>
      <c r="V97" s="15">
        <f>'📊 Monthly Base'!W20</f>
        <v>70000</v>
      </c>
      <c r="W97" s="15">
        <f>'📊 Monthly Base'!W26</f>
        <v>0.84960855402017132</v>
      </c>
      <c r="X97" s="15"/>
      <c r="Y97" s="15"/>
      <c r="Z97" s="15"/>
    </row>
    <row r="98" spans="1:26" ht="20" customHeight="1" outlineLevel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 t="s">
        <v>37</v>
      </c>
      <c r="M98" s="15">
        <f>'📊 Monthly Base'!X11</f>
        <v>443826.1</v>
      </c>
      <c r="N98" s="36">
        <f>'📊 Monthly Base'!X9</f>
        <v>7639</v>
      </c>
      <c r="O98" s="36">
        <f>'📊 Monthly Base'!X5</f>
        <v>3500</v>
      </c>
      <c r="P98" s="15">
        <f>'📊 Monthly Base'!X24</f>
        <v>249349.61091499997</v>
      </c>
      <c r="Q98" s="15">
        <f>'📊 Monthly Base'!X25</f>
        <v>2751892.4145800001</v>
      </c>
      <c r="R98" s="36">
        <f>'📊 Monthly Base'!X6</f>
        <v>3485</v>
      </c>
      <c r="S98" s="36">
        <f>'📊 Monthly Base'!X7</f>
        <v>3099</v>
      </c>
      <c r="T98" s="36">
        <f>'📊 Monthly Base'!X8</f>
        <v>1055</v>
      </c>
      <c r="U98" s="15">
        <f>'📊 Monthly Base'!X18</f>
        <v>66779.096085000012</v>
      </c>
      <c r="V98" s="15">
        <f>'📊 Monthly Base'!X20</f>
        <v>70000</v>
      </c>
      <c r="W98" s="15">
        <f>'📊 Monthly Base'!X26</f>
        <v>0.84953769937144297</v>
      </c>
      <c r="X98" s="15"/>
      <c r="Y98" s="15"/>
      <c r="Z98" s="15"/>
    </row>
    <row r="99" spans="1:26" ht="20" customHeight="1" outlineLevel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 t="s">
        <v>38</v>
      </c>
      <c r="M99" s="15">
        <f>'📊 Monthly Base'!Y11</f>
        <v>455796.2</v>
      </c>
      <c r="N99" s="36">
        <f>'📊 Monthly Base'!Y9</f>
        <v>7838</v>
      </c>
      <c r="O99" s="36">
        <f>'📊 Monthly Base'!Y5</f>
        <v>3500</v>
      </c>
      <c r="P99" s="15">
        <f>'📊 Monthly Base'!Y24</f>
        <v>257930.21025500001</v>
      </c>
      <c r="Q99" s="15">
        <f>'📊 Monthly Base'!Y25</f>
        <v>3009822.6248349999</v>
      </c>
      <c r="R99" s="36">
        <f>'📊 Monthly Base'!Y6</f>
        <v>3556</v>
      </c>
      <c r="S99" s="36">
        <f>'📊 Monthly Base'!Y7</f>
        <v>3189</v>
      </c>
      <c r="T99" s="36">
        <f>'📊 Monthly Base'!Y8</f>
        <v>1093</v>
      </c>
      <c r="U99" s="15">
        <f>'📊 Monthly Base'!Y18</f>
        <v>68612.483745000005</v>
      </c>
      <c r="V99" s="15">
        <f>'📊 Monthly Base'!Y20</f>
        <v>70000</v>
      </c>
      <c r="W99" s="15">
        <f>'📊 Monthly Base'!Y26</f>
        <v>0.84946674907557362</v>
      </c>
      <c r="X99" s="15"/>
      <c r="Y99" s="15"/>
      <c r="Z99" s="15"/>
    </row>
    <row r="100" spans="1:26" ht="20" customHeight="1" outlineLevel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 t="s">
        <v>56</v>
      </c>
      <c r="M100" s="15">
        <f>'📊 Monthly Base'!Z11</f>
        <v>467197.3</v>
      </c>
      <c r="N100" s="36">
        <f>'📊 Monthly Base'!Z9</f>
        <v>8027</v>
      </c>
      <c r="O100" s="36">
        <f>'📊 Monthly Base'!Z5</f>
        <v>3500</v>
      </c>
      <c r="P100" s="15">
        <f>'📊 Monthly Base'!Z24</f>
        <v>266098.87299499998</v>
      </c>
      <c r="Q100" s="15">
        <f>'📊 Monthly Base'!Z25</f>
        <v>3275921.4978299998</v>
      </c>
      <c r="R100" s="36">
        <f>'📊 Monthly Base'!Z6</f>
        <v>3622</v>
      </c>
      <c r="S100" s="36">
        <f>'📊 Monthly Base'!Z7</f>
        <v>3275</v>
      </c>
      <c r="T100" s="36">
        <f>'📊 Monthly Base'!Z8</f>
        <v>1130</v>
      </c>
      <c r="U100" s="15">
        <f>'📊 Monthly Base'!Z18</f>
        <v>70362.778005</v>
      </c>
      <c r="V100" s="15">
        <f>'📊 Monthly Base'!Z20</f>
        <v>70000</v>
      </c>
      <c r="W100" s="15">
        <f>'📊 Monthly Base'!Z26</f>
        <v>0.84939386848982212</v>
      </c>
      <c r="X100" s="15"/>
      <c r="Y100" s="15"/>
      <c r="Z100" s="15"/>
    </row>
    <row r="101" spans="1:26" ht="20" customHeight="1" outlineLevel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0" customHeight="1" outlineLevel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 t="s">
        <v>223</v>
      </c>
      <c r="M102" s="15" t="s">
        <v>225</v>
      </c>
      <c r="N102" s="15" t="s">
        <v>72</v>
      </c>
      <c r="O102" s="15" t="str">
        <f>"Angel Return ("&amp;TEXT('🎛️ Assumptions'!$B$59,"0%")&amp;")"</f>
        <v>Angel Return (15%)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0" customHeight="1" outlineLevel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 t="s">
        <v>114</v>
      </c>
      <c r="M103" s="15">
        <f>'🎛️ Assumptions'!$B$58/1000000</f>
        <v>1</v>
      </c>
      <c r="N103" s="15">
        <f>'📊 Scenario Summary'!B21/1000000</f>
        <v>19.914786599999996</v>
      </c>
      <c r="O103" s="15">
        <f>'📊 Scenario Summary'!B22/1000000</f>
        <v>2.9872179899999987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0" customHeight="1" outlineLevel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 t="s">
        <v>59</v>
      </c>
      <c r="M104" s="15">
        <f>'🎛️ Assumptions'!$B$58/1000000</f>
        <v>1</v>
      </c>
      <c r="N104" s="15">
        <f>'📊 Scenario Summary'!C21/1000000</f>
        <v>50.824493500000003</v>
      </c>
      <c r="O104" s="15">
        <f>'📊 Scenario Summary'!C22/1000000</f>
        <v>7.6236740249999997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0" customHeight="1" outlineLevel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 t="s">
        <v>224</v>
      </c>
      <c r="M105" s="15">
        <f>'🎛️ Assumptions'!$B$58/1000000</f>
        <v>1</v>
      </c>
      <c r="N105" s="15">
        <f>'📊 Scenario Summary'!D21/1000000</f>
        <v>101.18222659999999</v>
      </c>
      <c r="O105" s="15">
        <f>'📊 Scenario Summary'!D22/1000000</f>
        <v>15.177333989999997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0" customHeight="1" outlineLevel="1" x14ac:dyDescent="0.2"/>
    <row r="107" spans="1:26" ht="20" customHeight="1" x14ac:dyDescent="0.2"/>
    <row r="108" spans="1:26" ht="20" customHeight="1" x14ac:dyDescent="0.2"/>
    <row r="109" spans="1:26" ht="20" customHeight="1" x14ac:dyDescent="0.2"/>
    <row r="110" spans="1:26" ht="20" customHeight="1" x14ac:dyDescent="0.2"/>
    <row r="111" spans="1:26" ht="20" customHeight="1" x14ac:dyDescent="0.2"/>
    <row r="112" spans="1:26" ht="20" customHeight="1" x14ac:dyDescent="0.2"/>
    <row r="113" ht="20" customHeight="1" x14ac:dyDescent="0.2"/>
  </sheetData>
  <mergeCells count="38">
    <mergeCell ref="A35:J35"/>
    <mergeCell ref="A54:J54"/>
    <mergeCell ref="A53:J53"/>
    <mergeCell ref="A8:B8"/>
    <mergeCell ref="A9:B9"/>
    <mergeCell ref="A10:B10"/>
    <mergeCell ref="C10:D10"/>
    <mergeCell ref="E10:F10"/>
    <mergeCell ref="G10:H10"/>
    <mergeCell ref="I10:J10"/>
    <mergeCell ref="I15:J15"/>
    <mergeCell ref="G15:H15"/>
    <mergeCell ref="E15:F15"/>
    <mergeCell ref="G13:H13"/>
    <mergeCell ref="I14:J14"/>
    <mergeCell ref="I13:J13"/>
    <mergeCell ref="G14:H14"/>
    <mergeCell ref="C13:D13"/>
    <mergeCell ref="E13:F13"/>
    <mergeCell ref="A14:B14"/>
    <mergeCell ref="C14:D14"/>
    <mergeCell ref="E14:F14"/>
    <mergeCell ref="A2:B2"/>
    <mergeCell ref="A3:H3"/>
    <mergeCell ref="C2:E2"/>
    <mergeCell ref="A16:E17"/>
    <mergeCell ref="F16:J17"/>
    <mergeCell ref="I9:J9"/>
    <mergeCell ref="G9:H9"/>
    <mergeCell ref="E9:F9"/>
    <mergeCell ref="C9:D9"/>
    <mergeCell ref="C8:D8"/>
    <mergeCell ref="E8:F8"/>
    <mergeCell ref="G8:H8"/>
    <mergeCell ref="I8:J8"/>
    <mergeCell ref="C15:D15"/>
    <mergeCell ref="A15:B15"/>
    <mergeCell ref="A13:B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6F97-CD38-D247-AA06-39C448B4D766}">
  <sheetPr>
    <tabColor rgb="FF7D4E5E"/>
  </sheetPr>
  <dimension ref="B2:H46"/>
  <sheetViews>
    <sheetView showGridLines="0" zoomScale="125" zoomScaleNormal="125" workbookViewId="0">
      <selection activeCell="E33" sqref="E33:H33"/>
    </sheetView>
  </sheetViews>
  <sheetFormatPr baseColWidth="10" defaultRowHeight="15" x14ac:dyDescent="0.2"/>
  <cols>
    <col min="1" max="1" width="3" customWidth="1"/>
    <col min="2" max="2" width="34" customWidth="1"/>
    <col min="3" max="4" width="26" customWidth="1"/>
    <col min="5" max="5" width="57.33203125" customWidth="1"/>
    <col min="6" max="6" width="26" customWidth="1"/>
    <col min="7" max="8" width="18" customWidth="1"/>
  </cols>
  <sheetData>
    <row r="2" spans="2:8" ht="26" x14ac:dyDescent="0.3">
      <c r="B2" s="37" t="s">
        <v>226</v>
      </c>
      <c r="C2" s="15"/>
      <c r="D2" s="15"/>
      <c r="E2" s="15"/>
      <c r="F2" s="15"/>
      <c r="G2" s="15"/>
      <c r="H2" s="15"/>
    </row>
    <row r="3" spans="2:8" x14ac:dyDescent="0.2">
      <c r="B3" s="393" t="s">
        <v>227</v>
      </c>
      <c r="C3" s="393"/>
      <c r="D3" s="393"/>
      <c r="E3" s="393"/>
      <c r="F3" s="393"/>
      <c r="G3" s="393"/>
      <c r="H3" s="393"/>
    </row>
    <row r="4" spans="2:8" ht="5" customHeight="1" x14ac:dyDescent="0.2">
      <c r="B4" s="18"/>
      <c r="C4" s="18"/>
      <c r="D4" s="18"/>
      <c r="E4" s="18"/>
      <c r="F4" s="18"/>
      <c r="G4" s="19"/>
      <c r="H4" s="19"/>
    </row>
    <row r="5" spans="2:8" x14ac:dyDescent="0.2">
      <c r="B5" s="15"/>
      <c r="C5" s="15"/>
      <c r="D5" s="15"/>
      <c r="E5" s="15"/>
      <c r="F5" s="15"/>
      <c r="G5" s="15"/>
      <c r="H5" s="15"/>
    </row>
    <row r="6" spans="2:8" x14ac:dyDescent="0.2">
      <c r="B6" s="387" t="s">
        <v>228</v>
      </c>
      <c r="C6" s="387"/>
      <c r="D6" s="387"/>
      <c r="E6" s="387"/>
      <c r="F6" s="387"/>
      <c r="G6" s="387"/>
      <c r="H6" s="387"/>
    </row>
    <row r="7" spans="2:8" ht="28" customHeight="1" x14ac:dyDescent="0.2">
      <c r="B7" s="39" t="s">
        <v>229</v>
      </c>
      <c r="C7" s="389" t="s">
        <v>233</v>
      </c>
      <c r="D7" s="389"/>
      <c r="E7" s="389"/>
      <c r="F7" s="389"/>
      <c r="G7" s="389"/>
      <c r="H7" s="389"/>
    </row>
    <row r="8" spans="2:8" ht="28" customHeight="1" x14ac:dyDescent="0.2">
      <c r="B8" s="39" t="s">
        <v>230</v>
      </c>
      <c r="C8" s="389" t="s">
        <v>234</v>
      </c>
      <c r="D8" s="389"/>
      <c r="E8" s="389"/>
      <c r="F8" s="389"/>
      <c r="G8" s="389"/>
      <c r="H8" s="389"/>
    </row>
    <row r="9" spans="2:8" ht="28" customHeight="1" x14ac:dyDescent="0.2">
      <c r="B9" s="39" t="s">
        <v>231</v>
      </c>
      <c r="C9" s="389" t="s">
        <v>235</v>
      </c>
      <c r="D9" s="389"/>
      <c r="E9" s="389"/>
      <c r="F9" s="389"/>
      <c r="G9" s="389"/>
      <c r="H9" s="389"/>
    </row>
    <row r="10" spans="2:8" ht="28" customHeight="1" x14ac:dyDescent="0.2">
      <c r="B10" s="39" t="s">
        <v>232</v>
      </c>
      <c r="C10" s="389" t="s">
        <v>236</v>
      </c>
      <c r="D10" s="389"/>
      <c r="E10" s="389"/>
      <c r="F10" s="389"/>
      <c r="G10" s="389"/>
      <c r="H10" s="389"/>
    </row>
    <row r="11" spans="2:8" x14ac:dyDescent="0.2">
      <c r="B11" s="15"/>
      <c r="C11" s="15"/>
      <c r="D11" s="15"/>
      <c r="E11" s="15"/>
      <c r="F11" s="15"/>
      <c r="G11" s="15"/>
      <c r="H11" s="15"/>
    </row>
    <row r="12" spans="2:8" x14ac:dyDescent="0.2">
      <c r="B12" s="387" t="s">
        <v>237</v>
      </c>
      <c r="C12" s="387"/>
      <c r="D12" s="387"/>
      <c r="E12" s="387"/>
      <c r="F12" s="387"/>
      <c r="G12" s="387"/>
      <c r="H12" s="387"/>
    </row>
    <row r="13" spans="2:8" x14ac:dyDescent="0.2">
      <c r="B13" s="40" t="s">
        <v>238</v>
      </c>
      <c r="C13" s="41" t="s">
        <v>239</v>
      </c>
      <c r="D13" s="41" t="s">
        <v>240</v>
      </c>
      <c r="E13" s="41" t="s">
        <v>241</v>
      </c>
      <c r="F13" s="41" t="s">
        <v>242</v>
      </c>
      <c r="G13" s="15"/>
      <c r="H13" s="15"/>
    </row>
    <row r="14" spans="2:8" x14ac:dyDescent="0.2">
      <c r="B14" s="42" t="s">
        <v>48</v>
      </c>
      <c r="C14" s="43">
        <v>0</v>
      </c>
      <c r="D14" s="44" t="s">
        <v>84</v>
      </c>
      <c r="E14" s="44" t="s">
        <v>243</v>
      </c>
      <c r="F14" s="44" t="s">
        <v>247</v>
      </c>
      <c r="G14" s="15"/>
      <c r="H14" s="15"/>
    </row>
    <row r="15" spans="2:8" x14ac:dyDescent="0.2">
      <c r="B15" s="42" t="s">
        <v>49</v>
      </c>
      <c r="C15" s="45">
        <f>'🔧 Active Scenario'!B6</f>
        <v>39.9</v>
      </c>
      <c r="D15" s="44" t="s">
        <v>85</v>
      </c>
      <c r="E15" s="46" t="s">
        <v>244</v>
      </c>
      <c r="F15" s="44" t="s">
        <v>248</v>
      </c>
      <c r="G15" s="15"/>
      <c r="H15" s="15"/>
    </row>
    <row r="16" spans="2:8" x14ac:dyDescent="0.2">
      <c r="B16" s="42" t="s">
        <v>50</v>
      </c>
      <c r="C16" s="45">
        <f>'🔧 Active Scenario'!B7</f>
        <v>59.9</v>
      </c>
      <c r="D16" s="44" t="s">
        <v>85</v>
      </c>
      <c r="E16" s="44" t="s">
        <v>245</v>
      </c>
      <c r="F16" s="44" t="s">
        <v>86</v>
      </c>
      <c r="G16" s="15"/>
      <c r="H16" s="15"/>
    </row>
    <row r="17" spans="2:8" x14ac:dyDescent="0.2">
      <c r="B17" s="47" t="s">
        <v>51</v>
      </c>
      <c r="C17" s="48">
        <f>'🔧 Active Scenario'!B8</f>
        <v>79.900000000000006</v>
      </c>
      <c r="D17" s="49" t="s">
        <v>85</v>
      </c>
      <c r="E17" s="49" t="s">
        <v>246</v>
      </c>
      <c r="F17" s="49" t="s">
        <v>249</v>
      </c>
      <c r="G17" s="15"/>
      <c r="H17" s="15"/>
    </row>
    <row r="18" spans="2:8" x14ac:dyDescent="0.2">
      <c r="B18" s="392" t="s">
        <v>250</v>
      </c>
      <c r="C18" s="392"/>
      <c r="D18" s="392"/>
      <c r="E18" s="392"/>
      <c r="F18" s="392"/>
      <c r="G18" s="392"/>
      <c r="H18" s="392"/>
    </row>
    <row r="19" spans="2:8" x14ac:dyDescent="0.2">
      <c r="B19" s="15"/>
      <c r="C19" s="15"/>
      <c r="D19" s="15"/>
      <c r="E19" s="15"/>
      <c r="F19" s="15"/>
      <c r="G19" s="15"/>
      <c r="H19" s="15"/>
    </row>
    <row r="20" spans="2:8" x14ac:dyDescent="0.2">
      <c r="B20" s="387" t="s">
        <v>251</v>
      </c>
      <c r="C20" s="387"/>
      <c r="D20" s="387"/>
      <c r="E20" s="387"/>
      <c r="F20" s="387"/>
      <c r="G20" s="387"/>
      <c r="H20" s="387"/>
    </row>
    <row r="21" spans="2:8" x14ac:dyDescent="0.2">
      <c r="B21" s="50" t="s">
        <v>252</v>
      </c>
      <c r="C21" s="51">
        <f>'🎛️ Assumptions'!B58</f>
        <v>1000000</v>
      </c>
      <c r="D21" s="52" t="s">
        <v>256</v>
      </c>
      <c r="E21" s="15"/>
      <c r="F21" s="15"/>
      <c r="G21" s="15"/>
      <c r="H21" s="15"/>
    </row>
    <row r="22" spans="2:8" x14ac:dyDescent="0.2">
      <c r="B22" s="50" t="s">
        <v>253</v>
      </c>
      <c r="C22" s="53">
        <f>'🎛️ Assumptions'!B59</f>
        <v>0.15</v>
      </c>
      <c r="D22" s="52" t="s">
        <v>257</v>
      </c>
      <c r="E22" s="15"/>
      <c r="F22" s="15"/>
      <c r="G22" s="15"/>
      <c r="H22" s="15"/>
    </row>
    <row r="23" spans="2:8" x14ac:dyDescent="0.2">
      <c r="B23" s="50" t="s">
        <v>80</v>
      </c>
      <c r="C23" s="54">
        <f>'🎛️ Assumptions'!B60</f>
        <v>5666666.666666667</v>
      </c>
      <c r="D23" s="55" t="s">
        <v>258</v>
      </c>
      <c r="E23" s="15"/>
      <c r="F23" s="15"/>
      <c r="G23" s="15"/>
      <c r="H23" s="15"/>
    </row>
    <row r="24" spans="2:8" x14ac:dyDescent="0.2">
      <c r="B24" s="50" t="s">
        <v>79</v>
      </c>
      <c r="C24" s="54">
        <f>'🎛️ Assumptions'!B61</f>
        <v>6666666.666666667</v>
      </c>
      <c r="D24" s="55" t="s">
        <v>259</v>
      </c>
      <c r="E24" s="15"/>
      <c r="F24" s="15"/>
      <c r="G24" s="15"/>
      <c r="H24" s="15"/>
    </row>
    <row r="25" spans="2:8" x14ac:dyDescent="0.2">
      <c r="B25" s="50" t="s">
        <v>254</v>
      </c>
      <c r="C25" s="390" t="s">
        <v>255</v>
      </c>
      <c r="D25" s="390"/>
      <c r="E25" s="390"/>
      <c r="F25" s="390"/>
      <c r="G25" s="390"/>
      <c r="H25" s="390"/>
    </row>
    <row r="26" spans="2:8" x14ac:dyDescent="0.2">
      <c r="B26" s="15"/>
      <c r="C26" s="15"/>
      <c r="D26" s="15"/>
      <c r="E26" s="15"/>
      <c r="F26" s="15"/>
      <c r="G26" s="15"/>
      <c r="H26" s="15"/>
    </row>
    <row r="27" spans="2:8" x14ac:dyDescent="0.2">
      <c r="B27" s="38" t="s">
        <v>260</v>
      </c>
      <c r="C27" s="56" t="str">
        <f>'🔧 Active Scenario'!B2</f>
        <v>Conservative</v>
      </c>
      <c r="D27" s="388"/>
      <c r="E27" s="388"/>
      <c r="F27" s="388"/>
      <c r="G27" s="388"/>
      <c r="H27" s="388"/>
    </row>
    <row r="28" spans="2:8" x14ac:dyDescent="0.2">
      <c r="B28" s="40" t="s">
        <v>261</v>
      </c>
      <c r="C28" s="41" t="s">
        <v>54</v>
      </c>
      <c r="D28" s="41" t="s">
        <v>56</v>
      </c>
      <c r="E28" s="41" t="s">
        <v>262</v>
      </c>
      <c r="F28" s="15"/>
      <c r="G28" s="15"/>
      <c r="H28" s="15"/>
    </row>
    <row r="29" spans="2:8" x14ac:dyDescent="0.2">
      <c r="B29" s="57" t="s">
        <v>263</v>
      </c>
      <c r="C29" s="58">
        <f>'📊 Monthly Base'!N9</f>
        <v>4819</v>
      </c>
      <c r="D29" s="58">
        <f>'📊 Monthly Base'!Z9</f>
        <v>8027</v>
      </c>
      <c r="E29" s="391" t="s">
        <v>271</v>
      </c>
      <c r="F29" s="391"/>
      <c r="G29" s="391"/>
      <c r="H29" s="391"/>
    </row>
    <row r="30" spans="2:8" x14ac:dyDescent="0.2">
      <c r="B30" s="57" t="s">
        <v>264</v>
      </c>
      <c r="C30" s="59">
        <f>'📊 Monthly Base'!N11</f>
        <v>277318.09999999998</v>
      </c>
      <c r="D30" s="59">
        <f>'📊 Monthly Base'!Z11</f>
        <v>467197.3</v>
      </c>
      <c r="E30" s="391" t="s">
        <v>272</v>
      </c>
      <c r="F30" s="391"/>
      <c r="G30" s="391"/>
      <c r="H30" s="391"/>
    </row>
    <row r="31" spans="2:8" x14ac:dyDescent="0.2">
      <c r="B31" s="57" t="s">
        <v>265</v>
      </c>
      <c r="C31" s="59">
        <f>'📊 Monthly Base'!N12</f>
        <v>1947589.4</v>
      </c>
      <c r="D31" s="59">
        <f>'📊 Monthly Base'!Z12</f>
        <v>6638262.1999999983</v>
      </c>
      <c r="E31" s="394" t="s">
        <v>273</v>
      </c>
      <c r="F31" s="391"/>
      <c r="G31" s="391"/>
      <c r="H31" s="391"/>
    </row>
    <row r="32" spans="2:8" x14ac:dyDescent="0.2">
      <c r="B32" s="57" t="s">
        <v>266</v>
      </c>
      <c r="C32" s="60">
        <f>'📊 Monthly Base'!N24</f>
        <v>144705.10258999997</v>
      </c>
      <c r="D32" s="60">
        <f>'📊 Monthly Base'!Z24</f>
        <v>266098.87299499998</v>
      </c>
      <c r="E32" s="391" t="s">
        <v>274</v>
      </c>
      <c r="F32" s="391"/>
      <c r="G32" s="391"/>
      <c r="H32" s="391"/>
    </row>
    <row r="33" spans="2:8" x14ac:dyDescent="0.2">
      <c r="B33" s="57" t="s">
        <v>267</v>
      </c>
      <c r="C33" s="61">
        <f>'📊 Monthly Base'!N26</f>
        <v>0.85013006936799285</v>
      </c>
      <c r="D33" s="61">
        <f>'📊 Monthly Base'!Z26</f>
        <v>0.84939386848982212</v>
      </c>
      <c r="E33" s="391" t="s">
        <v>275</v>
      </c>
      <c r="F33" s="391"/>
      <c r="G33" s="391"/>
      <c r="H33" s="391"/>
    </row>
    <row r="34" spans="2:8" x14ac:dyDescent="0.2">
      <c r="B34" s="57" t="s">
        <v>268</v>
      </c>
      <c r="C34" s="62" t="str" cm="1">
        <f t="array" ref="C34">IFERROR("M"&amp;MATCH(TRUE,INDEX('📊 Monthly Base'!C25:Z25&gt;0,0),0),"&gt;24m")</f>
        <v>M5</v>
      </c>
      <c r="D34" s="15"/>
      <c r="E34" s="391" t="s">
        <v>276</v>
      </c>
      <c r="F34" s="391"/>
      <c r="G34" s="391"/>
      <c r="H34" s="391"/>
    </row>
    <row r="35" spans="2:8" x14ac:dyDescent="0.2">
      <c r="B35" s="57" t="s">
        <v>87</v>
      </c>
      <c r="C35" s="63">
        <f>'🔧 Active Scenario'!B56</f>
        <v>6.886103125</v>
      </c>
      <c r="D35" s="15"/>
      <c r="E35" s="391" t="str">
        <f>IF(C35&gt;=8,"✅ top quartile",IF(C35&gt;=3,"✅ healthy","⚠️ review CAC"))</f>
        <v>✅ healthy</v>
      </c>
      <c r="F35" s="391"/>
      <c r="G35" s="391"/>
      <c r="H35" s="391"/>
    </row>
    <row r="36" spans="2:8" x14ac:dyDescent="0.2">
      <c r="B36" s="57" t="s">
        <v>269</v>
      </c>
      <c r="C36" s="64">
        <f>IF('🔧 Active Scenario'!B2="Conservative",'📊 Scenario Summary'!B21,IF('🔧 Active Scenario'!B2="Base",'📊 Scenario Summary'!C21,'📊 Scenario Summary'!D21))</f>
        <v>19914786.599999994</v>
      </c>
      <c r="D36" s="15"/>
      <c r="E36" s="391" t="s">
        <v>277</v>
      </c>
      <c r="F36" s="391"/>
      <c r="G36" s="391"/>
      <c r="H36" s="391"/>
    </row>
    <row r="37" spans="2:8" x14ac:dyDescent="0.2">
      <c r="B37" s="65" t="s">
        <v>270</v>
      </c>
      <c r="C37" s="66">
        <f>C36*'🎛️ Assumptions'!B59</f>
        <v>2987217.9899999988</v>
      </c>
      <c r="D37" s="67">
        <f>C37/'🎛️ Assumptions'!B58</f>
        <v>2.9872179899999987</v>
      </c>
      <c r="E37" s="395" t="s">
        <v>278</v>
      </c>
      <c r="F37" s="395"/>
      <c r="G37" s="395"/>
      <c r="H37" s="395"/>
    </row>
    <row r="38" spans="2:8" x14ac:dyDescent="0.2">
      <c r="B38" s="15"/>
      <c r="C38" s="15"/>
      <c r="D38" s="15"/>
      <c r="E38" s="15"/>
      <c r="F38" s="15"/>
      <c r="G38" s="15"/>
      <c r="H38" s="15"/>
    </row>
    <row r="39" spans="2:8" x14ac:dyDescent="0.2">
      <c r="B39" s="387" t="s">
        <v>279</v>
      </c>
      <c r="C39" s="387"/>
      <c r="D39" s="387"/>
      <c r="E39" s="387"/>
      <c r="F39" s="387"/>
      <c r="G39" s="387"/>
      <c r="H39" s="387"/>
    </row>
    <row r="40" spans="2:8" ht="16" customHeight="1" x14ac:dyDescent="0.2">
      <c r="B40" s="385" t="s">
        <v>280</v>
      </c>
      <c r="C40" s="385"/>
      <c r="D40" s="385"/>
      <c r="E40" s="385"/>
      <c r="F40" s="385"/>
      <c r="G40" s="385"/>
      <c r="H40" s="385"/>
    </row>
    <row r="41" spans="2:8" ht="16" customHeight="1" x14ac:dyDescent="0.2">
      <c r="B41" s="385" t="s">
        <v>281</v>
      </c>
      <c r="C41" s="385"/>
      <c r="D41" s="385"/>
      <c r="E41" s="385"/>
      <c r="F41" s="385"/>
      <c r="G41" s="385"/>
      <c r="H41" s="385"/>
    </row>
    <row r="42" spans="2:8" ht="16" customHeight="1" x14ac:dyDescent="0.2">
      <c r="B42" s="385" t="s">
        <v>282</v>
      </c>
      <c r="C42" s="385"/>
      <c r="D42" s="385"/>
      <c r="E42" s="385"/>
      <c r="F42" s="385"/>
      <c r="G42" s="385"/>
      <c r="H42" s="385"/>
    </row>
    <row r="43" spans="2:8" ht="16" customHeight="1" x14ac:dyDescent="0.2">
      <c r="B43" s="385" t="s">
        <v>283</v>
      </c>
      <c r="C43" s="385"/>
      <c r="D43" s="385"/>
      <c r="E43" s="385"/>
      <c r="F43" s="385"/>
      <c r="G43" s="385"/>
      <c r="H43" s="385"/>
    </row>
    <row r="44" spans="2:8" ht="16" customHeight="1" x14ac:dyDescent="0.2">
      <c r="B44" s="385" t="s">
        <v>284</v>
      </c>
      <c r="C44" s="385"/>
      <c r="D44" s="385"/>
      <c r="E44" s="385"/>
      <c r="F44" s="385"/>
      <c r="G44" s="385"/>
      <c r="H44" s="385"/>
    </row>
    <row r="45" spans="2:8" x14ac:dyDescent="0.2">
      <c r="B45" s="15"/>
      <c r="C45" s="15"/>
      <c r="D45" s="15"/>
      <c r="E45" s="15"/>
      <c r="F45" s="15"/>
      <c r="G45" s="15"/>
      <c r="H45" s="15"/>
    </row>
    <row r="46" spans="2:8" x14ac:dyDescent="0.2">
      <c r="B46" s="386" t="s">
        <v>285</v>
      </c>
      <c r="C46" s="386"/>
      <c r="D46" s="386"/>
      <c r="E46" s="386"/>
      <c r="F46" s="386"/>
      <c r="G46" s="386"/>
      <c r="H46" s="386"/>
    </row>
  </sheetData>
  <mergeCells count="27">
    <mergeCell ref="B43:H43"/>
    <mergeCell ref="B18:H18"/>
    <mergeCell ref="B3:H3"/>
    <mergeCell ref="E29:H29"/>
    <mergeCell ref="E30:H30"/>
    <mergeCell ref="E31:H31"/>
    <mergeCell ref="E33:H33"/>
    <mergeCell ref="E34:H34"/>
    <mergeCell ref="E35:H35"/>
    <mergeCell ref="E36:H36"/>
    <mergeCell ref="E37:H37"/>
    <mergeCell ref="B44:H44"/>
    <mergeCell ref="B46:H46"/>
    <mergeCell ref="B6:H6"/>
    <mergeCell ref="B12:H12"/>
    <mergeCell ref="B20:H20"/>
    <mergeCell ref="B39:H39"/>
    <mergeCell ref="D27:H27"/>
    <mergeCell ref="C7:H7"/>
    <mergeCell ref="C8:H8"/>
    <mergeCell ref="C9:H9"/>
    <mergeCell ref="C10:H10"/>
    <mergeCell ref="C25:H25"/>
    <mergeCell ref="E32:H32"/>
    <mergeCell ref="B40:H40"/>
    <mergeCell ref="B41:H41"/>
    <mergeCell ref="B42:H4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17F1-5854-0645-B649-460B259DA79A}">
  <sheetPr>
    <tabColor rgb="FF9B6A7D"/>
  </sheetPr>
  <dimension ref="B2:H38"/>
  <sheetViews>
    <sheetView showGridLines="0" zoomScale="150" zoomScaleNormal="150" workbookViewId="0">
      <selection activeCell="D18" sqref="D18"/>
    </sheetView>
  </sheetViews>
  <sheetFormatPr baseColWidth="10" defaultRowHeight="15" x14ac:dyDescent="0.2"/>
  <cols>
    <col min="1" max="1" width="3" customWidth="1"/>
    <col min="2" max="2" width="38" customWidth="1"/>
    <col min="3" max="5" width="20" customWidth="1"/>
    <col min="6" max="8" width="26" customWidth="1"/>
  </cols>
  <sheetData>
    <row r="2" spans="2:8" ht="26" x14ac:dyDescent="0.3">
      <c r="B2" s="37" t="s">
        <v>286</v>
      </c>
      <c r="C2" s="15"/>
      <c r="D2" s="15"/>
      <c r="E2" s="15"/>
      <c r="F2" s="15"/>
      <c r="G2" s="15"/>
      <c r="H2" s="15"/>
    </row>
    <row r="3" spans="2:8" x14ac:dyDescent="0.2">
      <c r="B3" s="404" t="s">
        <v>287</v>
      </c>
      <c r="C3" s="404"/>
      <c r="D3" s="404"/>
      <c r="E3" s="404"/>
      <c r="F3" s="404"/>
      <c r="G3" s="404"/>
      <c r="H3" s="404"/>
    </row>
    <row r="4" spans="2:8" ht="5" customHeight="1" x14ac:dyDescent="0.2">
      <c r="B4" s="18"/>
      <c r="C4" s="18"/>
      <c r="D4" s="18"/>
      <c r="E4" s="18"/>
      <c r="F4" s="18"/>
      <c r="G4" s="19"/>
      <c r="H4" s="19"/>
    </row>
    <row r="5" spans="2:8" x14ac:dyDescent="0.2">
      <c r="B5" s="15"/>
      <c r="C5" s="15"/>
      <c r="D5" s="15"/>
      <c r="E5" s="15"/>
      <c r="F5" s="15"/>
      <c r="G5" s="15"/>
      <c r="H5" s="15"/>
    </row>
    <row r="6" spans="2:8" x14ac:dyDescent="0.2">
      <c r="B6" s="387" t="s">
        <v>288</v>
      </c>
      <c r="C6" s="387"/>
      <c r="D6" s="387"/>
      <c r="E6" s="387"/>
      <c r="F6" s="387"/>
      <c r="G6" s="387"/>
      <c r="H6" s="387"/>
    </row>
    <row r="7" spans="2:8" x14ac:dyDescent="0.2">
      <c r="B7" s="40" t="s">
        <v>289</v>
      </c>
      <c r="C7" s="41" t="s">
        <v>290</v>
      </c>
      <c r="D7" s="41" t="s">
        <v>291</v>
      </c>
      <c r="E7" s="41" t="s">
        <v>292</v>
      </c>
      <c r="F7" s="41" t="s">
        <v>293</v>
      </c>
      <c r="G7" s="15"/>
      <c r="H7" s="15"/>
    </row>
    <row r="8" spans="2:8" x14ac:dyDescent="0.2">
      <c r="B8" s="42" t="s">
        <v>294</v>
      </c>
      <c r="C8" s="68">
        <v>54000000</v>
      </c>
      <c r="D8" s="69">
        <f>C8*'🔧 Active Scenario'!B6*12</f>
        <v>25855200000</v>
      </c>
      <c r="E8" s="44"/>
      <c r="F8" s="397" t="s">
        <v>298</v>
      </c>
      <c r="G8" s="397"/>
      <c r="H8" s="397"/>
    </row>
    <row r="9" spans="2:8" x14ac:dyDescent="0.2">
      <c r="B9" s="42" t="s">
        <v>295</v>
      </c>
      <c r="C9" s="68">
        <v>12000000</v>
      </c>
      <c r="D9" s="69">
        <f>C9*'🔧 Active Scenario'!B6*12</f>
        <v>5745600000</v>
      </c>
      <c r="E9" s="70">
        <f>C9/C8</f>
        <v>0.22222222222222221</v>
      </c>
      <c r="F9" s="397" t="s">
        <v>299</v>
      </c>
      <c r="G9" s="397"/>
      <c r="H9" s="397"/>
    </row>
    <row r="10" spans="2:8" x14ac:dyDescent="0.2">
      <c r="B10" s="42" t="s">
        <v>296</v>
      </c>
      <c r="C10" s="58">
        <f>('🔧 Active Scenario'!B30+'🔧 Active Scenario'!B31)*12</f>
        <v>78000</v>
      </c>
      <c r="D10" s="71">
        <f>'📊 Monthly Base'!Z11*12</f>
        <v>5606367.5999999996</v>
      </c>
      <c r="E10" s="72">
        <f>C10/C9</f>
        <v>6.4999999999999997E-3</v>
      </c>
      <c r="F10" s="408" t="s">
        <v>300</v>
      </c>
      <c r="G10" s="397"/>
      <c r="H10" s="397"/>
    </row>
    <row r="11" spans="2:8" x14ac:dyDescent="0.2">
      <c r="B11" s="47" t="s">
        <v>297</v>
      </c>
      <c r="C11" s="73">
        <f>'📊 Monthly Base'!Z9</f>
        <v>8027</v>
      </c>
      <c r="D11" s="74">
        <f>'📊 Monthly Base'!Z11</f>
        <v>467197.3</v>
      </c>
      <c r="E11" s="75">
        <f>C11/C10</f>
        <v>0.1029102564102564</v>
      </c>
      <c r="F11" s="398" t="s">
        <v>301</v>
      </c>
      <c r="G11" s="397"/>
      <c r="H11" s="397"/>
    </row>
    <row r="12" spans="2:8" x14ac:dyDescent="0.2">
      <c r="B12" s="407" t="s">
        <v>302</v>
      </c>
      <c r="C12" s="407"/>
      <c r="D12" s="407"/>
      <c r="E12" s="407"/>
      <c r="F12" s="407"/>
      <c r="G12" s="407"/>
      <c r="H12" s="407"/>
    </row>
    <row r="13" spans="2:8" x14ac:dyDescent="0.2">
      <c r="B13" s="15"/>
      <c r="C13" s="15"/>
      <c r="D13" s="15"/>
      <c r="E13" s="15"/>
      <c r="F13" s="15"/>
      <c r="G13" s="15"/>
      <c r="H13" s="15"/>
    </row>
    <row r="14" spans="2:8" x14ac:dyDescent="0.2">
      <c r="B14" s="387" t="s">
        <v>303</v>
      </c>
      <c r="C14" s="387"/>
      <c r="D14" s="387"/>
      <c r="E14" s="387"/>
      <c r="F14" s="387"/>
      <c r="G14" s="387"/>
      <c r="H14" s="387"/>
    </row>
    <row r="15" spans="2:8" x14ac:dyDescent="0.2">
      <c r="B15" s="40" t="s">
        <v>304</v>
      </c>
      <c r="C15" s="41" t="s">
        <v>305</v>
      </c>
      <c r="D15" s="41" t="s">
        <v>306</v>
      </c>
      <c r="E15" s="41"/>
      <c r="F15" s="399" t="s">
        <v>307</v>
      </c>
      <c r="G15" s="399"/>
      <c r="H15" s="399"/>
    </row>
    <row r="16" spans="2:8" x14ac:dyDescent="0.2">
      <c r="B16" s="57" t="s">
        <v>308</v>
      </c>
      <c r="C16" s="58">
        <f>'🔧 Active Scenario'!B30</f>
        <v>3000</v>
      </c>
      <c r="D16" s="76" t="s">
        <v>313</v>
      </c>
      <c r="E16" s="15"/>
      <c r="F16" s="397" t="s">
        <v>318</v>
      </c>
      <c r="G16" s="397"/>
      <c r="H16" s="397"/>
    </row>
    <row r="17" spans="2:8" x14ac:dyDescent="0.2">
      <c r="B17" s="57" t="s">
        <v>309</v>
      </c>
      <c r="C17" s="58">
        <f>'🔧 Active Scenario'!B31</f>
        <v>3500</v>
      </c>
      <c r="D17" s="76" t="s">
        <v>313</v>
      </c>
      <c r="E17" s="15"/>
      <c r="F17" s="397" t="s">
        <v>319</v>
      </c>
      <c r="G17" s="397"/>
      <c r="H17" s="397"/>
    </row>
    <row r="18" spans="2:8" x14ac:dyDescent="0.2">
      <c r="B18" s="57" t="s">
        <v>310</v>
      </c>
      <c r="C18" s="61">
        <f>'🔧 Active Scenario'!B32</f>
        <v>0.1</v>
      </c>
      <c r="D18" s="76" t="s">
        <v>314</v>
      </c>
      <c r="E18" s="15"/>
      <c r="F18" s="397" t="s">
        <v>320</v>
      </c>
      <c r="G18" s="397"/>
      <c r="H18" s="397"/>
    </row>
    <row r="19" spans="2:8" x14ac:dyDescent="0.2">
      <c r="B19" s="57" t="s">
        <v>88</v>
      </c>
      <c r="C19" s="61">
        <f>'🔧 Active Scenario'!B33</f>
        <v>7.0000000000000007E-2</v>
      </c>
      <c r="D19" s="76" t="s">
        <v>314</v>
      </c>
      <c r="E19" s="15"/>
      <c r="F19" s="397" t="s">
        <v>321</v>
      </c>
      <c r="G19" s="397"/>
      <c r="H19" s="397"/>
    </row>
    <row r="20" spans="2:8" x14ac:dyDescent="0.2">
      <c r="B20" s="57" t="s">
        <v>89</v>
      </c>
      <c r="C20" s="61">
        <f>'🔧 Active Scenario'!B34</f>
        <v>0.02</v>
      </c>
      <c r="D20" s="76" t="s">
        <v>314</v>
      </c>
      <c r="E20" s="15"/>
      <c r="F20" s="397" t="s">
        <v>322</v>
      </c>
      <c r="G20" s="397"/>
      <c r="H20" s="397"/>
    </row>
    <row r="21" spans="2:8" x14ac:dyDescent="0.2">
      <c r="B21" s="57" t="s">
        <v>311</v>
      </c>
      <c r="C21" s="77" t="str">
        <f>TEXT('🔧 Active Scenario'!B35,"0%")&amp;" / "&amp;TEXT('🔧 Active Scenario'!B36,"0%")&amp;" / "&amp;TEXT('🔧 Active Scenario'!B37,"0%")</f>
        <v>8% / 5% / 3%</v>
      </c>
      <c r="D21" s="76" t="s">
        <v>315</v>
      </c>
      <c r="E21" s="15"/>
      <c r="F21" s="397" t="s">
        <v>323</v>
      </c>
      <c r="G21" s="397"/>
      <c r="H21" s="397"/>
    </row>
    <row r="22" spans="2:8" x14ac:dyDescent="0.2">
      <c r="B22" s="57" t="s">
        <v>145</v>
      </c>
      <c r="C22" s="59">
        <f>'🔧 Active Scenario'!B47</f>
        <v>80</v>
      </c>
      <c r="D22" s="76" t="s">
        <v>316</v>
      </c>
      <c r="E22" s="15"/>
      <c r="F22" s="397" t="str">
        <f>"payback in "&amp;TEXT('🔧 Active Scenario'!B57,"0.0")&amp;" months"</f>
        <v>payback in 02 months</v>
      </c>
      <c r="G22" s="397"/>
      <c r="H22" s="397"/>
    </row>
    <row r="23" spans="2:8" x14ac:dyDescent="0.2">
      <c r="B23" s="65" t="s">
        <v>312</v>
      </c>
      <c r="C23" s="78">
        <f>'🔧 Active Scenario'!B48</f>
        <v>0.5</v>
      </c>
      <c r="D23" s="79" t="s">
        <v>317</v>
      </c>
      <c r="E23" s="80"/>
      <c r="F23" s="398" t="s">
        <v>324</v>
      </c>
      <c r="G23" s="397"/>
      <c r="H23" s="397"/>
    </row>
    <row r="24" spans="2:8" x14ac:dyDescent="0.2">
      <c r="B24" s="15"/>
      <c r="C24" s="15"/>
      <c r="D24" s="15"/>
      <c r="E24" s="15"/>
      <c r="F24" s="15"/>
      <c r="G24" s="15"/>
      <c r="H24" s="15"/>
    </row>
    <row r="25" spans="2:8" x14ac:dyDescent="0.2">
      <c r="B25" s="387" t="s">
        <v>325</v>
      </c>
      <c r="C25" s="387"/>
      <c r="D25" s="387"/>
      <c r="E25" s="387"/>
      <c r="F25" s="387"/>
      <c r="G25" s="387"/>
      <c r="H25" s="387"/>
    </row>
    <row r="26" spans="2:8" ht="26" customHeight="1" x14ac:dyDescent="0.2">
      <c r="B26" s="39" t="s">
        <v>326</v>
      </c>
      <c r="C26" s="389" t="s">
        <v>329</v>
      </c>
      <c r="D26" s="389"/>
      <c r="E26" s="389"/>
      <c r="F26" s="389"/>
      <c r="G26" s="389"/>
      <c r="H26" s="389"/>
    </row>
    <row r="27" spans="2:8" ht="26" customHeight="1" x14ac:dyDescent="0.2">
      <c r="B27" s="39" t="s">
        <v>90</v>
      </c>
      <c r="C27" s="389" t="s">
        <v>330</v>
      </c>
      <c r="D27" s="389"/>
      <c r="E27" s="389"/>
      <c r="F27" s="389"/>
      <c r="G27" s="389"/>
      <c r="H27" s="389"/>
    </row>
    <row r="28" spans="2:8" ht="26" customHeight="1" x14ac:dyDescent="0.2">
      <c r="B28" s="39" t="s">
        <v>327</v>
      </c>
      <c r="C28" s="389" t="s">
        <v>331</v>
      </c>
      <c r="D28" s="389"/>
      <c r="E28" s="389"/>
      <c r="F28" s="389"/>
      <c r="G28" s="389"/>
      <c r="H28" s="389"/>
    </row>
    <row r="29" spans="2:8" ht="26" customHeight="1" x14ac:dyDescent="0.2">
      <c r="B29" s="39" t="s">
        <v>328</v>
      </c>
      <c r="C29" s="389" t="s">
        <v>332</v>
      </c>
      <c r="D29" s="389"/>
      <c r="E29" s="389"/>
      <c r="F29" s="389"/>
      <c r="G29" s="389"/>
      <c r="H29" s="389"/>
    </row>
    <row r="30" spans="2:8" x14ac:dyDescent="0.2">
      <c r="B30" s="15"/>
      <c r="C30" s="15"/>
      <c r="D30" s="15"/>
      <c r="E30" s="15"/>
      <c r="F30" s="15"/>
      <c r="G30" s="15"/>
      <c r="H30" s="15"/>
    </row>
    <row r="31" spans="2:8" x14ac:dyDescent="0.2">
      <c r="B31" s="387" t="s">
        <v>333</v>
      </c>
      <c r="C31" s="387"/>
      <c r="D31" s="387"/>
      <c r="E31" s="387"/>
      <c r="F31" s="387"/>
      <c r="G31" s="387"/>
      <c r="H31" s="387"/>
    </row>
    <row r="32" spans="2:8" x14ac:dyDescent="0.2">
      <c r="B32" s="40" t="s">
        <v>91</v>
      </c>
      <c r="C32" s="41" t="s">
        <v>239</v>
      </c>
      <c r="D32" s="405" t="s">
        <v>335</v>
      </c>
      <c r="E32" s="405"/>
      <c r="F32" s="399" t="s">
        <v>343</v>
      </c>
      <c r="G32" s="399"/>
      <c r="H32" s="399"/>
    </row>
    <row r="33" spans="2:8" ht="24" customHeight="1" x14ac:dyDescent="0.2">
      <c r="B33" s="81" t="s">
        <v>340</v>
      </c>
      <c r="C33" s="46" t="s">
        <v>92</v>
      </c>
      <c r="D33" s="406" t="s">
        <v>336</v>
      </c>
      <c r="E33" s="406"/>
      <c r="F33" s="401" t="s">
        <v>344</v>
      </c>
      <c r="G33" s="401"/>
      <c r="H33" s="401"/>
    </row>
    <row r="34" spans="2:8" ht="24" customHeight="1" x14ac:dyDescent="0.2">
      <c r="B34" s="81" t="s">
        <v>341</v>
      </c>
      <c r="C34" s="46" t="s">
        <v>93</v>
      </c>
      <c r="D34" s="406" t="s">
        <v>337</v>
      </c>
      <c r="E34" s="406"/>
      <c r="F34" s="401" t="s">
        <v>345</v>
      </c>
      <c r="G34" s="401"/>
      <c r="H34" s="401"/>
    </row>
    <row r="35" spans="2:8" ht="24" customHeight="1" x14ac:dyDescent="0.2">
      <c r="B35" s="81" t="s">
        <v>342</v>
      </c>
      <c r="C35" s="46" t="s">
        <v>334</v>
      </c>
      <c r="D35" s="406" t="s">
        <v>338</v>
      </c>
      <c r="E35" s="406"/>
      <c r="F35" s="401" t="s">
        <v>346</v>
      </c>
      <c r="G35" s="401"/>
      <c r="H35" s="401"/>
    </row>
    <row r="36" spans="2:8" ht="24" customHeight="1" x14ac:dyDescent="0.2">
      <c r="B36" s="83" t="s">
        <v>94</v>
      </c>
      <c r="C36" s="84" t="str">
        <f>"R$ "&amp;TEXT('🔧 Active Scenario'!B6,"0,00")&amp;"–"&amp;TEXT('🔧 Active Scenario'!B8,"0,00")</f>
        <v>R$ 39,90–79,90</v>
      </c>
      <c r="D36" s="400" t="s">
        <v>339</v>
      </c>
      <c r="E36" s="400"/>
      <c r="F36" s="402" t="s">
        <v>347</v>
      </c>
      <c r="G36" s="403"/>
      <c r="H36" s="403"/>
    </row>
    <row r="37" spans="2:8" x14ac:dyDescent="0.2">
      <c r="B37" s="15"/>
      <c r="C37" s="15"/>
      <c r="D37" s="15"/>
      <c r="E37" s="15"/>
      <c r="F37" s="15"/>
      <c r="G37" s="15"/>
      <c r="H37" s="15"/>
    </row>
    <row r="38" spans="2:8" x14ac:dyDescent="0.2">
      <c r="B38" s="396" t="s">
        <v>348</v>
      </c>
      <c r="C38" s="396"/>
      <c r="D38" s="396"/>
      <c r="E38" s="396"/>
      <c r="F38" s="396"/>
      <c r="G38" s="396"/>
      <c r="H38" s="396"/>
    </row>
  </sheetData>
  <mergeCells count="34">
    <mergeCell ref="F8:H8"/>
    <mergeCell ref="F9:H9"/>
    <mergeCell ref="F35:H35"/>
    <mergeCell ref="F36:H36"/>
    <mergeCell ref="B3:H3"/>
    <mergeCell ref="D32:E32"/>
    <mergeCell ref="D33:E33"/>
    <mergeCell ref="D34:E34"/>
    <mergeCell ref="D35:E35"/>
    <mergeCell ref="B12:H12"/>
    <mergeCell ref="F10:H10"/>
    <mergeCell ref="F11:H11"/>
    <mergeCell ref="F15:H15"/>
    <mergeCell ref="F16:H16"/>
    <mergeCell ref="F17:H17"/>
    <mergeCell ref="F18:H18"/>
    <mergeCell ref="B6:H6"/>
    <mergeCell ref="B14:H14"/>
    <mergeCell ref="B38:H38"/>
    <mergeCell ref="F19:H19"/>
    <mergeCell ref="F20:H20"/>
    <mergeCell ref="F21:H21"/>
    <mergeCell ref="F22:H22"/>
    <mergeCell ref="F23:H23"/>
    <mergeCell ref="F32:H32"/>
    <mergeCell ref="B25:H25"/>
    <mergeCell ref="B31:H31"/>
    <mergeCell ref="C26:H26"/>
    <mergeCell ref="C27:H27"/>
    <mergeCell ref="C28:H28"/>
    <mergeCell ref="C29:H29"/>
    <mergeCell ref="D36:E36"/>
    <mergeCell ref="F33:H33"/>
    <mergeCell ref="F34:H3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8B-D354-7C49-AE62-BB99C8E78F71}">
  <sheetPr>
    <tabColor rgb="FF92D050"/>
  </sheetPr>
  <dimension ref="A1:F52"/>
  <sheetViews>
    <sheetView showGridLines="0" workbookViewId="0">
      <selection activeCell="A15" sqref="A15"/>
    </sheetView>
  </sheetViews>
  <sheetFormatPr baseColWidth="10" defaultRowHeight="15" x14ac:dyDescent="0.2"/>
  <cols>
    <col min="1" max="1" width="3" customWidth="1"/>
    <col min="2" max="2" width="42" customWidth="1"/>
    <col min="3" max="3" width="20.5" customWidth="1"/>
    <col min="4" max="4" width="21.6640625" customWidth="1"/>
    <col min="5" max="6" width="18.33203125" customWidth="1"/>
  </cols>
  <sheetData>
    <row r="1" spans="1:6" ht="16" x14ac:dyDescent="0.2">
      <c r="A1" s="317"/>
      <c r="B1" s="317"/>
      <c r="C1" s="317"/>
      <c r="D1" s="317"/>
      <c r="E1" s="317"/>
      <c r="F1" s="317"/>
    </row>
    <row r="2" spans="1:6" ht="28" customHeight="1" x14ac:dyDescent="0.3">
      <c r="A2" s="85"/>
      <c r="B2" s="314" t="s">
        <v>349</v>
      </c>
      <c r="C2" s="86"/>
      <c r="D2" s="86"/>
      <c r="E2" s="86"/>
      <c r="F2" s="85"/>
    </row>
    <row r="3" spans="1:6" ht="16" x14ac:dyDescent="0.2">
      <c r="A3" s="85"/>
      <c r="B3" s="315" t="s">
        <v>350</v>
      </c>
      <c r="C3" s="85"/>
      <c r="D3" s="85"/>
      <c r="E3" s="85"/>
      <c r="F3" s="85"/>
    </row>
    <row r="4" spans="1:6" ht="16" x14ac:dyDescent="0.2">
      <c r="A4" s="85"/>
      <c r="B4" s="86"/>
      <c r="C4" s="86"/>
      <c r="D4" s="86"/>
      <c r="E4" s="86"/>
      <c r="F4" s="316"/>
    </row>
    <row r="5" spans="1:6" ht="16" x14ac:dyDescent="0.2">
      <c r="A5" s="85"/>
      <c r="B5" s="87" t="s">
        <v>351</v>
      </c>
      <c r="C5" s="88"/>
      <c r="D5" s="88"/>
      <c r="E5" s="88"/>
      <c r="F5" s="85"/>
    </row>
    <row r="6" spans="1:6" ht="16" x14ac:dyDescent="0.2">
      <c r="A6" s="85"/>
      <c r="B6" s="85" t="s">
        <v>252</v>
      </c>
      <c r="C6" s="89">
        <f>'🎛️ Assumptions'!B58</f>
        <v>1000000</v>
      </c>
      <c r="D6" s="90" t="s">
        <v>352</v>
      </c>
      <c r="E6" s="85"/>
      <c r="F6" s="85"/>
    </row>
    <row r="7" spans="1:6" ht="16" x14ac:dyDescent="0.2">
      <c r="A7" s="85"/>
      <c r="B7" s="85" t="s">
        <v>253</v>
      </c>
      <c r="C7" s="91">
        <f>'🎛️ Assumptions'!B59</f>
        <v>0.15</v>
      </c>
      <c r="D7" s="90" t="s">
        <v>353</v>
      </c>
      <c r="E7" s="85"/>
      <c r="F7" s="85"/>
    </row>
    <row r="8" spans="1:6" ht="16" x14ac:dyDescent="0.2">
      <c r="A8" s="85"/>
      <c r="B8" s="85" t="s">
        <v>79</v>
      </c>
      <c r="C8" s="89">
        <f>'🎛️ Assumptions'!B61</f>
        <v>6666666.666666667</v>
      </c>
      <c r="D8" s="92" t="s">
        <v>259</v>
      </c>
      <c r="E8" s="85"/>
      <c r="F8" s="85"/>
    </row>
    <row r="9" spans="1:6" ht="16" x14ac:dyDescent="0.2">
      <c r="A9" s="85"/>
      <c r="B9" s="85" t="s">
        <v>80</v>
      </c>
      <c r="C9" s="89">
        <f>'🎛️ Assumptions'!B60</f>
        <v>5666666.666666667</v>
      </c>
      <c r="D9" s="85"/>
      <c r="E9" s="85"/>
      <c r="F9" s="85"/>
    </row>
    <row r="10" spans="1:6" ht="16" x14ac:dyDescent="0.2">
      <c r="A10" s="85"/>
      <c r="B10" s="85"/>
      <c r="C10" s="85"/>
      <c r="D10" s="85"/>
      <c r="E10" s="85"/>
      <c r="F10" s="85"/>
    </row>
    <row r="11" spans="1:6" ht="16" x14ac:dyDescent="0.2">
      <c r="A11" s="85"/>
      <c r="B11" s="87" t="s">
        <v>354</v>
      </c>
      <c r="C11" s="88"/>
      <c r="D11" s="88"/>
      <c r="E11" s="88"/>
      <c r="F11" s="85"/>
    </row>
    <row r="12" spans="1:6" ht="16" x14ac:dyDescent="0.2">
      <c r="A12" s="85"/>
      <c r="B12" s="93" t="s">
        <v>261</v>
      </c>
      <c r="C12" s="94" t="s">
        <v>54</v>
      </c>
      <c r="D12" s="94" t="s">
        <v>56</v>
      </c>
      <c r="E12" s="85"/>
      <c r="F12" s="85"/>
    </row>
    <row r="13" spans="1:6" ht="16" x14ac:dyDescent="0.2">
      <c r="A13" s="85"/>
      <c r="B13" s="85" t="s">
        <v>263</v>
      </c>
      <c r="C13" s="95">
        <f>'📊 Monthly Base'!N9</f>
        <v>4819</v>
      </c>
      <c r="D13" s="96">
        <f>'📊 Monthly Base'!Z9</f>
        <v>8027</v>
      </c>
      <c r="E13" s="85"/>
      <c r="F13" s="85"/>
    </row>
    <row r="14" spans="1:6" ht="16" x14ac:dyDescent="0.2">
      <c r="A14" s="85"/>
      <c r="B14" s="85" t="s">
        <v>264</v>
      </c>
      <c r="C14" s="97">
        <f>'📊 Monthly Base'!N11</f>
        <v>277318.09999999998</v>
      </c>
      <c r="D14" s="98">
        <f>'📊 Monthly Base'!Z11</f>
        <v>467197.3</v>
      </c>
      <c r="E14" s="85"/>
      <c r="F14" s="85"/>
    </row>
    <row r="15" spans="1:6" ht="16" x14ac:dyDescent="0.2">
      <c r="A15" s="85"/>
      <c r="B15" s="85" t="s">
        <v>265</v>
      </c>
      <c r="C15" s="97">
        <f>'📊 Monthly Base'!N12</f>
        <v>1947589.4</v>
      </c>
      <c r="D15" s="98">
        <f>'📊 Monthly Base'!Z12</f>
        <v>6638262.1999999983</v>
      </c>
      <c r="E15" s="85"/>
      <c r="F15" s="85"/>
    </row>
    <row r="16" spans="1:6" ht="16" x14ac:dyDescent="0.2">
      <c r="A16" s="85"/>
      <c r="B16" s="85" t="s">
        <v>355</v>
      </c>
      <c r="C16" s="99">
        <f>'📊 Monthly Base'!N26</f>
        <v>0.85013006936799285</v>
      </c>
      <c r="D16" s="100">
        <f>'📊 Monthly Base'!Z26</f>
        <v>0.84939386848982212</v>
      </c>
      <c r="E16" s="85"/>
      <c r="F16" s="85"/>
    </row>
    <row r="17" spans="1:6" ht="16" x14ac:dyDescent="0.2">
      <c r="A17" s="85"/>
      <c r="B17" s="85" t="s">
        <v>266</v>
      </c>
      <c r="C17" s="101">
        <f>'📊 Monthly Base'!N24</f>
        <v>144705.10258999997</v>
      </c>
      <c r="D17" s="102">
        <f>'📊 Monthly Base'!Z24</f>
        <v>266098.87299499998</v>
      </c>
      <c r="E17" s="85"/>
      <c r="F17" s="85"/>
    </row>
    <row r="18" spans="1:6" ht="16" x14ac:dyDescent="0.2">
      <c r="A18" s="85"/>
      <c r="B18" s="85"/>
      <c r="C18" s="85"/>
      <c r="D18" s="85"/>
      <c r="E18" s="85"/>
      <c r="F18" s="85"/>
    </row>
    <row r="19" spans="1:6" ht="16" x14ac:dyDescent="0.2">
      <c r="A19" s="85"/>
      <c r="B19" s="87" t="s">
        <v>356</v>
      </c>
      <c r="C19" s="88"/>
      <c r="D19" s="88"/>
      <c r="E19" s="88"/>
      <c r="F19" s="85"/>
    </row>
    <row r="20" spans="1:6" ht="16" x14ac:dyDescent="0.2">
      <c r="A20" s="85"/>
      <c r="B20" s="93" t="s">
        <v>223</v>
      </c>
      <c r="C20" s="94" t="s">
        <v>81</v>
      </c>
      <c r="D20" s="94" t="s">
        <v>357</v>
      </c>
      <c r="E20" s="94" t="s">
        <v>358</v>
      </c>
      <c r="F20" s="85"/>
    </row>
    <row r="21" spans="1:6" ht="16" x14ac:dyDescent="0.2">
      <c r="A21" s="85"/>
      <c r="B21" s="85" t="s">
        <v>114</v>
      </c>
      <c r="C21" s="103">
        <f>'📊 Scenario Summary'!B21</f>
        <v>19914786.599999994</v>
      </c>
      <c r="D21" s="103">
        <f>C21*'🎛️ Assumptions'!$B$59</f>
        <v>2987217.9899999988</v>
      </c>
      <c r="E21" s="104">
        <f>D21/'🎛️ Assumptions'!$B$58</f>
        <v>2.9872179899999987</v>
      </c>
      <c r="F21" s="85"/>
    </row>
    <row r="22" spans="1:6" ht="16" x14ac:dyDescent="0.2">
      <c r="A22" s="85"/>
      <c r="B22" s="105" t="s">
        <v>59</v>
      </c>
      <c r="C22" s="106">
        <f>'📊 Scenario Summary'!C21</f>
        <v>50824493.5</v>
      </c>
      <c r="D22" s="107">
        <f>C22*'🎛️ Assumptions'!$B$59</f>
        <v>7623674.0249999994</v>
      </c>
      <c r="E22" s="108">
        <f>D22/'🎛️ Assumptions'!$B$58</f>
        <v>7.6236740249999997</v>
      </c>
      <c r="F22" s="85"/>
    </row>
    <row r="23" spans="1:6" ht="16" x14ac:dyDescent="0.2">
      <c r="A23" s="85"/>
      <c r="B23" s="85" t="s">
        <v>224</v>
      </c>
      <c r="C23" s="103">
        <f>'📊 Scenario Summary'!D21</f>
        <v>101182226.59999999</v>
      </c>
      <c r="D23" s="103">
        <f>C23*'🎛️ Assumptions'!$B$59</f>
        <v>15177333.989999998</v>
      </c>
      <c r="E23" s="104">
        <f>D23/'🎛️ Assumptions'!$B$58</f>
        <v>15.177333989999997</v>
      </c>
      <c r="F23" s="85"/>
    </row>
    <row r="24" spans="1:6" ht="16" x14ac:dyDescent="0.2">
      <c r="A24" s="85"/>
      <c r="B24" s="85"/>
      <c r="C24" s="85"/>
      <c r="D24" s="85"/>
      <c r="E24" s="85"/>
      <c r="F24" s="85"/>
    </row>
    <row r="25" spans="1:6" ht="16" x14ac:dyDescent="0.2">
      <c r="A25" s="85"/>
      <c r="B25" s="87" t="s">
        <v>359</v>
      </c>
      <c r="C25" s="88"/>
      <c r="D25" s="88"/>
      <c r="E25" s="88"/>
      <c r="F25" s="85"/>
    </row>
    <row r="26" spans="1:6" ht="16" x14ac:dyDescent="0.2">
      <c r="A26" s="85"/>
      <c r="B26" s="85" t="s">
        <v>360</v>
      </c>
      <c r="C26" s="109">
        <v>0.4</v>
      </c>
      <c r="D26" s="110">
        <f>C26*'🎛️ Assumptions'!$B$58</f>
        <v>400000</v>
      </c>
      <c r="E26" s="85"/>
      <c r="F26" s="85"/>
    </row>
    <row r="27" spans="1:6" ht="16" x14ac:dyDescent="0.2">
      <c r="A27" s="85"/>
      <c r="B27" s="85" t="s">
        <v>361</v>
      </c>
      <c r="C27" s="109">
        <v>0.3</v>
      </c>
      <c r="D27" s="110">
        <f>C27*'🎛️ Assumptions'!$B$58</f>
        <v>300000</v>
      </c>
      <c r="E27" s="85"/>
      <c r="F27" s="85"/>
    </row>
    <row r="28" spans="1:6" ht="16" x14ac:dyDescent="0.2">
      <c r="A28" s="85"/>
      <c r="B28" s="85" t="s">
        <v>362</v>
      </c>
      <c r="C28" s="109">
        <v>0.2</v>
      </c>
      <c r="D28" s="110">
        <f>C28*'🎛️ Assumptions'!$B$58</f>
        <v>200000</v>
      </c>
      <c r="E28" s="85"/>
      <c r="F28" s="85"/>
    </row>
    <row r="29" spans="1:6" ht="16" x14ac:dyDescent="0.2">
      <c r="A29" s="85"/>
      <c r="B29" s="85" t="s">
        <v>363</v>
      </c>
      <c r="C29" s="109">
        <v>0.1</v>
      </c>
      <c r="D29" s="110">
        <f>C29*'🎛️ Assumptions'!$B$58</f>
        <v>100000</v>
      </c>
      <c r="E29" s="85"/>
      <c r="F29" s="85"/>
    </row>
    <row r="30" spans="1:6" ht="16" x14ac:dyDescent="0.2">
      <c r="A30" s="85"/>
      <c r="B30" s="111" t="s">
        <v>82</v>
      </c>
      <c r="C30" s="100">
        <f>SUM(C26:C29)</f>
        <v>0.99999999999999989</v>
      </c>
      <c r="D30" s="89">
        <f>SUM(D26:D29)</f>
        <v>1000000</v>
      </c>
      <c r="E30" s="85"/>
      <c r="F30" s="85"/>
    </row>
    <row r="31" spans="1:6" ht="16" x14ac:dyDescent="0.2">
      <c r="A31" s="85"/>
      <c r="B31" s="85"/>
      <c r="C31" s="85"/>
      <c r="D31" s="85"/>
      <c r="E31" s="85"/>
      <c r="F31" s="85"/>
    </row>
    <row r="32" spans="1:6" ht="16" x14ac:dyDescent="0.2">
      <c r="A32" s="85"/>
      <c r="B32" s="112" t="s">
        <v>364</v>
      </c>
      <c r="C32" s="86"/>
      <c r="D32" s="86"/>
      <c r="E32" s="86"/>
      <c r="F32" s="85"/>
    </row>
    <row r="33" spans="1:6" ht="16" x14ac:dyDescent="0.2">
      <c r="A33" s="85"/>
      <c r="B33" s="113" t="str">
        <f>"• Even in the Conservative scenario, the investment returns ~"&amp;TEXT('📊 Scenario Summary'!B23,"0.0")&amp;"× in 24 months ("&amp;TEXT('🎛️ Assumptions'!B59,"0%")&amp;" stake = R$ "&amp;TEXT('📊 Scenario Summary'!B22/1000000,"0.0")&amp;"M)."</f>
        <v>• Even in the Conservative scenario, the investment returns ~03× in 24 months (15% stake = R$ 03M).</v>
      </c>
      <c r="C33" s="85"/>
      <c r="D33" s="85"/>
      <c r="E33" s="85"/>
      <c r="F33" s="85"/>
    </row>
    <row r="34" spans="1:6" ht="16" x14ac:dyDescent="0.2">
      <c r="A34" s="85"/>
      <c r="B34" s="113" t="s">
        <v>365</v>
      </c>
      <c r="C34" s="85"/>
      <c r="D34" s="85"/>
      <c r="E34" s="85"/>
      <c r="F34" s="85"/>
    </row>
    <row r="35" spans="1:6" ht="16" x14ac:dyDescent="0.2">
      <c r="A35" s="85"/>
      <c r="B35" s="113" t="s">
        <v>366</v>
      </c>
      <c r="C35" s="85"/>
      <c r="D35" s="85"/>
      <c r="E35" s="85"/>
      <c r="F35" s="85"/>
    </row>
    <row r="36" spans="1:6" ht="16" x14ac:dyDescent="0.2">
      <c r="A36" s="85"/>
      <c r="B36" s="113" t="s">
        <v>367</v>
      </c>
      <c r="C36" s="85"/>
      <c r="D36" s="85"/>
      <c r="E36" s="85"/>
      <c r="F36" s="85"/>
    </row>
    <row r="37" spans="1:6" ht="16" x14ac:dyDescent="0.2">
      <c r="A37" s="85"/>
      <c r="B37" s="113" t="s">
        <v>368</v>
      </c>
      <c r="C37" s="85"/>
      <c r="D37" s="85"/>
      <c r="E37" s="85"/>
      <c r="F37" s="85"/>
    </row>
    <row r="38" spans="1:6" ht="16" x14ac:dyDescent="0.2">
      <c r="A38" s="85"/>
      <c r="B38" s="85"/>
      <c r="C38" s="85"/>
      <c r="D38" s="85"/>
      <c r="E38" s="85"/>
      <c r="F38" s="85"/>
    </row>
    <row r="39" spans="1:6" ht="16" x14ac:dyDescent="0.2">
      <c r="A39" s="85"/>
      <c r="B39" s="409" t="s">
        <v>369</v>
      </c>
      <c r="C39" s="409"/>
      <c r="D39" s="409"/>
      <c r="E39" s="409"/>
      <c r="F39" s="409"/>
    </row>
    <row r="40" spans="1:6" ht="16" x14ac:dyDescent="0.2">
      <c r="A40" s="85"/>
      <c r="B40" s="409"/>
      <c r="C40" s="409"/>
      <c r="D40" s="409"/>
      <c r="E40" s="409"/>
      <c r="F40" s="409"/>
    </row>
    <row r="41" spans="1:6" ht="16" x14ac:dyDescent="0.2">
      <c r="A41" s="114"/>
      <c r="B41" s="114"/>
      <c r="C41" s="114"/>
      <c r="D41" s="114"/>
      <c r="E41" s="114"/>
      <c r="F41" s="114"/>
    </row>
    <row r="42" spans="1:6" ht="16" x14ac:dyDescent="0.2">
      <c r="A42" s="114"/>
      <c r="B42" s="115" t="s">
        <v>370</v>
      </c>
      <c r="C42" s="115"/>
      <c r="D42" s="115"/>
      <c r="E42" s="115"/>
      <c r="F42" s="115"/>
    </row>
    <row r="43" spans="1:6" ht="16" x14ac:dyDescent="0.2">
      <c r="A43" s="114"/>
      <c r="B43" s="116" t="s">
        <v>371</v>
      </c>
      <c r="C43" s="116" t="s">
        <v>372</v>
      </c>
      <c r="D43" s="116" t="s">
        <v>83</v>
      </c>
      <c r="E43" s="116" t="s">
        <v>1</v>
      </c>
      <c r="F43" s="116" t="s">
        <v>307</v>
      </c>
    </row>
    <row r="44" spans="1:6" ht="16" x14ac:dyDescent="0.2">
      <c r="A44" s="114"/>
      <c r="B44" s="117">
        <v>0.05</v>
      </c>
      <c r="C44" s="118">
        <f>1/B44</f>
        <v>20</v>
      </c>
      <c r="D44" s="119">
        <f>'📊 Scenario Summary'!$C$13*C44</f>
        <v>867.11119999999994</v>
      </c>
      <c r="E44" s="120">
        <f>D44/'🎛️ Assumptions'!$C$48</f>
        <v>14.451853333333332</v>
      </c>
      <c r="F44" s="121" t="str">
        <f>IF(E44&gt;=8,"✅ top quartile",IF(E44&gt;=3,"✅ healthy","⚠️ review CAC"))</f>
        <v>✅ top quartile</v>
      </c>
    </row>
    <row r="45" spans="1:6" ht="16" x14ac:dyDescent="0.2">
      <c r="A45" s="114"/>
      <c r="B45" s="117">
        <v>0.06</v>
      </c>
      <c r="C45" s="118">
        <f t="shared" ref="C45:C50" si="0">1/B45</f>
        <v>16.666666666666668</v>
      </c>
      <c r="D45" s="119">
        <f>'📊 Scenario Summary'!$C$13*C45</f>
        <v>722.59266666666667</v>
      </c>
      <c r="E45" s="120">
        <f>D45/'🎛️ Assumptions'!$C$48</f>
        <v>12.043211111111111</v>
      </c>
      <c r="F45" s="121" t="str">
        <f>IF(E45&gt;=8,"✅ top quartile",IF(E45&gt;=3,"✅ healthy","⚠️ review CAC"))</f>
        <v>✅ top quartile</v>
      </c>
    </row>
    <row r="46" spans="1:6" ht="16" x14ac:dyDescent="0.2">
      <c r="A46" s="114"/>
      <c r="B46" s="117">
        <v>7.0000000000000007E-2</v>
      </c>
      <c r="C46" s="118">
        <f t="shared" si="0"/>
        <v>14.285714285714285</v>
      </c>
      <c r="D46" s="119">
        <f>'📊 Scenario Summary'!$C$13*C46</f>
        <v>619.36514285714281</v>
      </c>
      <c r="E46" s="120">
        <f>D46/'🎛️ Assumptions'!$C$48</f>
        <v>10.32275238095238</v>
      </c>
      <c r="F46" s="121" t="str">
        <f>IF(E46&gt;=8,"✅ top quartile",IF(E46&gt;=3,"✅ healthy","⚠️ review CAC"))</f>
        <v>✅ top quartile</v>
      </c>
    </row>
    <row r="47" spans="1:6" ht="16" x14ac:dyDescent="0.2">
      <c r="A47" s="114"/>
      <c r="B47" s="122">
        <v>0.08</v>
      </c>
      <c r="C47" s="123">
        <f t="shared" si="0"/>
        <v>12.5</v>
      </c>
      <c r="D47" s="124">
        <f>'📊 Scenario Summary'!$C$13*C47</f>
        <v>541.94449999999995</v>
      </c>
      <c r="E47" s="125">
        <f>D47/'🎛️ Assumptions'!$C$48</f>
        <v>9.0324083333333327</v>
      </c>
      <c r="F47" s="126" t="str">
        <f>IF(E47&gt;=8,"✅ top quartile",IF(E47&gt;=3,"✅ healthy","⚠️ review CAC"))</f>
        <v>✅ top quartile</v>
      </c>
    </row>
    <row r="48" spans="1:6" ht="16" x14ac:dyDescent="0.2">
      <c r="A48" s="114"/>
      <c r="B48" s="117">
        <v>0.1</v>
      </c>
      <c r="C48" s="118">
        <f t="shared" si="0"/>
        <v>10</v>
      </c>
      <c r="D48" s="119">
        <f>'📊 Scenario Summary'!$C$13*C48</f>
        <v>433.55559999999997</v>
      </c>
      <c r="E48" s="120">
        <f>D48/'🎛️ Assumptions'!$C$48</f>
        <v>7.2259266666666662</v>
      </c>
      <c r="F48" s="121" t="str">
        <f>IF(E48&gt;=8,"✅ top quartile",IF(E48&gt;=3,"✅ healthy","⚠️ review CAC"))</f>
        <v>✅ healthy</v>
      </c>
    </row>
    <row r="49" spans="1:6" ht="16" x14ac:dyDescent="0.2">
      <c r="A49" s="114"/>
      <c r="B49" s="117">
        <v>0.12</v>
      </c>
      <c r="C49" s="118">
        <f t="shared" si="0"/>
        <v>8.3333333333333339</v>
      </c>
      <c r="D49" s="119">
        <f>'📊 Scenario Summary'!$C$13*C49</f>
        <v>361.29633333333334</v>
      </c>
      <c r="E49" s="120">
        <f>D49/'🎛️ Assumptions'!$C$48</f>
        <v>6.0216055555555554</v>
      </c>
      <c r="F49" s="121" t="str">
        <f>IF(E49&gt;=8,"✅ top quartile",IF(E49&gt;=3,"✅ healthy","⚠️ review CAC"))</f>
        <v>✅ healthy</v>
      </c>
    </row>
    <row r="50" spans="1:6" ht="16" x14ac:dyDescent="0.2">
      <c r="A50" s="114"/>
      <c r="B50" s="117">
        <v>0.15</v>
      </c>
      <c r="C50" s="118">
        <f t="shared" si="0"/>
        <v>6.666666666666667</v>
      </c>
      <c r="D50" s="119">
        <f>'📊 Scenario Summary'!$C$13*C50</f>
        <v>289.03706666666665</v>
      </c>
      <c r="E50" s="120">
        <f>D50/'🎛️ Assumptions'!$C$48</f>
        <v>4.8172844444444438</v>
      </c>
      <c r="F50" s="121" t="str">
        <f>IF(E50&gt;=8,"✅ top quartile",IF(E50&gt;=3,"✅ healthy","⚠️ review CAC"))</f>
        <v>✅ healthy</v>
      </c>
    </row>
    <row r="51" spans="1:6" ht="16" x14ac:dyDescent="0.2">
      <c r="A51" s="114"/>
      <c r="B51" s="410" t="s">
        <v>373</v>
      </c>
      <c r="C51" s="410"/>
      <c r="D51" s="410"/>
      <c r="E51" s="410"/>
      <c r="F51" s="410"/>
    </row>
    <row r="52" spans="1:6" x14ac:dyDescent="0.2">
      <c r="A52" s="15"/>
      <c r="B52" s="411"/>
      <c r="C52" s="411"/>
      <c r="D52" s="411"/>
      <c r="E52" s="411"/>
      <c r="F52" s="411"/>
    </row>
  </sheetData>
  <mergeCells count="2">
    <mergeCell ref="B39:F40"/>
    <mergeCell ref="B51:F5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1764-CEC1-CA46-8168-81A947331983}">
  <sheetPr>
    <tabColor rgb="FFC08497"/>
  </sheetPr>
  <dimension ref="B2:F24"/>
  <sheetViews>
    <sheetView showGridLines="0" zoomScale="150" zoomScaleNormal="150" workbookViewId="0">
      <selection activeCell="B13" sqref="B13"/>
    </sheetView>
  </sheetViews>
  <sheetFormatPr baseColWidth="10" defaultRowHeight="15" x14ac:dyDescent="0.2"/>
  <cols>
    <col min="1" max="1" width="3" customWidth="1"/>
    <col min="2" max="2" width="40" customWidth="1"/>
    <col min="3" max="5" width="18" customWidth="1"/>
    <col min="6" max="6" width="34" customWidth="1"/>
  </cols>
  <sheetData>
    <row r="2" spans="2:6" ht="26" x14ac:dyDescent="0.3">
      <c r="B2" s="37" t="s">
        <v>374</v>
      </c>
      <c r="C2" s="15"/>
      <c r="D2" s="15"/>
      <c r="E2" s="15"/>
      <c r="F2" s="15"/>
    </row>
    <row r="3" spans="2:6" x14ac:dyDescent="0.2">
      <c r="B3" s="393" t="str">
        <f>"Consolidated from 📊 Monthly Base · active scenario: "&amp;'🔧 Active Scenario'!B2&amp;" · values recalculate when switching scenario"</f>
        <v>Consolidated from 📊 Monthly Base · active scenario: Conservative · values recalculate when switching scenario</v>
      </c>
      <c r="C3" s="393"/>
      <c r="D3" s="393"/>
      <c r="E3" s="393"/>
      <c r="F3" s="393"/>
    </row>
    <row r="4" spans="2:6" ht="5" customHeight="1" x14ac:dyDescent="0.2">
      <c r="B4" s="18"/>
      <c r="C4" s="18"/>
      <c r="D4" s="18"/>
      <c r="E4" s="18"/>
      <c r="F4" s="19"/>
    </row>
    <row r="5" spans="2:6" x14ac:dyDescent="0.2">
      <c r="B5" s="15"/>
      <c r="C5" s="15"/>
      <c r="D5" s="15"/>
      <c r="E5" s="15"/>
      <c r="F5" s="15"/>
    </row>
    <row r="6" spans="2:6" x14ac:dyDescent="0.2">
      <c r="B6" s="127" t="s">
        <v>375</v>
      </c>
      <c r="C6" s="128" t="s">
        <v>376</v>
      </c>
      <c r="D6" s="128" t="s">
        <v>377</v>
      </c>
      <c r="E6" s="128" t="s">
        <v>95</v>
      </c>
      <c r="F6" s="129" t="s">
        <v>262</v>
      </c>
    </row>
    <row r="7" spans="2:6" x14ac:dyDescent="0.2">
      <c r="B7" s="42" t="s">
        <v>378</v>
      </c>
      <c r="C7" s="130">
        <f>SUM('📊 Monthly Base'!C11:N11)</f>
        <v>1947589.4</v>
      </c>
      <c r="D7" s="130">
        <f>SUM('📊 Monthly Base'!O11:Z11)</f>
        <v>4690672.8</v>
      </c>
      <c r="E7" s="131">
        <f>C7+D7</f>
        <v>6638262.1999999993</v>
      </c>
      <c r="F7" s="132" t="s">
        <v>393</v>
      </c>
    </row>
    <row r="8" spans="2:6" x14ac:dyDescent="0.2">
      <c r="B8" s="57" t="s">
        <v>379</v>
      </c>
      <c r="C8" s="130">
        <f>-SUM('📊 Monthly Base'!C21:N21)</f>
        <v>-253186.622</v>
      </c>
      <c r="D8" s="130">
        <f>-SUM('📊 Monthly Base'!O21:Z21)</f>
        <v>-609787.46399999992</v>
      </c>
      <c r="E8" s="130">
        <f>C8+D8</f>
        <v>-862974.08599999989</v>
      </c>
      <c r="F8" s="132" t="str">
        <f>"Simples Nacional "&amp;TEXT('🔧 Active Scenario'!B59,"0.0%")&amp;" on MRR"</f>
        <v>Simples Nacional 13% on MRR</v>
      </c>
    </row>
    <row r="9" spans="2:6" x14ac:dyDescent="0.2">
      <c r="B9" s="42" t="s">
        <v>380</v>
      </c>
      <c r="C9" s="131">
        <f>C7+C8</f>
        <v>1694402.7779999999</v>
      </c>
      <c r="D9" s="131">
        <f>D7+D8</f>
        <v>4080885.3360000001</v>
      </c>
      <c r="E9" s="131">
        <f>C9+D9</f>
        <v>5775288.1140000001</v>
      </c>
      <c r="F9" s="15"/>
    </row>
    <row r="10" spans="2:6" x14ac:dyDescent="0.2">
      <c r="B10" s="57" t="s">
        <v>381</v>
      </c>
      <c r="C10" s="130">
        <f>-SUM('📊 Monthly Base'!C18:N18)</f>
        <v>-294218.78499000007</v>
      </c>
      <c r="D10" s="130">
        <f>-SUM('📊 Monthly Base'!O18:Z18)</f>
        <v>-705147.83117999998</v>
      </c>
      <c r="E10" s="130">
        <f>C10+D10</f>
        <v>-999366.61617000005</v>
      </c>
      <c r="F10" s="132" t="s">
        <v>394</v>
      </c>
    </row>
    <row r="11" spans="2:6" x14ac:dyDescent="0.2">
      <c r="B11" s="42" t="s">
        <v>382</v>
      </c>
      <c r="C11" s="131">
        <f>C9+C10</f>
        <v>1400183.9930099999</v>
      </c>
      <c r="D11" s="131">
        <f>D9+D10</f>
        <v>3375737.5048200004</v>
      </c>
      <c r="E11" s="131">
        <f>C11+D11</f>
        <v>4775921.4978299998</v>
      </c>
      <c r="F11" s="15"/>
    </row>
    <row r="12" spans="2:6" x14ac:dyDescent="0.2">
      <c r="B12" s="133" t="s">
        <v>383</v>
      </c>
      <c r="C12" s="134">
        <f>IF(C7=0,0,C11/C7)</f>
        <v>0.71893182054184512</v>
      </c>
      <c r="D12" s="134">
        <f>IF(D7=0,0,D11/D7)</f>
        <v>0.7196702155008553</v>
      </c>
      <c r="E12" s="134">
        <f>IF(E7=0,0,E11/E7)</f>
        <v>0.71945357895474515</v>
      </c>
      <c r="F12" s="15"/>
    </row>
    <row r="13" spans="2:6" x14ac:dyDescent="0.2">
      <c r="B13" s="57" t="s">
        <v>384</v>
      </c>
      <c r="C13" s="130">
        <f>-SUM('📊 Monthly Base'!C20:N20)</f>
        <v>-660000</v>
      </c>
      <c r="D13" s="130">
        <f>-SUM('📊 Monthly Base'!O20:Z20)</f>
        <v>-840000</v>
      </c>
      <c r="E13" s="130">
        <f t="shared" ref="E13:E18" si="0">C13+D13</f>
        <v>-1500000</v>
      </c>
      <c r="F13" s="132" t="s">
        <v>395</v>
      </c>
    </row>
    <row r="14" spans="2:6" x14ac:dyDescent="0.2">
      <c r="B14" s="135" t="s">
        <v>385</v>
      </c>
      <c r="C14" s="136">
        <f>-'🔧 Active Scenario'!B39*12</f>
        <v>-480000</v>
      </c>
      <c r="D14" s="136">
        <f>-'🔧 Active Scenario'!B40*12</f>
        <v>-600000</v>
      </c>
      <c r="E14" s="136">
        <f t="shared" si="0"/>
        <v>-1080000</v>
      </c>
      <c r="F14" s="15"/>
    </row>
    <row r="15" spans="2:6" x14ac:dyDescent="0.2">
      <c r="B15" s="135" t="s">
        <v>386</v>
      </c>
      <c r="C15" s="136">
        <f>-'🔧 Active Scenario'!B41*12</f>
        <v>-60000</v>
      </c>
      <c r="D15" s="136">
        <f>-'🔧 Active Scenario'!B42*12</f>
        <v>-84000</v>
      </c>
      <c r="E15" s="136">
        <f t="shared" si="0"/>
        <v>-144000</v>
      </c>
      <c r="F15" s="15"/>
    </row>
    <row r="16" spans="2:6" x14ac:dyDescent="0.2">
      <c r="B16" s="135" t="s">
        <v>387</v>
      </c>
      <c r="C16" s="136">
        <f>-'🔧 Active Scenario'!B43*12</f>
        <v>-60000</v>
      </c>
      <c r="D16" s="136">
        <f>-'🔧 Active Scenario'!B44*12</f>
        <v>-96000</v>
      </c>
      <c r="E16" s="136">
        <f t="shared" si="0"/>
        <v>-156000</v>
      </c>
      <c r="F16" s="15"/>
    </row>
    <row r="17" spans="2:6" x14ac:dyDescent="0.2">
      <c r="B17" s="135" t="s">
        <v>388</v>
      </c>
      <c r="C17" s="136">
        <f>-'🔧 Active Scenario'!B45*12</f>
        <v>-60000</v>
      </c>
      <c r="D17" s="136">
        <f>-'🔧 Active Scenario'!B45*12</f>
        <v>-60000</v>
      </c>
      <c r="E17" s="136">
        <f t="shared" si="0"/>
        <v>-120000</v>
      </c>
      <c r="F17" s="15"/>
    </row>
    <row r="18" spans="2:6" x14ac:dyDescent="0.2">
      <c r="B18" s="38" t="s">
        <v>389</v>
      </c>
      <c r="C18" s="137">
        <f>C11+C13</f>
        <v>740183.99300999986</v>
      </c>
      <c r="D18" s="137">
        <f>D11+D13</f>
        <v>2535737.5048200004</v>
      </c>
      <c r="E18" s="137">
        <f t="shared" si="0"/>
        <v>3275921.4978300002</v>
      </c>
      <c r="F18" s="132" t="s">
        <v>396</v>
      </c>
    </row>
    <row r="19" spans="2:6" x14ac:dyDescent="0.2">
      <c r="B19" s="138" t="s">
        <v>390</v>
      </c>
      <c r="C19" s="134">
        <f>IF(C7=0,0,C18/C7)</f>
        <v>0.38005135631257797</v>
      </c>
      <c r="D19" s="134">
        <f>IF(D7=0,0,D18/D7)</f>
        <v>0.5405914274856265</v>
      </c>
      <c r="E19" s="134">
        <f>IF(E7=0,0,E18/E7)</f>
        <v>0.49349082623310669</v>
      </c>
      <c r="F19" s="15"/>
    </row>
    <row r="20" spans="2:6" x14ac:dyDescent="0.2">
      <c r="B20" s="15"/>
      <c r="C20" s="139"/>
      <c r="D20" s="139"/>
      <c r="E20" s="139"/>
      <c r="F20" s="15"/>
    </row>
    <row r="21" spans="2:6" x14ac:dyDescent="0.2">
      <c r="B21" s="42" t="s">
        <v>391</v>
      </c>
      <c r="C21" s="140">
        <f>'📊 Monthly Base'!N25</f>
        <v>740183.99300999986</v>
      </c>
      <c r="D21" s="140">
        <f>'📊 Monthly Base'!Z25</f>
        <v>3275921.4978299998</v>
      </c>
      <c r="E21" s="139"/>
      <c r="F21" s="132" t="s">
        <v>397</v>
      </c>
    </row>
    <row r="22" spans="2:6" x14ac:dyDescent="0.2">
      <c r="B22" s="141" t="s">
        <v>392</v>
      </c>
      <c r="C22" s="142" t="str">
        <f>IF(ROUND(E18-D21,0)=0,"✅ matches","⚠️ diverges by R$ "&amp;TEXT(E18-D21,"#,##0"))</f>
        <v>✅ matches</v>
      </c>
      <c r="D22" s="143"/>
      <c r="E22" s="143"/>
      <c r="F22" s="80"/>
    </row>
    <row r="23" spans="2:6" x14ac:dyDescent="0.2">
      <c r="B23" s="15"/>
      <c r="C23" s="15"/>
      <c r="D23" s="15"/>
      <c r="E23" s="15"/>
      <c r="F23" s="15"/>
    </row>
    <row r="24" spans="2:6" ht="24" customHeight="1" x14ac:dyDescent="0.2">
      <c r="B24" s="408" t="s">
        <v>398</v>
      </c>
      <c r="C24" s="408"/>
      <c r="D24" s="408"/>
      <c r="E24" s="408"/>
      <c r="F24" s="408"/>
    </row>
  </sheetData>
  <mergeCells count="2">
    <mergeCell ref="B3:F3"/>
    <mergeCell ref="B24:F24"/>
  </mergeCells>
  <pageMargins left="0.511811024" right="0.511811024" top="0.78740157499999996" bottom="0.78740157499999996" header="0.31496062000000002" footer="0.31496062000000002"/>
  <ignoredErrors>
    <ignoredError sqref="E12 C10:D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2255-AF50-384C-B3B1-5961380D5562}">
  <sheetPr>
    <tabColor rgb="FFC08497"/>
  </sheetPr>
  <dimension ref="B2:Z19"/>
  <sheetViews>
    <sheetView showGridLines="0" zoomScale="150" zoomScaleNormal="150" workbookViewId="0">
      <pane xSplit="2" topLeftCell="C1" activePane="topRight" state="frozen"/>
      <selection pane="topRight" activeCell="H26" sqref="H26"/>
    </sheetView>
  </sheetViews>
  <sheetFormatPr baseColWidth="10" defaultRowHeight="15" x14ac:dyDescent="0.2"/>
  <cols>
    <col min="1" max="1" width="3" customWidth="1"/>
    <col min="2" max="2" width="30" customWidth="1"/>
    <col min="3" max="26" width="11.33203125" customWidth="1"/>
  </cols>
  <sheetData>
    <row r="2" spans="2:26" ht="26" x14ac:dyDescent="0.3">
      <c r="B2" s="37" t="s">
        <v>399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2:26" x14ac:dyDescent="0.2">
      <c r="B3" s="404" t="str">
        <f>"R$ "&amp;TEXT('🎛️ Assumptions'!B58,"#,##0")&amp;" investment at M1 + monthly operating result · scenario: "&amp;'🔧 Active Scenario'!B2</f>
        <v>R$ 1000000,0 investment at M1 + monthly operating result · scenario: Conservative</v>
      </c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2:26" ht="5" customHeight="1" x14ac:dyDescent="0.2">
      <c r="B4" s="18"/>
      <c r="C4" s="18"/>
      <c r="D4" s="18"/>
      <c r="E4" s="18"/>
      <c r="F4" s="18"/>
      <c r="G4" s="19"/>
      <c r="H4" s="19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2:26" x14ac:dyDescent="0.2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2:26" x14ac:dyDescent="0.2">
      <c r="B6" s="387" t="s">
        <v>400</v>
      </c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</row>
    <row r="7" spans="2:26" x14ac:dyDescent="0.2">
      <c r="B7" s="144" t="s">
        <v>216</v>
      </c>
      <c r="C7" s="145" t="str">
        <f>'📊 Monthly Base'!C3</f>
        <v>M01</v>
      </c>
      <c r="D7" s="145" t="str">
        <f>'📊 Monthly Base'!D3</f>
        <v>M02</v>
      </c>
      <c r="E7" s="145" t="str">
        <f>'📊 Monthly Base'!E3</f>
        <v>M03</v>
      </c>
      <c r="F7" s="145" t="str">
        <f>'📊 Monthly Base'!F3</f>
        <v>M04</v>
      </c>
      <c r="G7" s="145" t="str">
        <f>'📊 Monthly Base'!G3</f>
        <v>M05</v>
      </c>
      <c r="H7" s="145" t="str">
        <f>'📊 Monthly Base'!H3</f>
        <v xml:space="preserve">M06 </v>
      </c>
      <c r="I7" s="145" t="str">
        <f>'📊 Monthly Base'!I3</f>
        <v>M07</v>
      </c>
      <c r="J7" s="145" t="str">
        <f>'📊 Monthly Base'!J3</f>
        <v>M08</v>
      </c>
      <c r="K7" s="145" t="str">
        <f>'📊 Monthly Base'!K3</f>
        <v>M09</v>
      </c>
      <c r="L7" s="145" t="str">
        <f>'📊 Monthly Base'!L3</f>
        <v>M10</v>
      </c>
      <c r="M7" s="145" t="str">
        <f>'📊 Monthly Base'!M3</f>
        <v xml:space="preserve">M11 </v>
      </c>
      <c r="N7" s="145" t="str">
        <f>'📊 Monthly Base'!N3</f>
        <v>M12 ★</v>
      </c>
      <c r="O7" s="145" t="str">
        <f>'📊 Monthly Base'!O3</f>
        <v>M13</v>
      </c>
      <c r="P7" s="145" t="str">
        <f>'📊 Monthly Base'!P3</f>
        <v>M14</v>
      </c>
      <c r="Q7" s="145" t="str">
        <f>'📊 Monthly Base'!Q3</f>
        <v>M15</v>
      </c>
      <c r="R7" s="145" t="str">
        <f>'📊 Monthly Base'!R3</f>
        <v>M16</v>
      </c>
      <c r="S7" s="145" t="str">
        <f>'📊 Monthly Base'!S3</f>
        <v>M17</v>
      </c>
      <c r="T7" s="145" t="str">
        <f>'📊 Monthly Base'!T3</f>
        <v xml:space="preserve">M18 </v>
      </c>
      <c r="U7" s="145" t="str">
        <f>'📊 Monthly Base'!U3</f>
        <v>M19</v>
      </c>
      <c r="V7" s="145" t="str">
        <f>'📊 Monthly Base'!V3</f>
        <v>M20</v>
      </c>
      <c r="W7" s="145" t="str">
        <f>'📊 Monthly Base'!W3</f>
        <v>M21</v>
      </c>
      <c r="X7" s="145" t="str">
        <f>'📊 Monthly Base'!X3</f>
        <v>M22</v>
      </c>
      <c r="Y7" s="145" t="str">
        <f>'📊 Monthly Base'!Y3</f>
        <v>M23</v>
      </c>
      <c r="Z7" s="145" t="str">
        <f>'📊 Monthly Base'!Z3</f>
        <v>M24 ★</v>
      </c>
    </row>
    <row r="8" spans="2:26" x14ac:dyDescent="0.2">
      <c r="B8" s="146" t="s">
        <v>401</v>
      </c>
      <c r="C8" s="147">
        <f>IF(C7="M01",'🎛️ Assumptions'!$B$58,0)</f>
        <v>1000000</v>
      </c>
      <c r="D8" s="147">
        <f>IF(D7="M01",'🎛️ Assumptions'!$B$58,0)</f>
        <v>0</v>
      </c>
      <c r="E8" s="147">
        <f>IF(E7="M01",'🎛️ Assumptions'!$B$58,0)</f>
        <v>0</v>
      </c>
      <c r="F8" s="147">
        <f>IF(F7="M01",'🎛️ Assumptions'!$B$58,0)</f>
        <v>0</v>
      </c>
      <c r="G8" s="147">
        <f>IF(G7="M01",'🎛️ Assumptions'!$B$58,0)</f>
        <v>0</v>
      </c>
      <c r="H8" s="147">
        <f>IF(H7="M01",'🎛️ Assumptions'!$B$58,0)</f>
        <v>0</v>
      </c>
      <c r="I8" s="147">
        <f>IF(I7="M01",'🎛️ Assumptions'!$B$58,0)</f>
        <v>0</v>
      </c>
      <c r="J8" s="147">
        <f>IF(J7="M01",'🎛️ Assumptions'!$B$58,0)</f>
        <v>0</v>
      </c>
      <c r="K8" s="147">
        <f>IF(K7="M01",'🎛️ Assumptions'!$B$58,0)</f>
        <v>0</v>
      </c>
      <c r="L8" s="147">
        <f>IF(L7="M01",'🎛️ Assumptions'!$B$58,0)</f>
        <v>0</v>
      </c>
      <c r="M8" s="147">
        <f>IF(M7="M01",'🎛️ Assumptions'!$B$58,0)</f>
        <v>0</v>
      </c>
      <c r="N8" s="147">
        <f>IF(N7="M01",'🎛️ Assumptions'!$B$58,0)</f>
        <v>0</v>
      </c>
      <c r="O8" s="147">
        <f>IF(O7="M01",'🎛️ Assumptions'!$B$58,0)</f>
        <v>0</v>
      </c>
      <c r="P8" s="147">
        <f>IF(P7="M01",'🎛️ Assumptions'!$B$58,0)</f>
        <v>0</v>
      </c>
      <c r="Q8" s="147">
        <f>IF(Q7="M01",'🎛️ Assumptions'!$B$58,0)</f>
        <v>0</v>
      </c>
      <c r="R8" s="147">
        <f>IF(R7="M01",'🎛️ Assumptions'!$B$58,0)</f>
        <v>0</v>
      </c>
      <c r="S8" s="147">
        <f>IF(S7="M01",'🎛️ Assumptions'!$B$58,0)</f>
        <v>0</v>
      </c>
      <c r="T8" s="147">
        <f>IF(T7="M01",'🎛️ Assumptions'!$B$58,0)</f>
        <v>0</v>
      </c>
      <c r="U8" s="147">
        <f>IF(U7="M01",'🎛️ Assumptions'!$B$58,0)</f>
        <v>0</v>
      </c>
      <c r="V8" s="147">
        <f>IF(V7="M01",'🎛️ Assumptions'!$B$58,0)</f>
        <v>0</v>
      </c>
      <c r="W8" s="147">
        <f>IF(W7="M01",'🎛️ Assumptions'!$B$58,0)</f>
        <v>0</v>
      </c>
      <c r="X8" s="147">
        <f>IF(X7="M01",'🎛️ Assumptions'!$B$58,0)</f>
        <v>0</v>
      </c>
      <c r="Y8" s="147">
        <f>IF(Y7="M01",'🎛️ Assumptions'!$B$58,0)</f>
        <v>0</v>
      </c>
      <c r="Z8" s="147">
        <f>IF(Z7="M01",'🎛️ Assumptions'!$B$58,0)</f>
        <v>0</v>
      </c>
    </row>
    <row r="9" spans="2:26" x14ac:dyDescent="0.2">
      <c r="B9" s="146" t="s">
        <v>402</v>
      </c>
      <c r="C9" s="147">
        <f>'📊 Monthly Base'!C24</f>
        <v>-39903.990699999995</v>
      </c>
      <c r="D9" s="147">
        <f>'📊 Monthly Base'!D24</f>
        <v>-17668.580590000005</v>
      </c>
      <c r="E9" s="147">
        <f>'📊 Monthly Base'!E24</f>
        <v>3441.7705699999933</v>
      </c>
      <c r="F9" s="147">
        <f>'📊 Monthly Base'!F24</f>
        <v>23230.937149999998</v>
      </c>
      <c r="G9" s="147">
        <f>'📊 Monthly Base'!G24</f>
        <v>41872.273489999992</v>
      </c>
      <c r="H9" s="147">
        <f>'📊 Monthly Base'!H24</f>
        <v>59384.704850000009</v>
      </c>
      <c r="I9" s="147">
        <f>'📊 Monthly Base'!I24</f>
        <v>75810.174589999981</v>
      </c>
      <c r="J9" s="147">
        <f>'📊 Monthly Base'!J24</f>
        <v>91280.09368999998</v>
      </c>
      <c r="K9" s="147">
        <f>'📊 Monthly Base'!K24</f>
        <v>105873.98957000001</v>
      </c>
      <c r="L9" s="147">
        <f>'📊 Monthly Base'!L24</f>
        <v>119610.78748999996</v>
      </c>
      <c r="M9" s="147">
        <f>'📊 Monthly Base'!M24</f>
        <v>132546.73030999998</v>
      </c>
      <c r="N9" s="147">
        <f>'📊 Monthly Base'!N24</f>
        <v>144705.10258999997</v>
      </c>
      <c r="O9" s="147">
        <f>'📊 Monthly Base'!O24</f>
        <v>144949.37427500001</v>
      </c>
      <c r="P9" s="147">
        <f>'📊 Monthly Base'!P24</f>
        <v>159453.26961500003</v>
      </c>
      <c r="Q9" s="147">
        <f>'📊 Monthly Base'!Q24</f>
        <v>173100.06699499997</v>
      </c>
      <c r="R9" s="147">
        <f>'📊 Monthly Base'!R24</f>
        <v>185983.59333500001</v>
      </c>
      <c r="S9" s="147">
        <f>'📊 Monthly Base'!S24</f>
        <v>198127.13319499991</v>
      </c>
      <c r="T9" s="147">
        <f>'📊 Monthly Base'!T24</f>
        <v>209582.57013500002</v>
      </c>
      <c r="U9" s="147">
        <f>'📊 Monthly Base'!U24</f>
        <v>220377.54801499998</v>
      </c>
      <c r="V9" s="147">
        <f>'📊 Monthly Base'!V24</f>
        <v>230563.95039500005</v>
      </c>
      <c r="W9" s="147">
        <f>'📊 Monthly Base'!W24</f>
        <v>240221.30469499997</v>
      </c>
      <c r="X9" s="147">
        <f>'📊 Monthly Base'!X24</f>
        <v>249349.61091499997</v>
      </c>
      <c r="Y9" s="147">
        <f>'📊 Monthly Base'!Y24</f>
        <v>257930.21025500001</v>
      </c>
      <c r="Z9" s="147">
        <f>'📊 Monthly Base'!Z24</f>
        <v>266098.87299499998</v>
      </c>
    </row>
    <row r="10" spans="2:26" x14ac:dyDescent="0.2">
      <c r="B10" s="148" t="s">
        <v>403</v>
      </c>
      <c r="C10" s="149">
        <f>C8+C9</f>
        <v>960096.00930000003</v>
      </c>
      <c r="D10" s="149">
        <f>C10+D8+D9</f>
        <v>942427.42871000001</v>
      </c>
      <c r="E10" s="149">
        <f t="shared" ref="E10:Z10" si="0">D10+E8+E9</f>
        <v>945869.19928000006</v>
      </c>
      <c r="F10" s="149">
        <f t="shared" si="0"/>
        <v>969100.13643000007</v>
      </c>
      <c r="G10" s="149">
        <f t="shared" si="0"/>
        <v>1010972.40992</v>
      </c>
      <c r="H10" s="149">
        <f t="shared" si="0"/>
        <v>1070357.1147700001</v>
      </c>
      <c r="I10" s="149">
        <f t="shared" si="0"/>
        <v>1146167.2893600001</v>
      </c>
      <c r="J10" s="149">
        <f t="shared" si="0"/>
        <v>1237447.3830500001</v>
      </c>
      <c r="K10" s="149">
        <f t="shared" si="0"/>
        <v>1343321.37262</v>
      </c>
      <c r="L10" s="149">
        <f t="shared" si="0"/>
        <v>1462932.1601100001</v>
      </c>
      <c r="M10" s="149">
        <f t="shared" si="0"/>
        <v>1595478.8904200001</v>
      </c>
      <c r="N10" s="149">
        <f t="shared" si="0"/>
        <v>1740183.9930100001</v>
      </c>
      <c r="O10" s="149">
        <f t="shared" si="0"/>
        <v>1885133.3672850002</v>
      </c>
      <c r="P10" s="149">
        <f t="shared" si="0"/>
        <v>2044586.6369000003</v>
      </c>
      <c r="Q10" s="149">
        <f t="shared" si="0"/>
        <v>2217686.7038950003</v>
      </c>
      <c r="R10" s="149">
        <f t="shared" si="0"/>
        <v>2403670.2972300001</v>
      </c>
      <c r="S10" s="149">
        <f t="shared" si="0"/>
        <v>2601797.4304249999</v>
      </c>
      <c r="T10" s="149">
        <f t="shared" si="0"/>
        <v>2811380.0005600001</v>
      </c>
      <c r="U10" s="149">
        <f t="shared" si="0"/>
        <v>3031757.5485749999</v>
      </c>
      <c r="V10" s="149">
        <f t="shared" si="0"/>
        <v>3262321.4989700001</v>
      </c>
      <c r="W10" s="149">
        <f t="shared" si="0"/>
        <v>3502542.803665</v>
      </c>
      <c r="X10" s="149">
        <f t="shared" si="0"/>
        <v>3751892.4145800001</v>
      </c>
      <c r="Y10" s="149">
        <f t="shared" si="0"/>
        <v>4009822.6248349999</v>
      </c>
      <c r="Z10" s="149">
        <f t="shared" si="0"/>
        <v>4275921.4978299998</v>
      </c>
    </row>
    <row r="11" spans="2:26" x14ac:dyDescent="0.2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2:26" x14ac:dyDescent="0.2">
      <c r="B12" s="387" t="s">
        <v>404</v>
      </c>
      <c r="C12" s="387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</row>
    <row r="13" spans="2:26" x14ac:dyDescent="0.2">
      <c r="B13" s="50" t="s">
        <v>405</v>
      </c>
      <c r="C13" s="412">
        <f>MIN(C10:Z10)</f>
        <v>942427.42871000001</v>
      </c>
      <c r="D13" s="412"/>
      <c r="E13" s="412"/>
      <c r="F13" s="412"/>
      <c r="G13" s="415" t="str">
        <f>"occurs at "&amp;INDEX(C7:Z7,MATCH(MIN(C10:Z10),C10:Z10,0))&amp;" — "&amp;IF(MIN(C10:Z10)&gt;0,"investment covers entire curve: cash never goes negative ✅","⚠️ cash goes negative: review assumptions or investment")</f>
        <v>occurs at M02 — investment covers entire curve: cash never goes negative ✅</v>
      </c>
      <c r="H13" s="415"/>
      <c r="I13" s="415"/>
      <c r="J13" s="415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15"/>
      <c r="V13" s="15"/>
      <c r="W13" s="15"/>
      <c r="X13" s="15"/>
      <c r="Y13" s="15"/>
      <c r="Z13" s="15"/>
    </row>
    <row r="14" spans="2:26" x14ac:dyDescent="0.2">
      <c r="B14" s="50" t="s">
        <v>406</v>
      </c>
      <c r="C14" s="412">
        <f>Z10</f>
        <v>4275921.4978299998</v>
      </c>
      <c r="D14" s="412"/>
      <c r="E14" s="412"/>
      <c r="F14" s="412"/>
      <c r="G14" s="415" t="s">
        <v>410</v>
      </c>
      <c r="H14" s="415"/>
      <c r="I14" s="415"/>
      <c r="J14" s="415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15"/>
      <c r="V14" s="15"/>
      <c r="W14" s="15"/>
      <c r="X14" s="15"/>
      <c r="Y14" s="15"/>
      <c r="Z14" s="15"/>
    </row>
    <row r="15" spans="2:26" x14ac:dyDescent="0.2">
      <c r="B15" s="50" t="s">
        <v>407</v>
      </c>
      <c r="C15" s="412">
        <f>IFERROR(AVERAGEIF(C9:Z9,"&lt;0"),0)</f>
        <v>-28786.285645</v>
      </c>
      <c r="D15" s="412"/>
      <c r="E15" s="412"/>
      <c r="F15" s="412"/>
      <c r="G15" s="415" t="s">
        <v>411</v>
      </c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15"/>
      <c r="V15" s="15"/>
      <c r="W15" s="15"/>
      <c r="X15" s="15"/>
      <c r="Y15" s="15"/>
      <c r="Z15" s="15"/>
    </row>
    <row r="16" spans="2:26" x14ac:dyDescent="0.2">
      <c r="B16" s="50" t="s">
        <v>408</v>
      </c>
      <c r="C16" s="413">
        <f>'🎛️ Assumptions'!B58/AVERAGE('📊 Monthly Base'!C20:N20)</f>
        <v>18.181818181818183</v>
      </c>
      <c r="D16" s="413"/>
      <c r="E16" s="413"/>
      <c r="F16" s="413"/>
      <c r="G16" s="415" t="s">
        <v>412</v>
      </c>
      <c r="H16" s="415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15"/>
      <c r="V16" s="15"/>
      <c r="W16" s="15"/>
      <c r="X16" s="15"/>
      <c r="Y16" s="15"/>
      <c r="Z16" s="15"/>
    </row>
    <row r="17" spans="2:26" x14ac:dyDescent="0.2">
      <c r="B17" s="50" t="s">
        <v>409</v>
      </c>
      <c r="C17" s="414" t="str" cm="1">
        <f t="array" ref="C17">IFERROR("M"&amp;MATCH(TRUE,INDEX('📊 Monthly Base'!C25:Z25&gt;0,0),0),"&gt;24m")</f>
        <v>M5</v>
      </c>
      <c r="D17" s="414"/>
      <c r="E17" s="414"/>
      <c r="F17" s="414"/>
      <c r="G17" s="415" t="s">
        <v>413</v>
      </c>
      <c r="H17" s="415"/>
      <c r="I17" s="415"/>
      <c r="J17" s="415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15"/>
      <c r="V17" s="15"/>
      <c r="W17" s="15"/>
      <c r="X17" s="15"/>
      <c r="Y17" s="15"/>
      <c r="Z17" s="15"/>
    </row>
    <row r="18" spans="2:26" x14ac:dyDescent="0.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2:26" x14ac:dyDescent="0.2">
      <c r="B19" s="407" t="s">
        <v>414</v>
      </c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</sheetData>
  <mergeCells count="14">
    <mergeCell ref="B3:N3"/>
    <mergeCell ref="B19:N19"/>
    <mergeCell ref="C13:F13"/>
    <mergeCell ref="C14:F14"/>
    <mergeCell ref="C15:F15"/>
    <mergeCell ref="C16:F16"/>
    <mergeCell ref="C17:F17"/>
    <mergeCell ref="G13:T13"/>
    <mergeCell ref="G14:T14"/>
    <mergeCell ref="G15:T15"/>
    <mergeCell ref="G16:T16"/>
    <mergeCell ref="G17:T17"/>
    <mergeCell ref="B6:Z6"/>
    <mergeCell ref="B12:Z1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FA0D-8CC6-CB47-92D4-DBD3FD36D199}">
  <sheetPr>
    <tabColor rgb="FF9B6A7D"/>
  </sheetPr>
  <dimension ref="B2:F32"/>
  <sheetViews>
    <sheetView showGridLines="0" topLeftCell="A11" zoomScale="150" zoomScaleNormal="150" workbookViewId="0">
      <selection activeCell="C30" sqref="C30"/>
    </sheetView>
  </sheetViews>
  <sheetFormatPr baseColWidth="10" defaultRowHeight="15" x14ac:dyDescent="0.2"/>
  <cols>
    <col min="1" max="1" width="3" customWidth="1"/>
    <col min="2" max="2" width="40" customWidth="1"/>
    <col min="3" max="4" width="16" customWidth="1"/>
    <col min="5" max="5" width="70" customWidth="1"/>
    <col min="6" max="6" width="24" customWidth="1"/>
  </cols>
  <sheetData>
    <row r="2" spans="2:6" ht="26" x14ac:dyDescent="0.3">
      <c r="B2" s="37" t="s">
        <v>415</v>
      </c>
      <c r="C2" s="15"/>
      <c r="D2" s="15"/>
      <c r="E2" s="15"/>
      <c r="F2" s="15"/>
    </row>
    <row r="3" spans="2:6" x14ac:dyDescent="0.2">
      <c r="B3" s="404" t="s">
        <v>416</v>
      </c>
      <c r="C3" s="404"/>
      <c r="D3" s="404"/>
      <c r="E3" s="404"/>
      <c r="F3" s="404"/>
    </row>
    <row r="4" spans="2:6" ht="5" customHeight="1" x14ac:dyDescent="0.2">
      <c r="B4" s="18"/>
      <c r="C4" s="18"/>
      <c r="D4" s="18"/>
      <c r="E4" s="18"/>
      <c r="F4" s="19"/>
    </row>
    <row r="5" spans="2:6" x14ac:dyDescent="0.2">
      <c r="B5" s="15"/>
      <c r="C5" s="15"/>
      <c r="D5" s="15"/>
      <c r="E5" s="15"/>
      <c r="F5" s="15"/>
    </row>
    <row r="6" spans="2:6" x14ac:dyDescent="0.2">
      <c r="B6" s="387" t="s">
        <v>417</v>
      </c>
      <c r="C6" s="387"/>
      <c r="D6" s="387"/>
      <c r="E6" s="387"/>
      <c r="F6" s="387"/>
    </row>
    <row r="7" spans="2:6" x14ac:dyDescent="0.2">
      <c r="B7" s="40" t="s">
        <v>418</v>
      </c>
      <c r="C7" s="41" t="s">
        <v>419</v>
      </c>
      <c r="D7" s="41" t="s">
        <v>420</v>
      </c>
      <c r="E7" s="40" t="s">
        <v>421</v>
      </c>
      <c r="F7" s="40" t="s">
        <v>422</v>
      </c>
    </row>
    <row r="8" spans="2:6" ht="30" customHeight="1" x14ac:dyDescent="0.2">
      <c r="B8" s="150" t="s">
        <v>423</v>
      </c>
      <c r="C8" s="151" t="s">
        <v>431</v>
      </c>
      <c r="D8" s="152" t="s">
        <v>433</v>
      </c>
      <c r="E8" s="153" t="s">
        <v>434</v>
      </c>
      <c r="F8" s="82" t="s">
        <v>442</v>
      </c>
    </row>
    <row r="9" spans="2:6" ht="30" customHeight="1" x14ac:dyDescent="0.2">
      <c r="B9" s="150" t="s">
        <v>424</v>
      </c>
      <c r="C9" s="151" t="s">
        <v>431</v>
      </c>
      <c r="D9" s="152" t="s">
        <v>433</v>
      </c>
      <c r="E9" s="153" t="s">
        <v>435</v>
      </c>
      <c r="F9" s="82" t="s">
        <v>443</v>
      </c>
    </row>
    <row r="10" spans="2:6" ht="30" customHeight="1" x14ac:dyDescent="0.2">
      <c r="B10" s="150" t="s">
        <v>425</v>
      </c>
      <c r="C10" s="151" t="s">
        <v>432</v>
      </c>
      <c r="D10" s="152" t="s">
        <v>433</v>
      </c>
      <c r="E10" s="153" t="s">
        <v>436</v>
      </c>
      <c r="F10" s="82" t="s">
        <v>444</v>
      </c>
    </row>
    <row r="11" spans="2:6" ht="30" customHeight="1" x14ac:dyDescent="0.2">
      <c r="B11" s="150" t="s">
        <v>426</v>
      </c>
      <c r="C11" s="151" t="s">
        <v>431</v>
      </c>
      <c r="D11" s="152" t="s">
        <v>431</v>
      </c>
      <c r="E11" s="153" t="s">
        <v>437</v>
      </c>
      <c r="F11" s="82" t="s">
        <v>445</v>
      </c>
    </row>
    <row r="12" spans="2:6" ht="30" customHeight="1" x14ac:dyDescent="0.2">
      <c r="B12" s="150" t="s">
        <v>427</v>
      </c>
      <c r="C12" s="152" t="s">
        <v>433</v>
      </c>
      <c r="D12" s="152" t="s">
        <v>431</v>
      </c>
      <c r="E12" s="153" t="s">
        <v>438</v>
      </c>
      <c r="F12" s="82" t="s">
        <v>446</v>
      </c>
    </row>
    <row r="13" spans="2:6" ht="30" customHeight="1" x14ac:dyDescent="0.2">
      <c r="B13" s="150" t="s">
        <v>428</v>
      </c>
      <c r="C13" s="151" t="s">
        <v>432</v>
      </c>
      <c r="D13" s="152" t="s">
        <v>433</v>
      </c>
      <c r="E13" s="153" t="s">
        <v>439</v>
      </c>
      <c r="F13" s="82" t="s">
        <v>447</v>
      </c>
    </row>
    <row r="14" spans="2:6" ht="30" customHeight="1" x14ac:dyDescent="0.2">
      <c r="B14" s="150" t="s">
        <v>429</v>
      </c>
      <c r="C14" s="151" t="s">
        <v>431</v>
      </c>
      <c r="D14" s="152" t="s">
        <v>433</v>
      </c>
      <c r="E14" s="153" t="s">
        <v>440</v>
      </c>
      <c r="F14" s="82" t="s">
        <v>448</v>
      </c>
    </row>
    <row r="15" spans="2:6" ht="30" customHeight="1" x14ac:dyDescent="0.2">
      <c r="B15" s="154" t="s">
        <v>430</v>
      </c>
      <c r="C15" s="155" t="s">
        <v>431</v>
      </c>
      <c r="D15" s="156" t="s">
        <v>431</v>
      </c>
      <c r="E15" s="157" t="s">
        <v>441</v>
      </c>
      <c r="F15" s="158" t="s">
        <v>449</v>
      </c>
    </row>
    <row r="16" spans="2:6" x14ac:dyDescent="0.2">
      <c r="B16" s="15"/>
      <c r="C16" s="15"/>
      <c r="D16" s="15"/>
      <c r="E16" s="15"/>
      <c r="F16" s="15"/>
    </row>
    <row r="17" spans="2:6" x14ac:dyDescent="0.2">
      <c r="B17" s="387" t="s">
        <v>450</v>
      </c>
      <c r="C17" s="387"/>
      <c r="D17" s="387"/>
      <c r="E17" s="387"/>
      <c r="F17" s="387"/>
    </row>
    <row r="18" spans="2:6" x14ac:dyDescent="0.2">
      <c r="B18" s="40" t="s">
        <v>451</v>
      </c>
      <c r="C18" s="405" t="s">
        <v>452</v>
      </c>
      <c r="D18" s="405"/>
      <c r="E18" s="40" t="s">
        <v>453</v>
      </c>
      <c r="F18" s="40" t="s">
        <v>454</v>
      </c>
    </row>
    <row r="19" spans="2:6" ht="30" customHeight="1" x14ac:dyDescent="0.2">
      <c r="B19" s="159" t="s">
        <v>455</v>
      </c>
      <c r="C19" s="416" t="s">
        <v>96</v>
      </c>
      <c r="D19" s="416"/>
      <c r="E19" s="153" t="s">
        <v>460</v>
      </c>
      <c r="F19" s="160" t="str">
        <f>TEXT('📊 Monthly Base'!E9,"#,##0")&amp;" paying at M3"</f>
        <v>1437,0 paying at M3</v>
      </c>
    </row>
    <row r="20" spans="2:6" ht="30" customHeight="1" x14ac:dyDescent="0.2">
      <c r="B20" s="159" t="s">
        <v>456</v>
      </c>
      <c r="C20" s="416" t="s">
        <v>97</v>
      </c>
      <c r="D20" s="416"/>
      <c r="E20" s="153" t="s">
        <v>461</v>
      </c>
      <c r="F20" s="160" t="str" cm="1">
        <f t="array" ref="F20">"Cash breakeven at "&amp;IFERROR("M"&amp;MATCH(TRUE,INDEX('📊 Monthly Base'!C25:Z25&gt;0,0),0),"&gt;24m")</f>
        <v>Cash breakeven at M5</v>
      </c>
    </row>
    <row r="21" spans="2:6" ht="30" customHeight="1" x14ac:dyDescent="0.2">
      <c r="B21" s="159" t="s">
        <v>457</v>
      </c>
      <c r="C21" s="416" t="s">
        <v>98</v>
      </c>
      <c r="D21" s="416"/>
      <c r="E21" s="153" t="s">
        <v>462</v>
      </c>
      <c r="F21" s="160" t="str">
        <f>TEXT('📊 Monthly Base'!N9,"#,##0")&amp;" paying · MRR R$ "&amp;TEXT('📊 Monthly Base'!N11,"#,##0")&amp;" at M12"</f>
        <v>4819,0 paying · MRR R$ 277318,10 at M12</v>
      </c>
    </row>
    <row r="22" spans="2:6" ht="30" customHeight="1" x14ac:dyDescent="0.2">
      <c r="B22" s="159" t="s">
        <v>458</v>
      </c>
      <c r="C22" s="416" t="s">
        <v>99</v>
      </c>
      <c r="D22" s="416"/>
      <c r="E22" s="153" t="s">
        <v>463</v>
      </c>
      <c r="F22" s="160" t="str">
        <f>"MRR R$ "&amp;TEXT('📊 Monthly Base'!T11,"#,##0")&amp;" at M18"</f>
        <v>MRR R$ 388428,90 at M18</v>
      </c>
    </row>
    <row r="23" spans="2:6" ht="30" customHeight="1" x14ac:dyDescent="0.2">
      <c r="B23" s="161" t="s">
        <v>459</v>
      </c>
      <c r="C23" s="417" t="s">
        <v>100</v>
      </c>
      <c r="D23" s="417"/>
      <c r="E23" s="157" t="s">
        <v>464</v>
      </c>
      <c r="F23" s="162" t="str">
        <f>TEXT('📊 Monthly Base'!Z9,"#,##0")&amp;" paying · valuation R$ "&amp;TEXT(IF('🔧 Active Scenario'!B2="Conservative",'📊 Scenario Summary'!B21,IF('🔧 Active Scenario'!B2="Base",'📊 Scenario Summary'!C21,'📊 Scenario Summary'!D21))/1000000,"#,##0.0")&amp;"M"</f>
        <v>8027,0 paying · valuation R$ 19,9148M</v>
      </c>
    </row>
    <row r="24" spans="2:6" x14ac:dyDescent="0.2">
      <c r="B24" s="15"/>
      <c r="C24" s="15"/>
      <c r="D24" s="15"/>
      <c r="E24" s="15"/>
      <c r="F24" s="15"/>
    </row>
    <row r="25" spans="2:6" x14ac:dyDescent="0.2">
      <c r="B25" s="387" t="s">
        <v>465</v>
      </c>
      <c r="C25" s="387"/>
      <c r="D25" s="387"/>
      <c r="E25" s="387"/>
      <c r="F25" s="387"/>
    </row>
    <row r="26" spans="2:6" x14ac:dyDescent="0.2">
      <c r="B26" s="40" t="s">
        <v>261</v>
      </c>
      <c r="C26" s="41" t="s">
        <v>466</v>
      </c>
      <c r="D26" s="41" t="s">
        <v>467</v>
      </c>
      <c r="E26" s="40" t="s">
        <v>101</v>
      </c>
      <c r="F26" s="15"/>
    </row>
    <row r="27" spans="2:6" x14ac:dyDescent="0.2">
      <c r="B27" s="146" t="s">
        <v>87</v>
      </c>
      <c r="C27" s="163">
        <f>'🔧 Active Scenario'!B56</f>
        <v>6.886103125</v>
      </c>
      <c r="D27" s="76" t="s">
        <v>468</v>
      </c>
      <c r="E27" s="418" t="str">
        <f>IF(C27&gt;=3,"✅ within guard-rail","⚠️ below minimum — slow paid and review funnel")</f>
        <v>✅ within guard-rail</v>
      </c>
      <c r="F27" s="418"/>
    </row>
    <row r="28" spans="2:6" x14ac:dyDescent="0.2">
      <c r="B28" s="146" t="s">
        <v>470</v>
      </c>
      <c r="C28" s="164">
        <f>'🔧 Active Scenario'!B57</f>
        <v>1.8152501891263793</v>
      </c>
      <c r="D28" s="76" t="s">
        <v>469</v>
      </c>
      <c r="E28" s="418" t="str">
        <f>IF(C28&lt;=6,"✅ within guard-rail","⚠️ long payback — review CAC or pricing")</f>
        <v>✅ within guard-rail</v>
      </c>
      <c r="F28" s="418"/>
    </row>
    <row r="29" spans="2:6" x14ac:dyDescent="0.2">
      <c r="B29" s="146" t="s">
        <v>471</v>
      </c>
      <c r="C29" s="165">
        <f>'📊 Monthly Base'!Z26</f>
        <v>0.84939386848982212</v>
      </c>
      <c r="D29" s="76" t="s">
        <v>102</v>
      </c>
      <c r="E29" s="418" t="str">
        <f>IF(C29&gt;=0.7,"✅ within guard-rail","⚠️ compressed margin — renegotiate API/pass-through price")</f>
        <v>✅ within guard-rail</v>
      </c>
      <c r="F29" s="418"/>
    </row>
    <row r="30" spans="2:6" x14ac:dyDescent="0.2">
      <c r="B30" s="166" t="s">
        <v>472</v>
      </c>
      <c r="C30" s="167">
        <f>MIN('💰 Cash &amp; Runway'!C10:Z10)</f>
        <v>942427.42871000001</v>
      </c>
      <c r="D30" s="79" t="s">
        <v>103</v>
      </c>
      <c r="E30" s="419" t="str">
        <f>IF(C30&gt;0,"✅ investment covers entire cash curve","⚠️ negative cash — increase investment or cut costs")</f>
        <v>✅ investment covers entire cash curve</v>
      </c>
      <c r="F30" s="419"/>
    </row>
    <row r="31" spans="2:6" x14ac:dyDescent="0.2">
      <c r="B31" s="15"/>
      <c r="C31" s="15"/>
      <c r="D31" s="15"/>
      <c r="E31" s="15"/>
      <c r="F31" s="15"/>
    </row>
    <row r="32" spans="2:6" x14ac:dyDescent="0.2">
      <c r="B32" s="396" t="s">
        <v>473</v>
      </c>
      <c r="C32" s="396"/>
      <c r="D32" s="396"/>
      <c r="E32" s="396"/>
      <c r="F32" s="396"/>
    </row>
  </sheetData>
  <mergeCells count="15">
    <mergeCell ref="B6:F6"/>
    <mergeCell ref="B17:F17"/>
    <mergeCell ref="B25:F25"/>
    <mergeCell ref="B3:F3"/>
    <mergeCell ref="B32:F32"/>
    <mergeCell ref="C18:D18"/>
    <mergeCell ref="C19:D19"/>
    <mergeCell ref="C20:D20"/>
    <mergeCell ref="C21:D21"/>
    <mergeCell ref="C22:D22"/>
    <mergeCell ref="C23:D23"/>
    <mergeCell ref="E27:F27"/>
    <mergeCell ref="E28:F28"/>
    <mergeCell ref="E29:F29"/>
    <mergeCell ref="E30:F3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B6A7D"/>
  </sheetPr>
  <dimension ref="A1:C59"/>
  <sheetViews>
    <sheetView showGridLines="0" zoomScale="150" zoomScaleNormal="150" workbookViewId="0">
      <selection activeCell="B2" sqref="B2"/>
    </sheetView>
  </sheetViews>
  <sheetFormatPr baseColWidth="10" defaultColWidth="8.6640625" defaultRowHeight="15" x14ac:dyDescent="0.2"/>
  <cols>
    <col min="1" max="1" width="42" customWidth="1"/>
    <col min="2" max="2" width="20" customWidth="1"/>
    <col min="3" max="3" width="39.33203125" customWidth="1"/>
  </cols>
  <sheetData>
    <row r="1" spans="1:3" ht="39.75" customHeight="1" thickBot="1" x14ac:dyDescent="0.25">
      <c r="A1" s="426" t="s">
        <v>112</v>
      </c>
      <c r="B1" s="427"/>
      <c r="C1" s="428"/>
    </row>
    <row r="2" spans="1:3" ht="36" customHeight="1" thickBot="1" x14ac:dyDescent="0.25">
      <c r="A2" s="168" t="s">
        <v>113</v>
      </c>
      <c r="B2" s="169" t="s">
        <v>114</v>
      </c>
      <c r="C2" s="170" t="s">
        <v>115</v>
      </c>
    </row>
    <row r="3" spans="1:3" ht="19.5" customHeight="1" x14ac:dyDescent="0.2">
      <c r="A3" s="171" t="s">
        <v>116</v>
      </c>
      <c r="B3" s="172">
        <f>MATCH(B2,{"Conservative","Base","Optimistic"},0)+1</f>
        <v>2</v>
      </c>
      <c r="C3" s="173"/>
    </row>
    <row r="4" spans="1:3" ht="25.5" customHeight="1" x14ac:dyDescent="0.2">
      <c r="A4" s="429" t="s">
        <v>117</v>
      </c>
      <c r="B4" s="430"/>
      <c r="C4" s="431"/>
    </row>
    <row r="5" spans="1:3" ht="21.75" customHeight="1" x14ac:dyDescent="0.2">
      <c r="A5" s="420" t="s">
        <v>118</v>
      </c>
      <c r="B5" s="421"/>
      <c r="C5" s="422"/>
    </row>
    <row r="6" spans="1:3" ht="21.75" customHeight="1" x14ac:dyDescent="0.2">
      <c r="A6" s="174" t="s">
        <v>119</v>
      </c>
      <c r="B6" s="175">
        <f>INDEX('🎛️ Assumptions'!B5:D5,1,MATCH($B$2,{"Conservative","Base","Optimistic"},0))</f>
        <v>39.9</v>
      </c>
      <c r="C6" s="176" t="s">
        <v>155</v>
      </c>
    </row>
    <row r="7" spans="1:3" ht="21.75" customHeight="1" x14ac:dyDescent="0.2">
      <c r="A7" s="174" t="s">
        <v>120</v>
      </c>
      <c r="B7" s="175">
        <f>INDEX('🎛️ Assumptions'!B6:D6,1,MATCH($B$2,{"Conservative","Base","Optimistic"},0))</f>
        <v>59.9</v>
      </c>
      <c r="C7" s="176" t="s">
        <v>156</v>
      </c>
    </row>
    <row r="8" spans="1:3" ht="21.75" customHeight="1" x14ac:dyDescent="0.2">
      <c r="A8" s="174" t="s">
        <v>121</v>
      </c>
      <c r="B8" s="175">
        <f>INDEX('🎛️ Assumptions'!B7:D7,1,MATCH($B$2,{"Conservative","Base","Optimistic"},0))</f>
        <v>79.900000000000006</v>
      </c>
      <c r="C8" s="176" t="s">
        <v>157</v>
      </c>
    </row>
    <row r="9" spans="1:3" ht="21.75" customHeight="1" x14ac:dyDescent="0.2">
      <c r="A9" s="177" t="s">
        <v>122</v>
      </c>
      <c r="B9" s="178">
        <f>INDEX('🎛️ Assumptions'!B8:D8,1,MATCH($B$2,{"Conservative","Base","Optimistic"},0))</f>
        <v>10</v>
      </c>
      <c r="C9" s="176" t="s">
        <v>158</v>
      </c>
    </row>
    <row r="10" spans="1:3" ht="21.75" customHeight="1" x14ac:dyDescent="0.2">
      <c r="A10" s="420" t="s">
        <v>3</v>
      </c>
      <c r="B10" s="421"/>
      <c r="C10" s="422"/>
    </row>
    <row r="11" spans="1:3" ht="21.75" customHeight="1" x14ac:dyDescent="0.2">
      <c r="A11" s="174" t="s">
        <v>123</v>
      </c>
      <c r="B11" s="179">
        <f>INDEX('🎛️ Assumptions'!B10:D10,1,MATCH($B$2,{"Conservative","Base","Optimistic"},0))</f>
        <v>5.3</v>
      </c>
      <c r="C11" s="176" t="s">
        <v>159</v>
      </c>
    </row>
    <row r="12" spans="1:3" ht="21.75" customHeight="1" x14ac:dyDescent="0.2">
      <c r="A12" s="174" t="s">
        <v>4</v>
      </c>
      <c r="B12" s="180">
        <f>INDEX('🎛️ Assumptions'!B13:D13,1,MATCH($B$2,{"Conservative","Base","Optimistic"},0))</f>
        <v>3</v>
      </c>
      <c r="C12" s="176" t="s">
        <v>160</v>
      </c>
    </row>
    <row r="13" spans="1:3" ht="21.75" customHeight="1" x14ac:dyDescent="0.2">
      <c r="A13" s="318" t="s">
        <v>5</v>
      </c>
      <c r="B13" s="334">
        <f>INDEX('🎛️ Assumptions'!B14:D14,1,MATCH($B$2,{"Conservative","Base","Optimistic"},0))</f>
        <v>15</v>
      </c>
      <c r="C13" s="176" t="s">
        <v>161</v>
      </c>
    </row>
    <row r="14" spans="1:3" ht="21.75" customHeight="1" x14ac:dyDescent="0.2">
      <c r="A14" s="320" t="s">
        <v>110</v>
      </c>
      <c r="B14" s="337">
        <f>INDEX('🎛️ Assumptions'!B11:D11,1,MATCH($B$2,{"Conservative","Base","Optimistic"},0))</f>
        <v>1</v>
      </c>
      <c r="C14" s="336" t="s">
        <v>162</v>
      </c>
    </row>
    <row r="15" spans="1:3" ht="21.75" customHeight="1" x14ac:dyDescent="0.2">
      <c r="A15" s="322" t="s">
        <v>111</v>
      </c>
      <c r="B15" s="338">
        <f>INDEX('🎛️ Assumptions'!B12:D12,1,MATCH($B$2,{"Conservative","Base","Optimistic"},0))</f>
        <v>5</v>
      </c>
      <c r="C15" s="336" t="s">
        <v>163</v>
      </c>
    </row>
    <row r="16" spans="1:3" ht="21.75" customHeight="1" x14ac:dyDescent="0.2">
      <c r="A16" s="319" t="s">
        <v>124</v>
      </c>
      <c r="B16" s="335">
        <f>INDEX('🎛️ Assumptions'!B15:D15,1,MATCH($B$2,{"Conservative","Base","Optimistic"},0))</f>
        <v>0.35</v>
      </c>
      <c r="C16" s="176" t="s">
        <v>164</v>
      </c>
    </row>
    <row r="17" spans="1:3" ht="21.75" customHeight="1" x14ac:dyDescent="0.2">
      <c r="A17" s="420" t="s">
        <v>125</v>
      </c>
      <c r="B17" s="421"/>
      <c r="C17" s="422"/>
    </row>
    <row r="18" spans="1:3" ht="21.75" customHeight="1" x14ac:dyDescent="0.2">
      <c r="A18" s="174" t="s">
        <v>126</v>
      </c>
      <c r="B18" s="182">
        <f>INDEX('🎛️ Assumptions'!B17:D17,1,MATCH($B$2,{"Conservative","Base","Optimistic"},0))</f>
        <v>50</v>
      </c>
      <c r="C18" s="176" t="s">
        <v>165</v>
      </c>
    </row>
    <row r="19" spans="1:3" ht="21.75" customHeight="1" x14ac:dyDescent="0.2">
      <c r="A19" s="174" t="s">
        <v>6</v>
      </c>
      <c r="B19" s="182">
        <f>INDEX('🎛️ Assumptions'!B18:D18,1,MATCH($B$2,{"Conservative","Base","Optimistic"},0))</f>
        <v>900</v>
      </c>
      <c r="C19" s="176" t="s">
        <v>166</v>
      </c>
    </row>
    <row r="20" spans="1:3" ht="21.75" customHeight="1" x14ac:dyDescent="0.2">
      <c r="A20" s="174" t="s">
        <v>7</v>
      </c>
      <c r="B20" s="182">
        <f>INDEX('🎛️ Assumptions'!B19:D19,1,MATCH($B$2,{"Conservative","Base","Optimistic"},0))</f>
        <v>450</v>
      </c>
      <c r="C20" s="176" t="s">
        <v>167</v>
      </c>
    </row>
    <row r="21" spans="1:3" ht="21.75" customHeight="1" x14ac:dyDescent="0.2">
      <c r="A21" s="174" t="s">
        <v>127</v>
      </c>
      <c r="B21" s="181">
        <f>INDEX('🎛️ Assumptions'!B20:D20,1,MATCH($B$2,{"Conservative","Base","Optimistic"},0))</f>
        <v>0.5</v>
      </c>
      <c r="C21" s="176" t="s">
        <v>168</v>
      </c>
    </row>
    <row r="22" spans="1:3" ht="21.75" customHeight="1" x14ac:dyDescent="0.2">
      <c r="A22" s="174" t="s">
        <v>128</v>
      </c>
      <c r="B22" s="182">
        <f>INDEX('🎛️ Assumptions'!B21:D21,1,MATCH($B$2,{"Conservative","Base","Optimistic"},0))</f>
        <v>120</v>
      </c>
      <c r="C22" s="176" t="s">
        <v>169</v>
      </c>
    </row>
    <row r="23" spans="1:3" ht="21.75" customHeight="1" x14ac:dyDescent="0.2">
      <c r="A23" s="174" t="s">
        <v>8</v>
      </c>
      <c r="B23" s="182">
        <f>INDEX('🎛️ Assumptions'!B22:D22,1,MATCH($B$2,{"Conservative","Base","Optimistic"},0))</f>
        <v>1200</v>
      </c>
      <c r="C23" s="176" t="s">
        <v>170</v>
      </c>
    </row>
    <row r="24" spans="1:3" ht="21.75" customHeight="1" x14ac:dyDescent="0.2">
      <c r="A24" s="174" t="s">
        <v>9</v>
      </c>
      <c r="B24" s="182">
        <f>INDEX('🎛️ Assumptions'!B23:D23,1,MATCH($B$2,{"Conservative","Base","Optimistic"},0))</f>
        <v>700</v>
      </c>
      <c r="C24" s="176" t="s">
        <v>171</v>
      </c>
    </row>
    <row r="25" spans="1:3" ht="21.75" customHeight="1" x14ac:dyDescent="0.2">
      <c r="A25" s="174" t="s">
        <v>129</v>
      </c>
      <c r="B25" s="182">
        <f>INDEX('🎛️ Assumptions'!B25:D25,1,MATCH($B$2,{"Conservative","Base","Optimistic"},0))</f>
        <v>35</v>
      </c>
      <c r="C25" s="176" t="s">
        <v>172</v>
      </c>
    </row>
    <row r="26" spans="1:3" ht="21.75" customHeight="1" x14ac:dyDescent="0.2">
      <c r="A26" s="174" t="s">
        <v>130</v>
      </c>
      <c r="B26" s="182">
        <f>INDEX('🎛️ Assumptions'!B26:D26,1,MATCH($B$2,{"Conservative","Base","Optimistic"},0))</f>
        <v>3000</v>
      </c>
      <c r="C26" s="176" t="s">
        <v>173</v>
      </c>
    </row>
    <row r="27" spans="1:3" ht="21.75" customHeight="1" x14ac:dyDescent="0.2">
      <c r="A27" s="174" t="s">
        <v>131</v>
      </c>
      <c r="B27" s="182">
        <f>INDEX('🎛️ Assumptions'!B27:D27,1,MATCH($B$2,{"Conservative","Base","Optimistic"},0))</f>
        <v>1800</v>
      </c>
      <c r="C27" s="176" t="s">
        <v>174</v>
      </c>
    </row>
    <row r="28" spans="1:3" ht="21.75" customHeight="1" x14ac:dyDescent="0.2">
      <c r="A28" s="174" t="s">
        <v>132</v>
      </c>
      <c r="B28" s="182">
        <f>INDEX('🎛️ Assumptions'!B29:D29,1,MATCH($B$2,{"Conservative","Base","Optimistic"},0))</f>
        <v>60</v>
      </c>
      <c r="C28" s="176" t="s">
        <v>175</v>
      </c>
    </row>
    <row r="29" spans="1:3" ht="21.75" customHeight="1" x14ac:dyDescent="0.2">
      <c r="A29" s="420" t="s">
        <v>133</v>
      </c>
      <c r="B29" s="421"/>
      <c r="C29" s="422"/>
    </row>
    <row r="30" spans="1:3" ht="21.75" customHeight="1" x14ac:dyDescent="0.2">
      <c r="A30" s="174" t="s">
        <v>10</v>
      </c>
      <c r="B30" s="182">
        <f>INDEX('🎛️ Assumptions'!B31:D31,1,MATCH($B$2,{"Conservative","Base","Optimistic"},0))</f>
        <v>3000</v>
      </c>
      <c r="C30" s="176" t="s">
        <v>176</v>
      </c>
    </row>
    <row r="31" spans="1:3" ht="21.75" customHeight="1" x14ac:dyDescent="0.2">
      <c r="A31" s="174" t="s">
        <v>11</v>
      </c>
      <c r="B31" s="182">
        <f>INDEX('🎛️ Assumptions'!B32:D32,1,MATCH($B$2,{"Conservative","Base","Optimistic"},0))</f>
        <v>3500</v>
      </c>
      <c r="C31" s="176" t="s">
        <v>177</v>
      </c>
    </row>
    <row r="32" spans="1:3" ht="21.75" customHeight="1" x14ac:dyDescent="0.2">
      <c r="A32" s="174" t="s">
        <v>12</v>
      </c>
      <c r="B32" s="181">
        <f>INDEX('🎛️ Assumptions'!B33:D33,1,MATCH($B$2,{"Conservative","Base","Optimistic"},0))</f>
        <v>0.1</v>
      </c>
      <c r="C32" s="176" t="s">
        <v>178</v>
      </c>
    </row>
    <row r="33" spans="1:3" ht="21.75" customHeight="1" x14ac:dyDescent="0.2">
      <c r="A33" s="174" t="s">
        <v>70</v>
      </c>
      <c r="B33" s="181">
        <f>INDEX('🎛️ Assumptions'!B34:D34,1,MATCH($B$2,{"Conservative","Base","Optimistic"},0))</f>
        <v>7.0000000000000007E-2</v>
      </c>
      <c r="C33" s="176" t="s">
        <v>179</v>
      </c>
    </row>
    <row r="34" spans="1:3" ht="21.75" customHeight="1" x14ac:dyDescent="0.2">
      <c r="A34" s="174" t="s">
        <v>71</v>
      </c>
      <c r="B34" s="181">
        <f>INDEX('🎛️ Assumptions'!B35:D35,1,MATCH($B$2,{"Conservative","Base","Optimistic"},0))</f>
        <v>0.02</v>
      </c>
      <c r="C34" s="176" t="s">
        <v>180</v>
      </c>
    </row>
    <row r="35" spans="1:3" ht="21.75" customHeight="1" x14ac:dyDescent="0.2">
      <c r="A35" s="174" t="s">
        <v>134</v>
      </c>
      <c r="B35" s="181">
        <f>INDEX('🎛️ Assumptions'!B36:D36,1,MATCH($B$2,{"Conservative","Base","Optimistic"},0))</f>
        <v>0.08</v>
      </c>
      <c r="C35" s="176" t="s">
        <v>181</v>
      </c>
    </row>
    <row r="36" spans="1:3" ht="21.75" customHeight="1" x14ac:dyDescent="0.2">
      <c r="A36" s="174" t="s">
        <v>135</v>
      </c>
      <c r="B36" s="181">
        <f>INDEX('🎛️ Assumptions'!B37:D37,1,MATCH($B$2,{"Conservative","Base","Optimistic"},0))</f>
        <v>0.05</v>
      </c>
      <c r="C36" s="176" t="s">
        <v>182</v>
      </c>
    </row>
    <row r="37" spans="1:3" ht="21.75" customHeight="1" x14ac:dyDescent="0.2">
      <c r="A37" s="174" t="s">
        <v>136</v>
      </c>
      <c r="B37" s="181">
        <f>INDEX('🎛️ Assumptions'!B38:D38,1,MATCH($B$2,{"Conservative","Base","Optimistic"},0))</f>
        <v>0.03</v>
      </c>
      <c r="C37" s="176" t="s">
        <v>183</v>
      </c>
    </row>
    <row r="38" spans="1:3" ht="21.75" customHeight="1" x14ac:dyDescent="0.2">
      <c r="A38" s="420" t="s">
        <v>137</v>
      </c>
      <c r="B38" s="421"/>
      <c r="C38" s="422"/>
    </row>
    <row r="39" spans="1:3" ht="21.75" customHeight="1" x14ac:dyDescent="0.2">
      <c r="A39" s="174" t="s">
        <v>138</v>
      </c>
      <c r="B39" s="183">
        <f>INDEX('🎛️ Assumptions'!B40:D40,1,MATCH($B$2,{"Conservative","Base","Optimistic"},0))</f>
        <v>40000</v>
      </c>
      <c r="C39" s="176" t="s">
        <v>184</v>
      </c>
    </row>
    <row r="40" spans="1:3" ht="21.75" customHeight="1" x14ac:dyDescent="0.2">
      <c r="A40" s="174" t="s">
        <v>139</v>
      </c>
      <c r="B40" s="183">
        <f>INDEX('🎛️ Assumptions'!B41:D41,1,MATCH($B$2,{"Conservative","Base","Optimistic"},0))</f>
        <v>50000</v>
      </c>
      <c r="C40" s="176" t="s">
        <v>185</v>
      </c>
    </row>
    <row r="41" spans="1:3" ht="21.75" customHeight="1" x14ac:dyDescent="0.2">
      <c r="A41" s="174" t="s">
        <v>140</v>
      </c>
      <c r="B41" s="183">
        <f>INDEX('🎛️ Assumptions'!B42:D42,1,MATCH($B$2,{"Conservative","Base","Optimistic"},0))</f>
        <v>5000</v>
      </c>
      <c r="C41" s="176" t="s">
        <v>186</v>
      </c>
    </row>
    <row r="42" spans="1:3" ht="21.75" customHeight="1" x14ac:dyDescent="0.2">
      <c r="A42" s="174" t="s">
        <v>141</v>
      </c>
      <c r="B42" s="183">
        <f>INDEX('🎛️ Assumptions'!B43:D43,1,MATCH($B$2,{"Conservative","Base","Optimistic"},0))</f>
        <v>7000</v>
      </c>
      <c r="C42" s="176" t="s">
        <v>187</v>
      </c>
    </row>
    <row r="43" spans="1:3" ht="21.75" customHeight="1" x14ac:dyDescent="0.2">
      <c r="A43" s="174" t="s">
        <v>142</v>
      </c>
      <c r="B43" s="183">
        <f>INDEX('🎛️ Assumptions'!B44:D44,1,MATCH($B$2,{"Conservative","Base","Optimistic"},0))</f>
        <v>5000</v>
      </c>
      <c r="C43" s="176" t="s">
        <v>188</v>
      </c>
    </row>
    <row r="44" spans="1:3" ht="21.75" customHeight="1" x14ac:dyDescent="0.2">
      <c r="A44" s="174" t="s">
        <v>143</v>
      </c>
      <c r="B44" s="183">
        <f>INDEX('🎛️ Assumptions'!B45:D45,1,MATCH($B$2,{"Conservative","Base","Optimistic"},0))</f>
        <v>8000</v>
      </c>
      <c r="C44" s="176" t="s">
        <v>189</v>
      </c>
    </row>
    <row r="45" spans="1:3" ht="21.75" customHeight="1" x14ac:dyDescent="0.2">
      <c r="A45" s="174" t="s">
        <v>144</v>
      </c>
      <c r="B45" s="183">
        <f>INDEX('🎛️ Assumptions'!B46:D46,1,MATCH($B$2,{"Conservative","Base","Optimistic"},0))</f>
        <v>5000</v>
      </c>
      <c r="C45" s="176" t="s">
        <v>190</v>
      </c>
    </row>
    <row r="46" spans="1:3" ht="21.75" customHeight="1" x14ac:dyDescent="0.2">
      <c r="A46" s="420" t="s">
        <v>13</v>
      </c>
      <c r="B46" s="421"/>
      <c r="C46" s="422"/>
    </row>
    <row r="47" spans="1:3" ht="21.75" customHeight="1" x14ac:dyDescent="0.2">
      <c r="A47" s="174" t="s">
        <v>145</v>
      </c>
      <c r="B47" s="183">
        <f>INDEX('🎛️ Assumptions'!B48:D48,1,MATCH($B$2,{"Conservative","Base","Optimistic"},0))</f>
        <v>80</v>
      </c>
      <c r="C47" s="176" t="s">
        <v>191</v>
      </c>
    </row>
    <row r="48" spans="1:3" ht="21.75" customHeight="1" x14ac:dyDescent="0.2">
      <c r="A48" s="174" t="s">
        <v>146</v>
      </c>
      <c r="B48" s="179">
        <f>INDEX('🎛️ Assumptions'!B50:D50,1,MATCH($B$2,{"Conservative","Base","Optimistic"},0))</f>
        <v>0.5</v>
      </c>
      <c r="C48" s="176" t="s">
        <v>192</v>
      </c>
    </row>
    <row r="49" spans="1:3" ht="21.75" customHeight="1" x14ac:dyDescent="0.2">
      <c r="A49" s="420" t="s">
        <v>14</v>
      </c>
      <c r="B49" s="421"/>
      <c r="C49" s="422"/>
    </row>
    <row r="50" spans="1:3" ht="21.75" customHeight="1" thickBot="1" x14ac:dyDescent="0.25">
      <c r="A50" s="184" t="s">
        <v>147</v>
      </c>
      <c r="B50" s="182">
        <f>INDEX('🎛️ Assumptions'!B52:D52,1,MATCH($B$2,{"Conservative","Base","Optimistic"},0))</f>
        <v>3</v>
      </c>
      <c r="C50" s="185" t="s">
        <v>193</v>
      </c>
    </row>
    <row r="51" spans="1:3" x14ac:dyDescent="0.2">
      <c r="A51" s="423" t="s">
        <v>148</v>
      </c>
      <c r="B51" s="424"/>
      <c r="C51" s="425"/>
    </row>
    <row r="52" spans="1:3" x14ac:dyDescent="0.2">
      <c r="A52" s="186" t="s">
        <v>149</v>
      </c>
      <c r="B52" s="6">
        <f>B22*(B23/1000000*B12+B24/1000000*B13)*(1-B16)*B11</f>
        <v>5.8289400000000002</v>
      </c>
      <c r="C52" s="187" t="s">
        <v>194</v>
      </c>
    </row>
    <row r="53" spans="1:3" x14ac:dyDescent="0.2">
      <c r="A53" s="186" t="s">
        <v>150</v>
      </c>
      <c r="B53" s="6">
        <f>B6+B9-B52</f>
        <v>44.071059999999996</v>
      </c>
      <c r="C53" s="187" t="s">
        <v>195</v>
      </c>
    </row>
    <row r="54" spans="1:3" x14ac:dyDescent="0.2">
      <c r="A54" s="186" t="s">
        <v>151</v>
      </c>
      <c r="B54" s="7">
        <f>1/B35</f>
        <v>12.5</v>
      </c>
      <c r="C54" s="187" t="s">
        <v>196</v>
      </c>
    </row>
    <row r="55" spans="1:3" x14ac:dyDescent="0.2">
      <c r="A55" s="186" t="s">
        <v>0</v>
      </c>
      <c r="B55" s="8">
        <f>B53*B54</f>
        <v>550.88824999999997</v>
      </c>
      <c r="C55" s="187" t="s">
        <v>197</v>
      </c>
    </row>
    <row r="56" spans="1:3" x14ac:dyDescent="0.2">
      <c r="A56" s="186" t="s">
        <v>1</v>
      </c>
      <c r="B56" s="9">
        <f>IFERROR(B55/B47,0)</f>
        <v>6.886103125</v>
      </c>
      <c r="C56" s="187" t="s">
        <v>2</v>
      </c>
    </row>
    <row r="57" spans="1:3" x14ac:dyDescent="0.2">
      <c r="A57" s="188" t="s">
        <v>152</v>
      </c>
      <c r="B57" s="10">
        <f>IFERROR(B47/B53,0)</f>
        <v>1.8152501891263793</v>
      </c>
      <c r="C57" s="189" t="s">
        <v>198</v>
      </c>
    </row>
    <row r="58" spans="1:3" x14ac:dyDescent="0.2">
      <c r="A58" s="420" t="s">
        <v>153</v>
      </c>
      <c r="B58" s="421"/>
      <c r="C58" s="422"/>
    </row>
    <row r="59" spans="1:3" ht="16" thickBot="1" x14ac:dyDescent="0.25">
      <c r="A59" s="190" t="s">
        <v>154</v>
      </c>
      <c r="B59" s="191">
        <f>IF($B$2="Conservative",'🎛️ Assumptions'!B70,IF($B$2="Base",'🎛️ Assumptions'!C70,'🎛️ Assumptions'!D70))</f>
        <v>0.13</v>
      </c>
      <c r="C59" s="192" t="s">
        <v>199</v>
      </c>
    </row>
  </sheetData>
  <mergeCells count="11">
    <mergeCell ref="A1:C1"/>
    <mergeCell ref="A4:C4"/>
    <mergeCell ref="A5:C5"/>
    <mergeCell ref="A10:C10"/>
    <mergeCell ref="A17:C17"/>
    <mergeCell ref="A58:C58"/>
    <mergeCell ref="A51:C51"/>
    <mergeCell ref="A29:C29"/>
    <mergeCell ref="A38:C38"/>
    <mergeCell ref="A46:C46"/>
    <mergeCell ref="A49:C49"/>
  </mergeCells>
  <dataValidations count="1">
    <dataValidation type="list" allowBlank="1" errorTitle="Cenário inválido" error="Escolha: Conservador, Base ou Otimista" promptTitle="Cenário" prompt="Selecione o cenário: Conservador, Base ou Otimista" sqref="B2" xr:uid="{00000000-0002-0000-0100-000000000000}">
      <formula1>"Conservative,Base,Optimistic"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8497"/>
  </sheetPr>
  <dimension ref="A1:G70"/>
  <sheetViews>
    <sheetView showGridLines="0" zoomScale="150" zoomScaleNormal="150" workbookViewId="0">
      <selection sqref="A1:E1"/>
    </sheetView>
  </sheetViews>
  <sheetFormatPr baseColWidth="10" defaultColWidth="8.6640625" defaultRowHeight="15" x14ac:dyDescent="0.2"/>
  <cols>
    <col min="1" max="1" width="42" customWidth="1"/>
    <col min="2" max="4" width="16" customWidth="1"/>
    <col min="5" max="5" width="24.5" customWidth="1"/>
  </cols>
  <sheetData>
    <row r="1" spans="1:7" ht="39.75" customHeight="1" x14ac:dyDescent="0.2">
      <c r="A1" s="436" t="s">
        <v>474</v>
      </c>
      <c r="B1" s="437"/>
      <c r="C1" s="437"/>
      <c r="D1" s="437"/>
      <c r="E1" s="438"/>
      <c r="F1" s="193"/>
      <c r="G1" s="15"/>
    </row>
    <row r="2" spans="1:7" ht="21.75" customHeight="1" x14ac:dyDescent="0.2">
      <c r="A2" s="339" t="s">
        <v>475</v>
      </c>
      <c r="B2" s="194" t="s">
        <v>476</v>
      </c>
      <c r="C2" s="195" t="s">
        <v>477</v>
      </c>
      <c r="D2" s="15"/>
      <c r="E2" s="173"/>
      <c r="F2" s="15"/>
      <c r="G2" s="15"/>
    </row>
    <row r="3" spans="1:7" ht="27.75" customHeight="1" x14ac:dyDescent="0.2">
      <c r="A3" s="196" t="s">
        <v>478</v>
      </c>
      <c r="B3" s="197" t="s">
        <v>114</v>
      </c>
      <c r="C3" s="198" t="s">
        <v>479</v>
      </c>
      <c r="D3" s="198" t="s">
        <v>224</v>
      </c>
      <c r="E3" s="199" t="s">
        <v>480</v>
      </c>
      <c r="F3" s="15"/>
      <c r="G3" s="15"/>
    </row>
    <row r="4" spans="1:7" ht="25.5" customHeight="1" x14ac:dyDescent="0.2">
      <c r="A4" s="439" t="s">
        <v>481</v>
      </c>
      <c r="B4" s="440"/>
      <c r="C4" s="440"/>
      <c r="D4" s="440"/>
      <c r="E4" s="441"/>
      <c r="F4" s="15"/>
      <c r="G4" s="15"/>
    </row>
    <row r="5" spans="1:7" ht="21.75" customHeight="1" x14ac:dyDescent="0.2">
      <c r="A5" s="174" t="s">
        <v>119</v>
      </c>
      <c r="B5" s="200">
        <v>39.9</v>
      </c>
      <c r="C5" s="201">
        <v>39.9</v>
      </c>
      <c r="D5" s="201">
        <v>39.9</v>
      </c>
      <c r="E5" s="202" t="s">
        <v>538</v>
      </c>
      <c r="F5" s="15"/>
      <c r="G5" s="15"/>
    </row>
    <row r="6" spans="1:7" ht="21.75" customHeight="1" x14ac:dyDescent="0.2">
      <c r="A6" s="174" t="s">
        <v>120</v>
      </c>
      <c r="B6" s="200">
        <v>59.9</v>
      </c>
      <c r="C6" s="201">
        <v>59.9</v>
      </c>
      <c r="D6" s="201">
        <v>62.9</v>
      </c>
      <c r="E6" s="202" t="s">
        <v>539</v>
      </c>
      <c r="F6" s="15"/>
      <c r="G6" s="15"/>
    </row>
    <row r="7" spans="1:7" ht="21.75" customHeight="1" x14ac:dyDescent="0.2">
      <c r="A7" s="174" t="s">
        <v>121</v>
      </c>
      <c r="B7" s="200">
        <v>79.900000000000006</v>
      </c>
      <c r="C7" s="201">
        <v>79.900000000000006</v>
      </c>
      <c r="D7" s="201">
        <v>79.900000000000006</v>
      </c>
      <c r="E7" s="202" t="s">
        <v>540</v>
      </c>
      <c r="F7" s="15"/>
      <c r="G7" s="15"/>
    </row>
    <row r="8" spans="1:7" ht="21.75" customHeight="1" x14ac:dyDescent="0.2">
      <c r="A8" s="177" t="s">
        <v>482</v>
      </c>
      <c r="B8" s="203">
        <v>10</v>
      </c>
      <c r="C8" s="204">
        <v>10</v>
      </c>
      <c r="D8" s="204">
        <v>10</v>
      </c>
      <c r="E8" s="205"/>
      <c r="F8" s="15"/>
      <c r="G8" s="15"/>
    </row>
    <row r="9" spans="1:7" ht="25.5" customHeight="1" x14ac:dyDescent="0.2">
      <c r="A9" s="439" t="s">
        <v>483</v>
      </c>
      <c r="B9" s="440"/>
      <c r="C9" s="440"/>
      <c r="D9" s="440"/>
      <c r="E9" s="441"/>
    </row>
    <row r="10" spans="1:7" ht="21.75" customHeight="1" x14ac:dyDescent="0.2">
      <c r="A10" s="318" t="s">
        <v>123</v>
      </c>
      <c r="B10" s="321">
        <v>5.3</v>
      </c>
      <c r="C10" s="325">
        <v>5.3</v>
      </c>
      <c r="D10" s="325">
        <v>5.3</v>
      </c>
      <c r="E10" s="331" t="s">
        <v>541</v>
      </c>
    </row>
    <row r="11" spans="1:7" ht="21.75" customHeight="1" x14ac:dyDescent="0.2">
      <c r="A11" s="320" t="s">
        <v>77</v>
      </c>
      <c r="B11" s="324">
        <v>1</v>
      </c>
      <c r="C11" s="328">
        <v>1</v>
      </c>
      <c r="D11" s="328">
        <v>1</v>
      </c>
      <c r="E11" s="332" t="s">
        <v>542</v>
      </c>
    </row>
    <row r="12" spans="1:7" ht="21.75" customHeight="1" x14ac:dyDescent="0.2">
      <c r="A12" s="322" t="s">
        <v>78</v>
      </c>
      <c r="B12" s="326">
        <v>5</v>
      </c>
      <c r="C12" s="329">
        <v>5</v>
      </c>
      <c r="D12" s="329">
        <v>5</v>
      </c>
      <c r="E12" s="330" t="s">
        <v>542</v>
      </c>
    </row>
    <row r="13" spans="1:7" ht="21.75" customHeight="1" x14ac:dyDescent="0.2">
      <c r="A13" s="319" t="s">
        <v>15</v>
      </c>
      <c r="B13" s="323">
        <v>3</v>
      </c>
      <c r="C13" s="327">
        <v>3</v>
      </c>
      <c r="D13" s="327">
        <v>3</v>
      </c>
      <c r="E13" s="333" t="s">
        <v>543</v>
      </c>
    </row>
    <row r="14" spans="1:7" ht="21.75" customHeight="1" x14ac:dyDescent="0.2">
      <c r="A14" s="174" t="s">
        <v>16</v>
      </c>
      <c r="B14" s="206">
        <v>15</v>
      </c>
      <c r="C14" s="207">
        <v>15</v>
      </c>
      <c r="D14" s="207">
        <v>15</v>
      </c>
      <c r="E14" s="202" t="s">
        <v>543</v>
      </c>
    </row>
    <row r="15" spans="1:7" ht="21.75" customHeight="1" x14ac:dyDescent="0.2">
      <c r="A15" s="174" t="s">
        <v>484</v>
      </c>
      <c r="B15" s="208">
        <v>0.35</v>
      </c>
      <c r="C15" s="209">
        <v>0.4</v>
      </c>
      <c r="D15" s="209">
        <v>0.45</v>
      </c>
      <c r="E15" s="202" t="s">
        <v>544</v>
      </c>
      <c r="F15" s="15"/>
      <c r="G15" s="15"/>
    </row>
    <row r="16" spans="1:7" ht="25.5" customHeight="1" x14ac:dyDescent="0.2">
      <c r="A16" s="439" t="s">
        <v>485</v>
      </c>
      <c r="B16" s="440"/>
      <c r="C16" s="440"/>
      <c r="D16" s="440"/>
      <c r="E16" s="441"/>
      <c r="F16" s="15"/>
      <c r="G16" s="15"/>
    </row>
    <row r="17" spans="1:7" ht="21.75" customHeight="1" x14ac:dyDescent="0.2">
      <c r="A17" s="174" t="s">
        <v>486</v>
      </c>
      <c r="B17" s="210">
        <v>50</v>
      </c>
      <c r="C17" s="211">
        <v>50</v>
      </c>
      <c r="D17" s="211">
        <v>50</v>
      </c>
      <c r="E17" s="202" t="s">
        <v>545</v>
      </c>
      <c r="F17" s="15"/>
      <c r="G17" s="15"/>
    </row>
    <row r="18" spans="1:7" ht="21.75" customHeight="1" x14ac:dyDescent="0.2">
      <c r="A18" s="174" t="s">
        <v>487</v>
      </c>
      <c r="B18" s="210">
        <v>900</v>
      </c>
      <c r="C18" s="211">
        <v>900</v>
      </c>
      <c r="D18" s="211">
        <v>900</v>
      </c>
      <c r="E18" s="202" t="s">
        <v>546</v>
      </c>
      <c r="F18" s="15"/>
      <c r="G18" s="15"/>
    </row>
    <row r="19" spans="1:7" ht="21.75" customHeight="1" x14ac:dyDescent="0.2">
      <c r="A19" s="174" t="s">
        <v>488</v>
      </c>
      <c r="B19" s="210">
        <v>450</v>
      </c>
      <c r="C19" s="211">
        <v>450</v>
      </c>
      <c r="D19" s="211">
        <v>450</v>
      </c>
      <c r="E19" s="202" t="s">
        <v>547</v>
      </c>
      <c r="F19" s="15"/>
      <c r="G19" s="15"/>
    </row>
    <row r="20" spans="1:7" ht="21.75" customHeight="1" x14ac:dyDescent="0.2">
      <c r="A20" s="174" t="s">
        <v>489</v>
      </c>
      <c r="B20" s="208">
        <v>0.5</v>
      </c>
      <c r="C20" s="209">
        <v>0.5</v>
      </c>
      <c r="D20" s="209">
        <v>0.5</v>
      </c>
      <c r="E20" s="202" t="s">
        <v>548</v>
      </c>
      <c r="F20" s="15"/>
      <c r="G20" s="15"/>
    </row>
    <row r="21" spans="1:7" ht="21.75" customHeight="1" x14ac:dyDescent="0.2">
      <c r="A21" s="174" t="s">
        <v>490</v>
      </c>
      <c r="B21" s="210">
        <v>120</v>
      </c>
      <c r="C21" s="211">
        <v>140</v>
      </c>
      <c r="D21" s="211">
        <v>180</v>
      </c>
      <c r="E21" s="202" t="s">
        <v>549</v>
      </c>
      <c r="F21" s="15"/>
      <c r="G21" s="15"/>
    </row>
    <row r="22" spans="1:7" ht="21.75" customHeight="1" x14ac:dyDescent="0.2">
      <c r="A22" s="174" t="s">
        <v>491</v>
      </c>
      <c r="B22" s="210">
        <v>1200</v>
      </c>
      <c r="C22" s="211">
        <v>1400</v>
      </c>
      <c r="D22" s="211">
        <v>1800</v>
      </c>
      <c r="E22" s="202" t="s">
        <v>550</v>
      </c>
      <c r="F22" s="15"/>
      <c r="G22" s="15"/>
    </row>
    <row r="23" spans="1:7" ht="21.75" customHeight="1" x14ac:dyDescent="0.2">
      <c r="A23" s="174" t="s">
        <v>492</v>
      </c>
      <c r="B23" s="210">
        <v>700</v>
      </c>
      <c r="C23" s="211">
        <v>700</v>
      </c>
      <c r="D23" s="211">
        <v>700</v>
      </c>
      <c r="E23" s="202" t="s">
        <v>551</v>
      </c>
      <c r="F23" s="15"/>
      <c r="G23" s="15"/>
    </row>
    <row r="24" spans="1:7" ht="21.75" customHeight="1" x14ac:dyDescent="0.2">
      <c r="A24" s="174" t="s">
        <v>17</v>
      </c>
      <c r="B24" s="210">
        <v>140</v>
      </c>
      <c r="C24" s="211">
        <v>140</v>
      </c>
      <c r="D24" s="211">
        <v>140</v>
      </c>
      <c r="E24" s="202" t="s">
        <v>552</v>
      </c>
      <c r="F24" s="15"/>
      <c r="G24" s="15"/>
    </row>
    <row r="25" spans="1:7" ht="21.75" customHeight="1" x14ac:dyDescent="0.2">
      <c r="A25" s="174" t="s">
        <v>129</v>
      </c>
      <c r="B25" s="210">
        <v>35</v>
      </c>
      <c r="C25" s="211">
        <v>45</v>
      </c>
      <c r="D25" s="211">
        <v>60</v>
      </c>
      <c r="E25" s="202" t="s">
        <v>553</v>
      </c>
      <c r="F25" s="15"/>
      <c r="G25" s="15"/>
    </row>
    <row r="26" spans="1:7" ht="21.75" customHeight="1" x14ac:dyDescent="0.2">
      <c r="A26" s="174" t="s">
        <v>493</v>
      </c>
      <c r="B26" s="210">
        <v>3000</v>
      </c>
      <c r="C26" s="211">
        <v>3000</v>
      </c>
      <c r="D26" s="211">
        <v>3000</v>
      </c>
      <c r="E26" s="202" t="s">
        <v>554</v>
      </c>
      <c r="F26" s="15"/>
      <c r="G26" s="15"/>
    </row>
    <row r="27" spans="1:7" ht="21.75" customHeight="1" x14ac:dyDescent="0.2">
      <c r="A27" s="174" t="s">
        <v>494</v>
      </c>
      <c r="B27" s="210">
        <v>1800</v>
      </c>
      <c r="C27" s="211">
        <v>1800</v>
      </c>
      <c r="D27" s="211">
        <v>1800</v>
      </c>
      <c r="E27" s="202" t="s">
        <v>555</v>
      </c>
      <c r="F27" s="15"/>
      <c r="G27" s="15"/>
    </row>
    <row r="28" spans="1:7" ht="21.75" customHeight="1" x14ac:dyDescent="0.2">
      <c r="A28" s="174" t="s">
        <v>18</v>
      </c>
      <c r="B28" s="210">
        <v>140</v>
      </c>
      <c r="C28" s="211">
        <v>140</v>
      </c>
      <c r="D28" s="211">
        <v>140</v>
      </c>
      <c r="E28" s="202" t="s">
        <v>552</v>
      </c>
      <c r="F28" s="15"/>
      <c r="G28" s="15"/>
    </row>
    <row r="29" spans="1:7" ht="21.75" customHeight="1" x14ac:dyDescent="0.2">
      <c r="A29" s="174" t="s">
        <v>495</v>
      </c>
      <c r="B29" s="210">
        <v>60</v>
      </c>
      <c r="C29" s="211">
        <v>80</v>
      </c>
      <c r="D29" s="211">
        <v>100</v>
      </c>
      <c r="E29" s="202" t="s">
        <v>556</v>
      </c>
      <c r="F29" s="15"/>
      <c r="G29" s="15"/>
    </row>
    <row r="30" spans="1:7" ht="25.5" customHeight="1" x14ac:dyDescent="0.2">
      <c r="A30" s="439" t="s">
        <v>496</v>
      </c>
      <c r="B30" s="440"/>
      <c r="C30" s="440"/>
      <c r="D30" s="440"/>
      <c r="E30" s="441"/>
      <c r="F30" s="15"/>
      <c r="G30" s="15"/>
    </row>
    <row r="31" spans="1:7" ht="21.75" customHeight="1" x14ac:dyDescent="0.2">
      <c r="A31" s="174" t="s">
        <v>497</v>
      </c>
      <c r="B31" s="210">
        <v>3000</v>
      </c>
      <c r="C31" s="211">
        <v>3500</v>
      </c>
      <c r="D31" s="211">
        <v>4000</v>
      </c>
      <c r="E31" s="202" t="s">
        <v>557</v>
      </c>
      <c r="F31" s="15"/>
      <c r="G31" s="15"/>
    </row>
    <row r="32" spans="1:7" ht="21.75" customHeight="1" x14ac:dyDescent="0.2">
      <c r="A32" s="174" t="s">
        <v>498</v>
      </c>
      <c r="B32" s="210">
        <v>3500</v>
      </c>
      <c r="C32" s="211">
        <v>4000</v>
      </c>
      <c r="D32" s="211">
        <v>4500</v>
      </c>
      <c r="E32" s="202" t="s">
        <v>558</v>
      </c>
      <c r="F32" s="15"/>
      <c r="G32" s="15"/>
    </row>
    <row r="33" spans="1:7" ht="21.75" customHeight="1" x14ac:dyDescent="0.2">
      <c r="A33" s="174" t="s">
        <v>499</v>
      </c>
      <c r="B33" s="208">
        <v>0.1</v>
      </c>
      <c r="C33" s="209">
        <v>0.15</v>
      </c>
      <c r="D33" s="209">
        <v>0.2</v>
      </c>
      <c r="E33" s="202" t="s">
        <v>559</v>
      </c>
      <c r="F33" s="15"/>
      <c r="G33" s="15"/>
    </row>
    <row r="34" spans="1:7" ht="21.75" customHeight="1" x14ac:dyDescent="0.2">
      <c r="A34" s="174" t="s">
        <v>500</v>
      </c>
      <c r="B34" s="208">
        <v>7.0000000000000007E-2</v>
      </c>
      <c r="C34" s="209">
        <v>7.0000000000000007E-2</v>
      </c>
      <c r="D34" s="209">
        <v>7.0000000000000007E-2</v>
      </c>
      <c r="E34" s="202" t="s">
        <v>560</v>
      </c>
      <c r="F34" s="15"/>
      <c r="G34" s="15"/>
    </row>
    <row r="35" spans="1:7" ht="21.75" customHeight="1" x14ac:dyDescent="0.2">
      <c r="A35" s="174" t="s">
        <v>501</v>
      </c>
      <c r="B35" s="208">
        <v>0.02</v>
      </c>
      <c r="C35" s="209">
        <v>0.03</v>
      </c>
      <c r="D35" s="209">
        <v>0.03</v>
      </c>
      <c r="E35" s="202" t="s">
        <v>561</v>
      </c>
      <c r="F35" s="15"/>
      <c r="G35" s="15"/>
    </row>
    <row r="36" spans="1:7" ht="21.75" customHeight="1" x14ac:dyDescent="0.2">
      <c r="A36" s="174" t="s">
        <v>502</v>
      </c>
      <c r="B36" s="208">
        <v>0.08</v>
      </c>
      <c r="C36" s="209">
        <v>7.0000000000000007E-2</v>
      </c>
      <c r="D36" s="209">
        <v>0.05</v>
      </c>
      <c r="E36" s="202" t="s">
        <v>562</v>
      </c>
      <c r="F36" s="15"/>
      <c r="G36" s="15"/>
    </row>
    <row r="37" spans="1:7" ht="21.75" customHeight="1" x14ac:dyDescent="0.2">
      <c r="A37" s="174" t="s">
        <v>503</v>
      </c>
      <c r="B37" s="208">
        <v>0.05</v>
      </c>
      <c r="C37" s="209">
        <v>0.05</v>
      </c>
      <c r="D37" s="209">
        <v>0.06</v>
      </c>
      <c r="E37" s="202" t="s">
        <v>563</v>
      </c>
      <c r="F37" s="15"/>
      <c r="G37" s="15"/>
    </row>
    <row r="38" spans="1:7" ht="21.75" customHeight="1" x14ac:dyDescent="0.2">
      <c r="A38" s="174" t="s">
        <v>504</v>
      </c>
      <c r="B38" s="208">
        <v>0.03</v>
      </c>
      <c r="C38" s="209">
        <v>0.03</v>
      </c>
      <c r="D38" s="209">
        <v>0.02</v>
      </c>
      <c r="E38" s="202" t="s">
        <v>564</v>
      </c>
      <c r="F38" s="15"/>
      <c r="G38" s="15"/>
    </row>
    <row r="39" spans="1:7" ht="25.5" customHeight="1" x14ac:dyDescent="0.2">
      <c r="A39" s="439" t="s">
        <v>505</v>
      </c>
      <c r="B39" s="440"/>
      <c r="C39" s="440"/>
      <c r="D39" s="440"/>
      <c r="E39" s="441"/>
      <c r="F39" s="15"/>
      <c r="G39" s="15"/>
    </row>
    <row r="40" spans="1:7" ht="21.75" customHeight="1" x14ac:dyDescent="0.2">
      <c r="A40" s="174" t="s">
        <v>506</v>
      </c>
      <c r="B40" s="212">
        <v>40000</v>
      </c>
      <c r="C40" s="213">
        <v>45000</v>
      </c>
      <c r="D40" s="213">
        <v>50000</v>
      </c>
      <c r="E40" s="202" t="s">
        <v>565</v>
      </c>
      <c r="F40" s="15"/>
      <c r="G40" s="15"/>
    </row>
    <row r="41" spans="1:7" ht="21.75" customHeight="1" x14ac:dyDescent="0.2">
      <c r="A41" s="174" t="s">
        <v>507</v>
      </c>
      <c r="B41" s="212">
        <v>50000</v>
      </c>
      <c r="C41" s="213">
        <v>60000</v>
      </c>
      <c r="D41" s="213">
        <v>70000</v>
      </c>
      <c r="E41" s="202" t="s">
        <v>566</v>
      </c>
      <c r="F41" s="15"/>
      <c r="G41" s="15"/>
    </row>
    <row r="42" spans="1:7" ht="21.75" customHeight="1" x14ac:dyDescent="0.2">
      <c r="A42" s="174" t="s">
        <v>508</v>
      </c>
      <c r="B42" s="212">
        <v>5000</v>
      </c>
      <c r="C42" s="213">
        <v>6000</v>
      </c>
      <c r="D42" s="213">
        <v>8000</v>
      </c>
      <c r="E42" s="202" t="s">
        <v>567</v>
      </c>
      <c r="F42" s="15"/>
      <c r="G42" s="15"/>
    </row>
    <row r="43" spans="1:7" ht="21.75" customHeight="1" x14ac:dyDescent="0.2">
      <c r="A43" s="174" t="s">
        <v>509</v>
      </c>
      <c r="B43" s="212">
        <v>7000</v>
      </c>
      <c r="C43" s="213">
        <v>8000</v>
      </c>
      <c r="D43" s="213">
        <v>10000</v>
      </c>
      <c r="E43" s="202" t="s">
        <v>568</v>
      </c>
      <c r="F43" s="15"/>
      <c r="G43" s="15"/>
    </row>
    <row r="44" spans="1:7" ht="21.75" customHeight="1" x14ac:dyDescent="0.2">
      <c r="A44" s="174" t="s">
        <v>510</v>
      </c>
      <c r="B44" s="212">
        <v>5000</v>
      </c>
      <c r="C44" s="213">
        <v>6000</v>
      </c>
      <c r="D44" s="213">
        <v>8000</v>
      </c>
      <c r="E44" s="202" t="s">
        <v>569</v>
      </c>
      <c r="F44" s="15"/>
      <c r="G44" s="15"/>
    </row>
    <row r="45" spans="1:7" ht="21.75" customHeight="1" x14ac:dyDescent="0.2">
      <c r="A45" s="174" t="s">
        <v>511</v>
      </c>
      <c r="B45" s="212">
        <v>8000</v>
      </c>
      <c r="C45" s="213">
        <v>10000</v>
      </c>
      <c r="D45" s="213">
        <v>15000</v>
      </c>
      <c r="E45" s="202" t="s">
        <v>570</v>
      </c>
      <c r="F45" s="15"/>
      <c r="G45" s="15"/>
    </row>
    <row r="46" spans="1:7" ht="21.75" customHeight="1" x14ac:dyDescent="0.2">
      <c r="A46" s="174" t="s">
        <v>512</v>
      </c>
      <c r="B46" s="212">
        <v>5000</v>
      </c>
      <c r="C46" s="213">
        <v>6000</v>
      </c>
      <c r="D46" s="213">
        <v>8000</v>
      </c>
      <c r="E46" s="202" t="s">
        <v>571</v>
      </c>
      <c r="F46" s="15"/>
      <c r="G46" s="15"/>
    </row>
    <row r="47" spans="1:7" ht="25.5" customHeight="1" x14ac:dyDescent="0.2">
      <c r="A47" s="439" t="s">
        <v>513</v>
      </c>
      <c r="B47" s="440"/>
      <c r="C47" s="440"/>
      <c r="D47" s="440"/>
      <c r="E47" s="441"/>
      <c r="F47" s="15"/>
      <c r="G47" s="15"/>
    </row>
    <row r="48" spans="1:7" ht="21.75" customHeight="1" x14ac:dyDescent="0.2">
      <c r="A48" s="174" t="s">
        <v>514</v>
      </c>
      <c r="B48" s="212">
        <v>80</v>
      </c>
      <c r="C48" s="213">
        <v>60</v>
      </c>
      <c r="D48" s="213">
        <v>60</v>
      </c>
      <c r="E48" s="202" t="s">
        <v>572</v>
      </c>
      <c r="F48" s="15"/>
      <c r="G48" s="15"/>
    </row>
    <row r="49" spans="1:7" ht="21.75" customHeight="1" x14ac:dyDescent="0.2">
      <c r="A49" s="174" t="s">
        <v>515</v>
      </c>
      <c r="B49" s="212">
        <v>27</v>
      </c>
      <c r="C49" s="213">
        <v>25</v>
      </c>
      <c r="D49" s="213">
        <v>20</v>
      </c>
      <c r="E49" s="202" t="s">
        <v>573</v>
      </c>
      <c r="F49" s="15"/>
      <c r="G49" s="15"/>
    </row>
    <row r="50" spans="1:7" ht="21.75" customHeight="1" x14ac:dyDescent="0.2">
      <c r="A50" s="174" t="s">
        <v>146</v>
      </c>
      <c r="B50" s="208">
        <v>0.5</v>
      </c>
      <c r="C50" s="209">
        <v>0.45</v>
      </c>
      <c r="D50" s="209">
        <v>0.4</v>
      </c>
      <c r="E50" s="202" t="s">
        <v>574</v>
      </c>
      <c r="F50" s="15"/>
      <c r="G50" s="15"/>
    </row>
    <row r="51" spans="1:7" ht="25.5" customHeight="1" x14ac:dyDescent="0.2">
      <c r="A51" s="439" t="s">
        <v>516</v>
      </c>
      <c r="B51" s="440"/>
      <c r="C51" s="440"/>
      <c r="D51" s="440"/>
      <c r="E51" s="441"/>
      <c r="F51" s="15"/>
      <c r="G51" s="15"/>
    </row>
    <row r="52" spans="1:7" ht="28" customHeight="1" x14ac:dyDescent="0.2">
      <c r="A52" s="174" t="s">
        <v>517</v>
      </c>
      <c r="B52" s="214">
        <v>3</v>
      </c>
      <c r="C52" s="215">
        <v>5</v>
      </c>
      <c r="D52" s="215">
        <v>7</v>
      </c>
      <c r="E52" s="202" t="s">
        <v>575</v>
      </c>
      <c r="F52" s="15"/>
      <c r="G52" s="15"/>
    </row>
    <row r="53" spans="1:7" x14ac:dyDescent="0.2">
      <c r="A53" s="442" t="s">
        <v>518</v>
      </c>
      <c r="B53" s="443"/>
      <c r="C53" s="443"/>
      <c r="D53" s="443"/>
      <c r="E53" s="444"/>
      <c r="F53" s="15"/>
      <c r="G53" s="15"/>
    </row>
    <row r="54" spans="1:7" x14ac:dyDescent="0.2">
      <c r="A54" s="445"/>
      <c r="B54" s="446"/>
      <c r="C54" s="447"/>
      <c r="D54" s="447"/>
      <c r="E54" s="448"/>
      <c r="F54" s="15"/>
      <c r="G54" s="15"/>
    </row>
    <row r="55" spans="1:7" ht="15" customHeight="1" thickBot="1" x14ac:dyDescent="0.25">
      <c r="A55" s="449"/>
      <c r="B55" s="450"/>
      <c r="C55" s="450"/>
      <c r="D55" s="450"/>
      <c r="E55" s="451"/>
      <c r="F55" s="15"/>
      <c r="G55" s="15"/>
    </row>
    <row r="56" spans="1:7" ht="16" thickBot="1" x14ac:dyDescent="0.25">
      <c r="A56" s="216"/>
      <c r="B56" s="15"/>
      <c r="C56" s="15"/>
      <c r="D56" s="15"/>
      <c r="E56" s="173"/>
      <c r="F56" s="15"/>
      <c r="G56" s="15"/>
    </row>
    <row r="57" spans="1:7" ht="16" x14ac:dyDescent="0.2">
      <c r="A57" s="432" t="s">
        <v>519</v>
      </c>
      <c r="B57" s="433"/>
      <c r="C57" s="433"/>
      <c r="D57" s="434"/>
      <c r="E57" s="173"/>
      <c r="F57" s="15"/>
      <c r="G57" s="15"/>
    </row>
    <row r="58" spans="1:7" x14ac:dyDescent="0.2">
      <c r="A58" s="217" t="s">
        <v>520</v>
      </c>
      <c r="B58" s="218">
        <v>1000000</v>
      </c>
      <c r="C58" s="219" t="s">
        <v>530</v>
      </c>
      <c r="D58" s="220"/>
      <c r="E58" s="173"/>
      <c r="F58" s="15"/>
      <c r="G58" s="15"/>
    </row>
    <row r="59" spans="1:7" x14ac:dyDescent="0.2">
      <c r="A59" s="217" t="s">
        <v>521</v>
      </c>
      <c r="B59" s="221">
        <v>0.15</v>
      </c>
      <c r="C59" s="222" t="s">
        <v>531</v>
      </c>
      <c r="D59" s="220"/>
      <c r="E59" s="173"/>
      <c r="F59" s="15"/>
      <c r="G59" s="15"/>
    </row>
    <row r="60" spans="1:7" x14ac:dyDescent="0.2">
      <c r="A60" s="217" t="s">
        <v>522</v>
      </c>
      <c r="B60" s="223">
        <f>B58/B59-B58</f>
        <v>5666666.666666667</v>
      </c>
      <c r="C60" s="222" t="s">
        <v>532</v>
      </c>
      <c r="D60" s="220"/>
      <c r="E60" s="173"/>
      <c r="F60" s="15"/>
      <c r="G60" s="15"/>
    </row>
    <row r="61" spans="1:7" ht="16" thickBot="1" x14ac:dyDescent="0.25">
      <c r="A61" s="224" t="s">
        <v>523</v>
      </c>
      <c r="B61" s="225">
        <f>B58/B59</f>
        <v>6666666.666666667</v>
      </c>
      <c r="C61" s="226" t="s">
        <v>533</v>
      </c>
      <c r="D61" s="227"/>
      <c r="E61" s="173"/>
      <c r="F61" s="15"/>
      <c r="G61" s="15"/>
    </row>
    <row r="62" spans="1:7" ht="16" thickBot="1" x14ac:dyDescent="0.25">
      <c r="A62" s="216"/>
      <c r="B62" s="15"/>
      <c r="C62" s="15"/>
      <c r="D62" s="15"/>
      <c r="E62" s="173"/>
      <c r="F62" s="15"/>
      <c r="G62" s="15"/>
    </row>
    <row r="63" spans="1:7" ht="16" x14ac:dyDescent="0.2">
      <c r="A63" s="432" t="s">
        <v>524</v>
      </c>
      <c r="B63" s="433"/>
      <c r="C63" s="433"/>
      <c r="D63" s="433"/>
      <c r="E63" s="435"/>
      <c r="F63" s="15"/>
      <c r="G63" s="15"/>
    </row>
    <row r="64" spans="1:7" x14ac:dyDescent="0.2">
      <c r="A64" s="217" t="s">
        <v>525</v>
      </c>
      <c r="B64" s="228">
        <v>2000</v>
      </c>
      <c r="C64" s="219" t="s">
        <v>534</v>
      </c>
      <c r="D64" s="15"/>
      <c r="E64" s="173"/>
      <c r="F64" s="15"/>
      <c r="G64" s="15"/>
    </row>
    <row r="65" spans="1:7" x14ac:dyDescent="0.2">
      <c r="A65" s="217" t="s">
        <v>526</v>
      </c>
      <c r="B65" s="229">
        <v>0.3</v>
      </c>
      <c r="C65" s="219" t="s">
        <v>535</v>
      </c>
      <c r="D65" s="15"/>
      <c r="E65" s="173"/>
      <c r="F65" s="15"/>
      <c r="G65" s="15"/>
    </row>
    <row r="66" spans="1:7" x14ac:dyDescent="0.2">
      <c r="A66" s="217" t="s">
        <v>73</v>
      </c>
      <c r="B66" s="229">
        <v>0.4</v>
      </c>
      <c r="C66" s="219" t="s">
        <v>535</v>
      </c>
      <c r="D66" s="15"/>
      <c r="E66" s="173"/>
      <c r="F66" s="15"/>
      <c r="G66" s="15"/>
    </row>
    <row r="67" spans="1:7" x14ac:dyDescent="0.2">
      <c r="A67" s="217" t="s">
        <v>527</v>
      </c>
      <c r="B67" s="229">
        <v>0.6</v>
      </c>
      <c r="C67" s="219" t="s">
        <v>535</v>
      </c>
      <c r="D67" s="15"/>
      <c r="E67" s="173"/>
      <c r="F67" s="15"/>
      <c r="G67" s="15"/>
    </row>
    <row r="68" spans="1:7" x14ac:dyDescent="0.2">
      <c r="A68" s="217" t="s">
        <v>528</v>
      </c>
      <c r="B68" s="230">
        <v>18</v>
      </c>
      <c r="C68" s="219" t="s">
        <v>536</v>
      </c>
      <c r="D68" s="15"/>
      <c r="E68" s="173"/>
      <c r="F68" s="15"/>
      <c r="G68" s="15"/>
    </row>
    <row r="69" spans="1:7" x14ac:dyDescent="0.2">
      <c r="A69" s="217" t="s">
        <v>529</v>
      </c>
      <c r="B69" s="231">
        <v>1.7999999999999999E-2</v>
      </c>
      <c r="C69" s="232">
        <f>(1+B69)^12-1</f>
        <v>0.23872053157552808</v>
      </c>
      <c r="D69" s="219" t="s">
        <v>537</v>
      </c>
      <c r="E69" s="173"/>
      <c r="F69" s="15"/>
      <c r="G69" s="15"/>
    </row>
    <row r="70" spans="1:7" ht="16" thickBot="1" x14ac:dyDescent="0.25">
      <c r="A70" s="233" t="s">
        <v>154</v>
      </c>
      <c r="B70" s="234">
        <v>0.13</v>
      </c>
      <c r="C70" s="235">
        <v>0.13</v>
      </c>
      <c r="D70" s="235">
        <v>0.15</v>
      </c>
      <c r="E70" s="236" t="s">
        <v>576</v>
      </c>
      <c r="F70" s="15"/>
      <c r="G70" s="15"/>
    </row>
  </sheetData>
  <mergeCells count="11">
    <mergeCell ref="A57:D57"/>
    <mergeCell ref="A63:E63"/>
    <mergeCell ref="A1:E1"/>
    <mergeCell ref="A39:E39"/>
    <mergeCell ref="A47:E47"/>
    <mergeCell ref="A51:E51"/>
    <mergeCell ref="A53:E55"/>
    <mergeCell ref="A4:E4"/>
    <mergeCell ref="A9:E9"/>
    <mergeCell ref="A16:E16"/>
    <mergeCell ref="A30:E3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D4E5E"/>
  </sheetPr>
  <dimension ref="A1:TK26"/>
  <sheetViews>
    <sheetView showGridLines="0" zoomScale="150" zoomScaleNormal="1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1" sqref="C21"/>
    </sheetView>
  </sheetViews>
  <sheetFormatPr baseColWidth="10" defaultColWidth="8.6640625" defaultRowHeight="15" x14ac:dyDescent="0.2"/>
  <cols>
    <col min="1" max="1" width="38" customWidth="1"/>
    <col min="2" max="2" width="8" customWidth="1"/>
    <col min="3" max="26" width="12" customWidth="1"/>
    <col min="27" max="27" width="12" style="2" customWidth="1"/>
    <col min="28" max="531" width="8.6640625" style="2"/>
  </cols>
  <sheetData>
    <row r="1" spans="1:531" ht="36" customHeight="1" x14ac:dyDescent="0.2">
      <c r="A1" s="237" t="s">
        <v>577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9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</row>
    <row r="2" spans="1:531" ht="21.75" customHeight="1" x14ac:dyDescent="0.2">
      <c r="A2" s="458" t="s">
        <v>578</v>
      </c>
      <c r="B2" s="459"/>
      <c r="C2" s="242" t="str">
        <f>'🔧 Active Scenario'!B2</f>
        <v>Conservative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73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</row>
    <row r="3" spans="1:531" ht="24" customHeight="1" x14ac:dyDescent="0.2">
      <c r="A3" s="240" t="s">
        <v>261</v>
      </c>
      <c r="B3" s="241" t="s">
        <v>306</v>
      </c>
      <c r="C3" s="243" t="s">
        <v>19</v>
      </c>
      <c r="D3" s="243" t="s">
        <v>20</v>
      </c>
      <c r="E3" s="243" t="s">
        <v>21</v>
      </c>
      <c r="F3" s="243" t="s">
        <v>22</v>
      </c>
      <c r="G3" s="243" t="s">
        <v>23</v>
      </c>
      <c r="H3" s="244" t="s">
        <v>57</v>
      </c>
      <c r="I3" s="243" t="s">
        <v>24</v>
      </c>
      <c r="J3" s="243" t="s">
        <v>25</v>
      </c>
      <c r="K3" s="243" t="s">
        <v>26</v>
      </c>
      <c r="L3" s="243" t="s">
        <v>27</v>
      </c>
      <c r="M3" s="244" t="s">
        <v>58</v>
      </c>
      <c r="N3" s="245" t="s">
        <v>28</v>
      </c>
      <c r="O3" s="243" t="s">
        <v>29</v>
      </c>
      <c r="P3" s="243" t="s">
        <v>30</v>
      </c>
      <c r="Q3" s="243" t="s">
        <v>31</v>
      </c>
      <c r="R3" s="243" t="s">
        <v>32</v>
      </c>
      <c r="S3" s="243" t="s">
        <v>33</v>
      </c>
      <c r="T3" s="243" t="s">
        <v>69</v>
      </c>
      <c r="U3" s="243" t="s">
        <v>34</v>
      </c>
      <c r="V3" s="243" t="s">
        <v>35</v>
      </c>
      <c r="W3" s="243" t="s">
        <v>36</v>
      </c>
      <c r="X3" s="243" t="s">
        <v>37</v>
      </c>
      <c r="Y3" s="243" t="s">
        <v>38</v>
      </c>
      <c r="Z3" s="246" t="s">
        <v>39</v>
      </c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</row>
    <row r="4" spans="1:531" ht="24" customHeight="1" x14ac:dyDescent="0.2">
      <c r="A4" s="460" t="s">
        <v>579</v>
      </c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</row>
    <row r="5" spans="1:531" ht="19.5" customHeight="1" x14ac:dyDescent="0.2">
      <c r="A5" s="174" t="s">
        <v>580</v>
      </c>
      <c r="B5" s="247" t="s">
        <v>40</v>
      </c>
      <c r="C5" s="248">
        <f>'🎛️ Assumptions'!B64</f>
        <v>2000</v>
      </c>
      <c r="D5" s="249">
        <f>'🔧 Active Scenario'!$B$30</f>
        <v>3000</v>
      </c>
      <c r="E5" s="249">
        <f>'🔧 Active Scenario'!$B$30</f>
        <v>3000</v>
      </c>
      <c r="F5" s="249">
        <f>'🔧 Active Scenario'!$B$30</f>
        <v>3000</v>
      </c>
      <c r="G5" s="249">
        <f>'🔧 Active Scenario'!$B$30</f>
        <v>3000</v>
      </c>
      <c r="H5" s="249">
        <f>'🔧 Active Scenario'!$B$30</f>
        <v>3000</v>
      </c>
      <c r="I5" s="249">
        <f>'🔧 Active Scenario'!$B$30</f>
        <v>3000</v>
      </c>
      <c r="J5" s="249">
        <f>'🔧 Active Scenario'!$B$30</f>
        <v>3000</v>
      </c>
      <c r="K5" s="249">
        <f>'🔧 Active Scenario'!$B$30</f>
        <v>3000</v>
      </c>
      <c r="L5" s="249">
        <f>'🔧 Active Scenario'!$B$30</f>
        <v>3000</v>
      </c>
      <c r="M5" s="249">
        <f>'🔧 Active Scenario'!$B$30</f>
        <v>3000</v>
      </c>
      <c r="N5" s="249">
        <f>'🔧 Active Scenario'!$B$30</f>
        <v>3000</v>
      </c>
      <c r="O5" s="249">
        <f>'🔧 Active Scenario'!$B$31</f>
        <v>3500</v>
      </c>
      <c r="P5" s="249">
        <f>'🔧 Active Scenario'!$B$31</f>
        <v>3500</v>
      </c>
      <c r="Q5" s="249">
        <f>'🔧 Active Scenario'!$B$31</f>
        <v>3500</v>
      </c>
      <c r="R5" s="249">
        <f>'🔧 Active Scenario'!$B$31</f>
        <v>3500</v>
      </c>
      <c r="S5" s="249">
        <f>'🔧 Active Scenario'!$B$31</f>
        <v>3500</v>
      </c>
      <c r="T5" s="249">
        <f>'🔧 Active Scenario'!$B$31</f>
        <v>3500</v>
      </c>
      <c r="U5" s="249">
        <f>'🔧 Active Scenario'!$B$31</f>
        <v>3500</v>
      </c>
      <c r="V5" s="249">
        <f>'🔧 Active Scenario'!$B$31</f>
        <v>3500</v>
      </c>
      <c r="W5" s="249">
        <f>'🔧 Active Scenario'!$B$31</f>
        <v>3500</v>
      </c>
      <c r="X5" s="249">
        <f>'🔧 Active Scenario'!$B$31</f>
        <v>3500</v>
      </c>
      <c r="Y5" s="249">
        <f>'🔧 Active Scenario'!$B$31</f>
        <v>3500</v>
      </c>
      <c r="Z5" s="249">
        <f>'🔧 Active Scenario'!$B$31</f>
        <v>3500</v>
      </c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</row>
    <row r="6" spans="1:531" ht="19.5" customHeight="1" x14ac:dyDescent="0.2">
      <c r="A6" s="174" t="s">
        <v>581</v>
      </c>
      <c r="B6" s="247" t="s">
        <v>600</v>
      </c>
      <c r="C6" s="248">
        <f>ROUND(C5*'🔧 Active Scenario'!$B$32,0)</f>
        <v>200</v>
      </c>
      <c r="D6" s="248">
        <f>ROUND(C6*(1-'🔧 Active Scenario'!$B$35)+D5*'🔧 Active Scenario'!$B$32,0)</f>
        <v>484</v>
      </c>
      <c r="E6" s="248">
        <f>ROUND(D6*(1-'🔧 Active Scenario'!$B$35)+E5*'🔧 Active Scenario'!$B$32,0)</f>
        <v>745</v>
      </c>
      <c r="F6" s="248">
        <f>ROUND(E6*(1-'🔧 Active Scenario'!$B$35)+F5*'🔧 Active Scenario'!$B$32,0)</f>
        <v>985</v>
      </c>
      <c r="G6" s="248">
        <f>ROUND(F6*(1-'🔧 Active Scenario'!$B$35)+G5*'🔧 Active Scenario'!$B$32,0)</f>
        <v>1206</v>
      </c>
      <c r="H6" s="248">
        <f>ROUND(G6*(1-'🔧 Active Scenario'!$B$35)+H5*'🔧 Active Scenario'!$B$32,0)</f>
        <v>1410</v>
      </c>
      <c r="I6" s="248">
        <f>ROUND(H6*(1-'🔧 Active Scenario'!$B$35)+I5*'🔧 Active Scenario'!$B$32,0)</f>
        <v>1597</v>
      </c>
      <c r="J6" s="248">
        <f>ROUND(I6*(1-'🔧 Active Scenario'!$B$35)+J5*'🔧 Active Scenario'!$B$32,0)</f>
        <v>1769</v>
      </c>
      <c r="K6" s="248">
        <f>ROUND(J6*(1-'🔧 Active Scenario'!$B$35)+K5*'🔧 Active Scenario'!$B$32,0)</f>
        <v>1927</v>
      </c>
      <c r="L6" s="248">
        <f>ROUND(K6*(1-'🔧 Active Scenario'!$B$35)+L5*'🔧 Active Scenario'!$B$32,0)</f>
        <v>2073</v>
      </c>
      <c r="M6" s="248">
        <f>ROUND(L6*(1-'🔧 Active Scenario'!$B$35)+M5*'🔧 Active Scenario'!$B$32,0)</f>
        <v>2207</v>
      </c>
      <c r="N6" s="248">
        <f>ROUND(M6*(1-'🔧 Active Scenario'!$B$35)+N5*'🔧 Active Scenario'!$B$32,0)</f>
        <v>2330</v>
      </c>
      <c r="O6" s="248">
        <f>ROUND(N6*(1-'🔧 Active Scenario'!$B$35)+O5*'🔧 Active Scenario'!$B$32,0)</f>
        <v>2494</v>
      </c>
      <c r="P6" s="248">
        <f>ROUND(O6*(1-'🔧 Active Scenario'!$B$35)+P5*'🔧 Active Scenario'!$B$32,0)</f>
        <v>2644</v>
      </c>
      <c r="Q6" s="248">
        <f>ROUND(P6*(1-'🔧 Active Scenario'!$B$35)+Q5*'🔧 Active Scenario'!$B$32,0)</f>
        <v>2782</v>
      </c>
      <c r="R6" s="248">
        <f>ROUND(Q6*(1-'🔧 Active Scenario'!$B$35)+R5*'🔧 Active Scenario'!$B$32,0)</f>
        <v>2909</v>
      </c>
      <c r="S6" s="248">
        <f>ROUND(R6*(1-'🔧 Active Scenario'!$B$35)+S5*'🔧 Active Scenario'!$B$32,0)</f>
        <v>3026</v>
      </c>
      <c r="T6" s="248">
        <f>ROUND(S6*(1-'🔧 Active Scenario'!$B$35)+T5*'🔧 Active Scenario'!$B$32,0)</f>
        <v>3134</v>
      </c>
      <c r="U6" s="248">
        <f>ROUND(T6*(1-'🔧 Active Scenario'!$B$35)+U5*'🔧 Active Scenario'!$B$32,0)</f>
        <v>3233</v>
      </c>
      <c r="V6" s="248">
        <f>ROUND(U6*(1-'🔧 Active Scenario'!$B$35)+V5*'🔧 Active Scenario'!$B$32,0)</f>
        <v>3324</v>
      </c>
      <c r="W6" s="248">
        <f>ROUND(V6*(1-'🔧 Active Scenario'!$B$35)+W5*'🔧 Active Scenario'!$B$32,0)</f>
        <v>3408</v>
      </c>
      <c r="X6" s="248">
        <f>ROUND(W6*(1-'🔧 Active Scenario'!$B$35)+X5*'🔧 Active Scenario'!$B$32,0)</f>
        <v>3485</v>
      </c>
      <c r="Y6" s="248">
        <f>ROUND(X6*(1-'🔧 Active Scenario'!$B$35)+Y5*'🔧 Active Scenario'!$B$32,0)</f>
        <v>3556</v>
      </c>
      <c r="Z6" s="248">
        <f>ROUND(Y6*(1-'🔧 Active Scenario'!$B$35)+Z5*'🔧 Active Scenario'!$B$32,0)</f>
        <v>3622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</row>
    <row r="7" spans="1:531" ht="19.5" customHeight="1" x14ac:dyDescent="0.2">
      <c r="A7" s="174" t="s">
        <v>582</v>
      </c>
      <c r="B7" s="247" t="s">
        <v>600</v>
      </c>
      <c r="C7" s="248">
        <f>ROUND(C5*'🔧 Active Scenario'!$B$33,0)</f>
        <v>140</v>
      </c>
      <c r="D7" s="248">
        <f>ROUND(C7*(1-'🔧 Active Scenario'!$B$36)+D5*'🔧 Active Scenario'!$B$33,0)</f>
        <v>343</v>
      </c>
      <c r="E7" s="248">
        <f>ROUND(D7*(1-'🔧 Active Scenario'!$B$36)+E5*'🔧 Active Scenario'!$B$33,0)</f>
        <v>536</v>
      </c>
      <c r="F7" s="248">
        <f>ROUND(E7*(1-'🔧 Active Scenario'!$B$36)+F5*'🔧 Active Scenario'!$B$33,0)</f>
        <v>719</v>
      </c>
      <c r="G7" s="248">
        <f>ROUND(F7*(1-'🔧 Active Scenario'!$B$36)+G5*'🔧 Active Scenario'!$B$33,0)</f>
        <v>893</v>
      </c>
      <c r="H7" s="248">
        <f>ROUND(G7*(1-'🔧 Active Scenario'!$B$36)+H5*'🔧 Active Scenario'!$B$33,0)</f>
        <v>1058</v>
      </c>
      <c r="I7" s="248">
        <f>ROUND(H7*(1-'🔧 Active Scenario'!$B$36)+I5*'🔧 Active Scenario'!$B$33,0)</f>
        <v>1215</v>
      </c>
      <c r="J7" s="248">
        <f>ROUND(I7*(1-'🔧 Active Scenario'!$B$36)+J5*'🔧 Active Scenario'!$B$33,0)</f>
        <v>1364</v>
      </c>
      <c r="K7" s="248">
        <f>ROUND(J7*(1-'🔧 Active Scenario'!$B$36)+K5*'🔧 Active Scenario'!$B$33,0)</f>
        <v>1506</v>
      </c>
      <c r="L7" s="248">
        <f>ROUND(K7*(1-'🔧 Active Scenario'!$B$36)+L5*'🔧 Active Scenario'!$B$33,0)</f>
        <v>1641</v>
      </c>
      <c r="M7" s="248">
        <f>ROUND(L7*(1-'🔧 Active Scenario'!$B$36)+M5*'🔧 Active Scenario'!$B$33,0)</f>
        <v>1769</v>
      </c>
      <c r="N7" s="248">
        <f>ROUND(M7*(1-'🔧 Active Scenario'!$B$36)+N5*'🔧 Active Scenario'!$B$33,0)</f>
        <v>1891</v>
      </c>
      <c r="O7" s="248">
        <f>ROUND(N7*(1-'🔧 Active Scenario'!$B$36)+O5*'🔧 Active Scenario'!$B$33,0)</f>
        <v>2041</v>
      </c>
      <c r="P7" s="248">
        <f>ROUND(O7*(1-'🔧 Active Scenario'!$B$36)+P5*'🔧 Active Scenario'!$B$33,0)</f>
        <v>2184</v>
      </c>
      <c r="Q7" s="248">
        <f>ROUND(P7*(1-'🔧 Active Scenario'!$B$36)+Q5*'🔧 Active Scenario'!$B$33,0)</f>
        <v>2320</v>
      </c>
      <c r="R7" s="248">
        <f>ROUND(Q7*(1-'🔧 Active Scenario'!$B$36)+R5*'🔧 Active Scenario'!$B$33,0)</f>
        <v>2449</v>
      </c>
      <c r="S7" s="248">
        <f>ROUND(R7*(1-'🔧 Active Scenario'!$B$36)+S5*'🔧 Active Scenario'!$B$33,0)</f>
        <v>2572</v>
      </c>
      <c r="T7" s="248">
        <f>ROUND(S7*(1-'🔧 Active Scenario'!$B$36)+T5*'🔧 Active Scenario'!$B$33,0)</f>
        <v>2688</v>
      </c>
      <c r="U7" s="248">
        <f>ROUND(T7*(1-'🔧 Active Scenario'!$B$36)+U5*'🔧 Active Scenario'!$B$33,0)</f>
        <v>2799</v>
      </c>
      <c r="V7" s="248">
        <f>ROUND(U7*(1-'🔧 Active Scenario'!$B$36)+V5*'🔧 Active Scenario'!$B$33,0)</f>
        <v>2904</v>
      </c>
      <c r="W7" s="248">
        <f>ROUND(V7*(1-'🔧 Active Scenario'!$B$36)+W5*'🔧 Active Scenario'!$B$33,0)</f>
        <v>3004</v>
      </c>
      <c r="X7" s="248">
        <f>ROUND(W7*(1-'🔧 Active Scenario'!$B$36)+X5*'🔧 Active Scenario'!$B$33,0)</f>
        <v>3099</v>
      </c>
      <c r="Y7" s="248">
        <f>ROUND(X7*(1-'🔧 Active Scenario'!$B$36)+Y5*'🔧 Active Scenario'!$B$33,0)</f>
        <v>3189</v>
      </c>
      <c r="Z7" s="248">
        <f>ROUND(Y7*(1-'🔧 Active Scenario'!$B$36)+Z5*'🔧 Active Scenario'!$B$33,0)</f>
        <v>3275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</row>
    <row r="8" spans="1:531" ht="19.5" customHeight="1" x14ac:dyDescent="0.2">
      <c r="A8" s="174" t="s">
        <v>583</v>
      </c>
      <c r="B8" s="247" t="s">
        <v>600</v>
      </c>
      <c r="C8" s="248">
        <f>ROUND(C5*'🔧 Active Scenario'!$B$34,0)</f>
        <v>40</v>
      </c>
      <c r="D8" s="248">
        <f>ROUND(C8*(1-'🔧 Active Scenario'!$B$37)+D5*'🔧 Active Scenario'!$B$34,0)</f>
        <v>99</v>
      </c>
      <c r="E8" s="248">
        <f>ROUND(D8*(1-'🔧 Active Scenario'!$B$37)+E5*'🔧 Active Scenario'!$B$34,0)</f>
        <v>156</v>
      </c>
      <c r="F8" s="248">
        <f>ROUND(E8*(1-'🔧 Active Scenario'!$B$37)+F5*'🔧 Active Scenario'!$B$34,0)</f>
        <v>211</v>
      </c>
      <c r="G8" s="248">
        <f>ROUND(F8*(1-'🔧 Active Scenario'!$B$37)+G5*'🔧 Active Scenario'!$B$34,0)</f>
        <v>265</v>
      </c>
      <c r="H8" s="248">
        <f>ROUND(G8*(1-'🔧 Active Scenario'!$B$37)+H5*'🔧 Active Scenario'!$B$34,0)</f>
        <v>317</v>
      </c>
      <c r="I8" s="248">
        <f>ROUND(H8*(1-'🔧 Active Scenario'!$B$37)+I5*'🔧 Active Scenario'!$B$34,0)</f>
        <v>367</v>
      </c>
      <c r="J8" s="248">
        <f>ROUND(I8*(1-'🔧 Active Scenario'!$B$37)+J5*'🔧 Active Scenario'!$B$34,0)</f>
        <v>416</v>
      </c>
      <c r="K8" s="248">
        <f>ROUND(J8*(1-'🔧 Active Scenario'!$B$37)+K5*'🔧 Active Scenario'!$B$34,0)</f>
        <v>464</v>
      </c>
      <c r="L8" s="248">
        <f>ROUND(K8*(1-'🔧 Active Scenario'!$B$37)+L5*'🔧 Active Scenario'!$B$34,0)</f>
        <v>510</v>
      </c>
      <c r="M8" s="248">
        <f>ROUND(L8*(1-'🔧 Active Scenario'!$B$37)+M5*'🔧 Active Scenario'!$B$34,0)</f>
        <v>555</v>
      </c>
      <c r="N8" s="248">
        <f>ROUND(M8*(1-'🔧 Active Scenario'!$B$37)+N5*'🔧 Active Scenario'!$B$34,0)</f>
        <v>598</v>
      </c>
      <c r="O8" s="248">
        <f>ROUND(N8*(1-'🔧 Active Scenario'!$B$37)+O5*'🔧 Active Scenario'!$B$34,0)</f>
        <v>650</v>
      </c>
      <c r="P8" s="248">
        <f>ROUND(O8*(1-'🔧 Active Scenario'!$B$37)+P5*'🔧 Active Scenario'!$B$34,0)</f>
        <v>701</v>
      </c>
      <c r="Q8" s="248">
        <f>ROUND(P8*(1-'🔧 Active Scenario'!$B$37)+Q5*'🔧 Active Scenario'!$B$34,0)</f>
        <v>750</v>
      </c>
      <c r="R8" s="248">
        <f>ROUND(Q8*(1-'🔧 Active Scenario'!$B$37)+R5*'🔧 Active Scenario'!$B$34,0)</f>
        <v>798</v>
      </c>
      <c r="S8" s="248">
        <f>ROUND(R8*(1-'🔧 Active Scenario'!$B$37)+S5*'🔧 Active Scenario'!$B$34,0)</f>
        <v>844</v>
      </c>
      <c r="T8" s="248">
        <f>ROUND(S8*(1-'🔧 Active Scenario'!$B$37)+T5*'🔧 Active Scenario'!$B$34,0)</f>
        <v>889</v>
      </c>
      <c r="U8" s="248">
        <f>ROUND(T8*(1-'🔧 Active Scenario'!$B$37)+U5*'🔧 Active Scenario'!$B$34,0)</f>
        <v>932</v>
      </c>
      <c r="V8" s="248">
        <f>ROUND(U8*(1-'🔧 Active Scenario'!$B$37)+V5*'🔧 Active Scenario'!$B$34,0)</f>
        <v>974</v>
      </c>
      <c r="W8" s="248">
        <f>ROUND(V8*(1-'🔧 Active Scenario'!$B$37)+W5*'🔧 Active Scenario'!$B$34,0)</f>
        <v>1015</v>
      </c>
      <c r="X8" s="248">
        <f>ROUND(W8*(1-'🔧 Active Scenario'!$B$37)+X5*'🔧 Active Scenario'!$B$34,0)</f>
        <v>1055</v>
      </c>
      <c r="Y8" s="248">
        <f>ROUND(X8*(1-'🔧 Active Scenario'!$B$37)+Y5*'🔧 Active Scenario'!$B$34,0)</f>
        <v>1093</v>
      </c>
      <c r="Z8" s="248">
        <f>ROUND(Y8*(1-'🔧 Active Scenario'!$B$37)+Z5*'🔧 Active Scenario'!$B$34,0)</f>
        <v>1130</v>
      </c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</row>
    <row r="9" spans="1:531" ht="19.5" customHeight="1" x14ac:dyDescent="0.2">
      <c r="A9" s="250" t="s">
        <v>584</v>
      </c>
      <c r="B9" s="247" t="s">
        <v>600</v>
      </c>
      <c r="C9" s="251">
        <f t="shared" ref="C9:Z9" si="0">SUM(C6:C8)</f>
        <v>380</v>
      </c>
      <c r="D9" s="251">
        <f>SUM(D6:D8)</f>
        <v>926</v>
      </c>
      <c r="E9" s="251">
        <f t="shared" ref="E9:L9" si="1">SUM(E6:E8)</f>
        <v>1437</v>
      </c>
      <c r="F9" s="251">
        <f t="shared" si="1"/>
        <v>1915</v>
      </c>
      <c r="G9" s="251">
        <f t="shared" si="1"/>
        <v>2364</v>
      </c>
      <c r="H9" s="251">
        <f t="shared" si="1"/>
        <v>2785</v>
      </c>
      <c r="I9" s="251">
        <f t="shared" si="1"/>
        <v>3179</v>
      </c>
      <c r="J9" s="251">
        <f t="shared" si="1"/>
        <v>3549</v>
      </c>
      <c r="K9" s="251">
        <f t="shared" si="1"/>
        <v>3897</v>
      </c>
      <c r="L9" s="251">
        <f t="shared" si="1"/>
        <v>4224</v>
      </c>
      <c r="M9" s="251">
        <f t="shared" si="0"/>
        <v>4531</v>
      </c>
      <c r="N9" s="251">
        <f t="shared" si="0"/>
        <v>4819</v>
      </c>
      <c r="O9" s="251">
        <f t="shared" si="0"/>
        <v>5185</v>
      </c>
      <c r="P9" s="251">
        <f t="shared" si="0"/>
        <v>5529</v>
      </c>
      <c r="Q9" s="251">
        <f t="shared" si="0"/>
        <v>5852</v>
      </c>
      <c r="R9" s="251">
        <f t="shared" si="0"/>
        <v>6156</v>
      </c>
      <c r="S9" s="251">
        <f t="shared" si="0"/>
        <v>6442</v>
      </c>
      <c r="T9" s="251">
        <f t="shared" si="0"/>
        <v>6711</v>
      </c>
      <c r="U9" s="251">
        <f t="shared" si="0"/>
        <v>6964</v>
      </c>
      <c r="V9" s="251">
        <f t="shared" si="0"/>
        <v>7202</v>
      </c>
      <c r="W9" s="251">
        <f t="shared" si="0"/>
        <v>7427</v>
      </c>
      <c r="X9" s="251">
        <f t="shared" si="0"/>
        <v>7639</v>
      </c>
      <c r="Y9" s="251">
        <f t="shared" si="0"/>
        <v>7838</v>
      </c>
      <c r="Z9" s="252">
        <f t="shared" si="0"/>
        <v>8027</v>
      </c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</row>
    <row r="10" spans="1:531" ht="24" customHeight="1" x14ac:dyDescent="0.2">
      <c r="A10" s="463" t="s">
        <v>585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5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</row>
    <row r="11" spans="1:531" ht="19.5" customHeight="1" x14ac:dyDescent="0.2">
      <c r="A11" s="174" t="s">
        <v>586</v>
      </c>
      <c r="B11" s="247" t="s">
        <v>41</v>
      </c>
      <c r="C11" s="253">
        <f>C6*('🔧 Active Scenario'!$B$6+'🔧 Active Scenario'!$B$9)+C7*'🔧 Active Scenario'!$B$7+C8*'🔧 Active Scenario'!$B$8</f>
        <v>21562</v>
      </c>
      <c r="D11" s="253">
        <f>D6*('🔧 Active Scenario'!$B$6+'🔧 Active Scenario'!$B$9)+D7*'🔧 Active Scenario'!$B$7+D8*'🔧 Active Scenario'!$B$8</f>
        <v>52607.4</v>
      </c>
      <c r="E11" s="253">
        <f>E6*('🔧 Active Scenario'!$B$6+'🔧 Active Scenario'!$B$9)+E7*'🔧 Active Scenario'!$B$7+E8*'🔧 Active Scenario'!$B$8</f>
        <v>81746.299999999988</v>
      </c>
      <c r="F11" s="253">
        <f>F6*('🔧 Active Scenario'!$B$6+'🔧 Active Scenario'!$B$9)+F7*'🔧 Active Scenario'!$B$7+F8*'🔧 Active Scenario'!$B$8</f>
        <v>109078.5</v>
      </c>
      <c r="G11" s="253">
        <f>G6*('🔧 Active Scenario'!$B$6+'🔧 Active Scenario'!$B$9)+G7*'🔧 Active Scenario'!$B$7+G8*'🔧 Active Scenario'!$B$8</f>
        <v>134843.6</v>
      </c>
      <c r="H11" s="253">
        <f>H6*('🔧 Active Scenario'!$B$6+'🔧 Active Scenario'!$B$9)+H7*'🔧 Active Scenario'!$B$7+H8*'🔧 Active Scenario'!$B$8</f>
        <v>159061.5</v>
      </c>
      <c r="I11" s="253">
        <f>I6*('🔧 Active Scenario'!$B$6+'🔧 Active Scenario'!$B$9)+I7*'🔧 Active Scenario'!$B$7+I8*'🔧 Active Scenario'!$B$8</f>
        <v>181792.09999999998</v>
      </c>
      <c r="J11" s="253">
        <f>J6*('🔧 Active Scenario'!$B$6+'🔧 Active Scenario'!$B$9)+J7*'🔧 Active Scenario'!$B$7+J8*'🔧 Active Scenario'!$B$8</f>
        <v>203215.09999999998</v>
      </c>
      <c r="K11" s="253">
        <f>K6*('🔧 Active Scenario'!$B$6+'🔧 Active Scenario'!$B$9)+K7*'🔧 Active Scenario'!$B$7+K8*'🔧 Active Scenario'!$B$8</f>
        <v>223440.30000000002</v>
      </c>
      <c r="L11" s="253">
        <f>L6*('🔧 Active Scenario'!$B$6+'🔧 Active Scenario'!$B$9)+L7*'🔧 Active Scenario'!$B$7+L8*'🔧 Active Scenario'!$B$8</f>
        <v>242487.59999999998</v>
      </c>
      <c r="M11" s="253">
        <f>M6*('🔧 Active Scenario'!$B$6+'🔧 Active Scenario'!$B$9)+M7*'🔧 Active Scenario'!$B$7+M8*'🔧 Active Scenario'!$B$8</f>
        <v>260436.9</v>
      </c>
      <c r="N11" s="253">
        <f>N6*('🔧 Active Scenario'!$B$6+'🔧 Active Scenario'!$B$9)+N7*'🔧 Active Scenario'!$B$7+N8*'🔧 Active Scenario'!$B$8</f>
        <v>277318.09999999998</v>
      </c>
      <c r="O11" s="253">
        <f>O6*('🔧 Active Scenario'!$B$6+'🔧 Active Scenario'!$B$9)+O7*'🔧 Active Scenario'!$B$7+O8*'🔧 Active Scenario'!$B$8</f>
        <v>298641.5</v>
      </c>
      <c r="P11" s="253">
        <f>P6*('🔧 Active Scenario'!$B$6+'🔧 Active Scenario'!$B$9)+P7*'🔧 Active Scenario'!$B$7+P8*'🔧 Active Scenario'!$B$8</f>
        <v>318767.10000000003</v>
      </c>
      <c r="Q11" s="253">
        <f>Q6*('🔧 Active Scenario'!$B$6+'🔧 Active Scenario'!$B$9)+Q7*'🔧 Active Scenario'!$B$7+Q8*'🔧 Active Scenario'!$B$8</f>
        <v>337714.8</v>
      </c>
      <c r="R11" s="253">
        <f>R6*('🔧 Active Scenario'!$B$6+'🔧 Active Scenario'!$B$9)+R7*'🔧 Active Scenario'!$B$7+R8*'🔧 Active Scenario'!$B$8</f>
        <v>355614.4</v>
      </c>
      <c r="S11" s="253">
        <f>S6*('🔧 Active Scenario'!$B$6+'🔧 Active Scenario'!$B$9)+S7*'🔧 Active Scenario'!$B$7+S8*'🔧 Active Scenario'!$B$8</f>
        <v>372495.79999999993</v>
      </c>
      <c r="T11" s="253">
        <f>T6*('🔧 Active Scenario'!$B$6+'🔧 Active Scenario'!$B$9)+T7*'🔧 Active Scenario'!$B$7+T8*'🔧 Active Scenario'!$B$8</f>
        <v>388428.9</v>
      </c>
      <c r="U11" s="253">
        <f>U6*('🔧 Active Scenario'!$B$6+'🔧 Active Scenario'!$B$9)+U7*'🔧 Active Scenario'!$B$7+U8*'🔧 Active Scenario'!$B$8</f>
        <v>403453.6</v>
      </c>
      <c r="V11" s="253">
        <f>V6*('🔧 Active Scenario'!$B$6+'🔧 Active Scenario'!$B$9)+V7*'🔧 Active Scenario'!$B$7+V8*'🔧 Active Scenario'!$B$8</f>
        <v>417639.80000000005</v>
      </c>
      <c r="W11" s="253">
        <f>W6*('🔧 Active Scenario'!$B$6+'🔧 Active Scenario'!$B$9)+W7*'🔧 Active Scenario'!$B$7+W8*'🔧 Active Scenario'!$B$8</f>
        <v>431097.3</v>
      </c>
      <c r="X11" s="253">
        <f>X6*('🔧 Active Scenario'!$B$6+'🔧 Active Scenario'!$B$9)+X7*'🔧 Active Scenario'!$B$7+X8*'🔧 Active Scenario'!$B$8</f>
        <v>443826.1</v>
      </c>
      <c r="Y11" s="253">
        <f>Y6*('🔧 Active Scenario'!$B$6+'🔧 Active Scenario'!$B$9)+Y7*'🔧 Active Scenario'!$B$7+Y8*'🔧 Active Scenario'!$B$8</f>
        <v>455796.2</v>
      </c>
      <c r="Z11" s="253">
        <f>Z6*('🔧 Active Scenario'!$B$6+'🔧 Active Scenario'!$B$9)+Z7*'🔧 Active Scenario'!$B$7+Z8*'🔧 Active Scenario'!$B$8</f>
        <v>467197.3</v>
      </c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</row>
    <row r="12" spans="1:531" ht="19.5" customHeight="1" x14ac:dyDescent="0.2">
      <c r="A12" s="174" t="s">
        <v>587</v>
      </c>
      <c r="B12" s="247" t="s">
        <v>41</v>
      </c>
      <c r="C12" s="254">
        <f>C11</f>
        <v>21562</v>
      </c>
      <c r="D12" s="254">
        <f t="shared" ref="D12:Z12" si="2">C12+D11</f>
        <v>74169.399999999994</v>
      </c>
      <c r="E12" s="254">
        <f t="shared" si="2"/>
        <v>155915.69999999998</v>
      </c>
      <c r="F12" s="254">
        <f t="shared" si="2"/>
        <v>264994.19999999995</v>
      </c>
      <c r="G12" s="254">
        <f t="shared" si="2"/>
        <v>399837.79999999993</v>
      </c>
      <c r="H12" s="254">
        <f t="shared" si="2"/>
        <v>558899.29999999993</v>
      </c>
      <c r="I12" s="254">
        <f t="shared" si="2"/>
        <v>740691.39999999991</v>
      </c>
      <c r="J12" s="254">
        <f t="shared" si="2"/>
        <v>943906.49999999988</v>
      </c>
      <c r="K12" s="254">
        <f t="shared" si="2"/>
        <v>1167346.7999999998</v>
      </c>
      <c r="L12" s="254">
        <f t="shared" si="2"/>
        <v>1409834.4</v>
      </c>
      <c r="M12" s="254">
        <f t="shared" si="2"/>
        <v>1670271.2999999998</v>
      </c>
      <c r="N12" s="254">
        <f t="shared" si="2"/>
        <v>1947589.4</v>
      </c>
      <c r="O12" s="254">
        <f t="shared" si="2"/>
        <v>2246230.9</v>
      </c>
      <c r="P12" s="254">
        <f t="shared" si="2"/>
        <v>2564998</v>
      </c>
      <c r="Q12" s="254">
        <f t="shared" si="2"/>
        <v>2902712.8</v>
      </c>
      <c r="R12" s="254">
        <f t="shared" si="2"/>
        <v>3258327.1999999997</v>
      </c>
      <c r="S12" s="254">
        <f t="shared" si="2"/>
        <v>3630822.9999999995</v>
      </c>
      <c r="T12" s="254">
        <f t="shared" si="2"/>
        <v>4019251.8999999994</v>
      </c>
      <c r="U12" s="254">
        <f t="shared" si="2"/>
        <v>4422705.4999999991</v>
      </c>
      <c r="V12" s="254">
        <f t="shared" si="2"/>
        <v>4840345.2999999989</v>
      </c>
      <c r="W12" s="254">
        <f t="shared" si="2"/>
        <v>5271442.5999999987</v>
      </c>
      <c r="X12" s="254">
        <f t="shared" si="2"/>
        <v>5715268.6999999983</v>
      </c>
      <c r="Y12" s="254">
        <f t="shared" si="2"/>
        <v>6171064.8999999985</v>
      </c>
      <c r="Z12" s="255">
        <f t="shared" si="2"/>
        <v>6638262.1999999983</v>
      </c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</row>
    <row r="13" spans="1:531" s="4" customFormat="1" ht="24" customHeight="1" x14ac:dyDescent="0.2">
      <c r="A13" s="466" t="s">
        <v>588</v>
      </c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  <c r="O13" s="467"/>
      <c r="P13" s="467"/>
      <c r="Q13" s="467"/>
      <c r="R13" s="467"/>
      <c r="S13" s="467"/>
      <c r="T13" s="467"/>
      <c r="U13" s="467"/>
      <c r="V13" s="467"/>
      <c r="W13" s="467"/>
      <c r="X13" s="467"/>
      <c r="Y13" s="467"/>
      <c r="Z13" s="468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</row>
    <row r="14" spans="1:531" ht="19.5" customHeight="1" x14ac:dyDescent="0.2">
      <c r="A14" s="174" t="s">
        <v>589</v>
      </c>
      <c r="B14" s="247" t="s">
        <v>41</v>
      </c>
      <c r="C14" s="256">
        <f>C5*'🔧 Active Scenario'!$B$21*('🔧 Active Scenario'!$B$18*('🔧 Active Scenario'!$B$19/1000000*'🔧 Active Scenario'!$B$14+'🔧 Active Scenario'!$B$20/1000000*'🔧 Active Scenario'!$B$15)*(1-'🔧 Active Scenario'!$B$16)*'🔧 Active Scenario'!$B$11)</f>
        <v>542.58749999999998</v>
      </c>
      <c r="D14" s="256">
        <f>D5*'🔧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E14" s="256">
        <f>E5*'🔧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F14" s="256">
        <f>F5*'🔧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G14" s="256">
        <f>G5*'🔧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H14" s="256">
        <f>H5*'🔧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I14" s="256">
        <f>I5*'🔧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J14" s="256">
        <f>J5*'🔧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K14" s="256">
        <f>K5*'🔧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L14" s="256">
        <f>L5*'🔧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M14" s="256">
        <f>M5*'🔧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N14" s="256">
        <f>N5*'🔧 Active Scenario'!$B$21*('🔧 Active Scenario'!$B$18*('🔧 Active Scenario'!$B$19/1000000*'🔧 Active Scenario'!$B$14+'🔧 Active Scenario'!$B$20/1000000*'🔧 Active Scenario'!$B$15)*(1-'🔧 Active Scenario'!$B$16)*'🔧 Active Scenario'!$B$11)</f>
        <v>813.88125000000002</v>
      </c>
      <c r="O14" s="256">
        <f>O5*'🔧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P14" s="256">
        <f>P5*'🔧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Q14" s="256">
        <f>Q5*'🔧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R14" s="256">
        <f>R5*'🔧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S14" s="256">
        <f>S5*'🔧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T14" s="256">
        <f>T5*'🔧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U14" s="256">
        <f>U5*'🔧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V14" s="256">
        <f>V5*'🔧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W14" s="256">
        <f>W5*'🔧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X14" s="256">
        <f>X5*'🔧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Y14" s="256">
        <f>Y5*'🔧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Z14" s="256">
        <f>Z5*'🔧 Active Scenario'!$B$21*('🔧 Active Scenario'!$B$18*('🔧 Active Scenario'!$B$19/1000000*'🔧 Active Scenario'!$B$14+'🔧 Active Scenario'!$B$20/1000000*'🔧 Active Scenario'!$B$15)*(1-'🔧 Active Scenario'!$B$16)*'🔧 Active Scenario'!$B$11)</f>
        <v>949.52812500000005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</row>
    <row r="15" spans="1:531" ht="19.5" customHeight="1" x14ac:dyDescent="0.2">
      <c r="A15" s="174" t="s">
        <v>590</v>
      </c>
      <c r="B15" s="247" t="s">
        <v>41</v>
      </c>
      <c r="C15" s="256">
        <f>C6*'🔧 Active Scenario'!B22*('🔧 Active Scenario'!B23/1000000*'🔧 Active Scenario'!B12+'🔧 Active Scenario'!B24/1000000*'🔧 Active Scenario'!B13)*(1-'🔧 Active Scenario'!B16)*'🔧 Active Scenario'!B11</f>
        <v>1165.7880000000002</v>
      </c>
      <c r="D15" s="256">
        <f>D6*'🔧 Active Scenario'!B22*('🔧 Active Scenario'!B23/1000000*'🔧 Active Scenario'!B12+'🔧 Active Scenario'!B24/1000000*'🔧 Active Scenario'!B13)*(1-'🔧 Active Scenario'!B16)*'🔧 Active Scenario'!B11</f>
        <v>2821.2069600000004</v>
      </c>
      <c r="E15" s="256">
        <f>E6*'🔧 Active Scenario'!B22*('🔧 Active Scenario'!B23/1000000*'🔧 Active Scenario'!B12+'🔧 Active Scenario'!B24/1000000*'🔧 Active Scenario'!B13)*(1-'🔧 Active Scenario'!B16)*'🔧 Active Scenario'!B11</f>
        <v>4342.5603000000001</v>
      </c>
      <c r="F15" s="256">
        <f>F6*'🔧 Active Scenario'!B22*('🔧 Active Scenario'!B23/1000000*'🔧 Active Scenario'!B12+'🔧 Active Scenario'!B24/1000000*'🔧 Active Scenario'!B13)*(1-'🔧 Active Scenario'!B16)*'🔧 Active Scenario'!B11</f>
        <v>5741.5059000000001</v>
      </c>
      <c r="G15" s="256">
        <f>G6*'🔧 Active Scenario'!B22*('🔧 Active Scenario'!B23/1000000*'🔧 Active Scenario'!B12+'🔧 Active Scenario'!B24/1000000*'🔧 Active Scenario'!B13)*(1-'🔧 Active Scenario'!B16)*'🔧 Active Scenario'!B11</f>
        <v>7029.7016400000011</v>
      </c>
      <c r="H15" s="256">
        <f>H6*'🔧 Active Scenario'!B22*('🔧 Active Scenario'!B23/1000000*'🔧 Active Scenario'!B12+'🔧 Active Scenario'!B24/1000000*'🔧 Active Scenario'!B13)*(1-'🔧 Active Scenario'!B16)*'🔧 Active Scenario'!B11</f>
        <v>8218.8054000000011</v>
      </c>
      <c r="I15" s="256">
        <f>I6*'🔧 Active Scenario'!B22*('🔧 Active Scenario'!B23/1000000*'🔧 Active Scenario'!B12+'🔧 Active Scenario'!B24/1000000*'🔧 Active Scenario'!B13)*(1-'🔧 Active Scenario'!B16)*'🔧 Active Scenario'!B11</f>
        <v>9308.81718</v>
      </c>
      <c r="J15" s="256">
        <f>J6*'🔧 Active Scenario'!B22*('🔧 Active Scenario'!B23/1000000*'🔧 Active Scenario'!B12+'🔧 Active Scenario'!B24/1000000*'🔧 Active Scenario'!B13)*(1-'🔧 Active Scenario'!B16)*'🔧 Active Scenario'!B11</f>
        <v>10311.39486</v>
      </c>
      <c r="K15" s="256">
        <f>K6*'🔧 Active Scenario'!B22*('🔧 Active Scenario'!B23/1000000*'🔧 Active Scenario'!B12+'🔧 Active Scenario'!B24/1000000*'🔧 Active Scenario'!B13)*(1-'🔧 Active Scenario'!B16)*'🔧 Active Scenario'!B11</f>
        <v>11232.36738</v>
      </c>
      <c r="L15" s="256">
        <f>L6*'🔧 Active Scenario'!B22*('🔧 Active Scenario'!B23/1000000*'🔧 Active Scenario'!B12+'🔧 Active Scenario'!B24/1000000*'🔧 Active Scenario'!B13)*(1-'🔧 Active Scenario'!B16)*'🔧 Active Scenario'!B11</f>
        <v>12083.392620000002</v>
      </c>
      <c r="M15" s="256">
        <f>M6*'🔧 Active Scenario'!B22*('🔧 Active Scenario'!B23/1000000*'🔧 Active Scenario'!B12+'🔧 Active Scenario'!B24/1000000*'🔧 Active Scenario'!B13)*(1-'🔧 Active Scenario'!B16)*'🔧 Active Scenario'!B11</f>
        <v>12864.470580000003</v>
      </c>
      <c r="N15" s="256">
        <f>N6*'🔧 Active Scenario'!B22*('🔧 Active Scenario'!B23/1000000*'🔧 Active Scenario'!B12+'🔧 Active Scenario'!B24/1000000*'🔧 Active Scenario'!B13)*(1-'🔧 Active Scenario'!B16)*'🔧 Active Scenario'!B11</f>
        <v>13581.430200000003</v>
      </c>
      <c r="O15" s="256">
        <f>O6*'🔧 Active Scenario'!B22*('🔧 Active Scenario'!B23/1000000*'🔧 Active Scenario'!B12+'🔧 Active Scenario'!B24/1000000*'🔧 Active Scenario'!B13)*(1-'🔧 Active Scenario'!B16)*'🔧 Active Scenario'!B11</f>
        <v>14537.376360000004</v>
      </c>
      <c r="P15" s="256">
        <f>P6*'🔧 Active Scenario'!B22*('🔧 Active Scenario'!B23/1000000*'🔧 Active Scenario'!B12+'🔧 Active Scenario'!B24/1000000*'🔧 Active Scenario'!B13)*(1-'🔧 Active Scenario'!B16)*'🔧 Active Scenario'!B11</f>
        <v>15411.717360000001</v>
      </c>
      <c r="Q15" s="256">
        <f>Q6*'🔧 Active Scenario'!B22*('🔧 Active Scenario'!B23/1000000*'🔧 Active Scenario'!B12+'🔧 Active Scenario'!B24/1000000*'🔧 Active Scenario'!B13)*(1-'🔧 Active Scenario'!B16)*'🔧 Active Scenario'!B11</f>
        <v>16216.111080000001</v>
      </c>
      <c r="R15" s="256">
        <f>R6*'🔧 Active Scenario'!B22*('🔧 Active Scenario'!B23/1000000*'🔧 Active Scenario'!B12+'🔧 Active Scenario'!B24/1000000*'🔧 Active Scenario'!B13)*(1-'🔧 Active Scenario'!B16)*'🔧 Active Scenario'!B11</f>
        <v>16956.386460000002</v>
      </c>
      <c r="S15" s="256">
        <f>S6*'🔧 Active Scenario'!B22*('🔧 Active Scenario'!B23/1000000*'🔧 Active Scenario'!B12+'🔧 Active Scenario'!B24/1000000*'🔧 Active Scenario'!B13)*(1-'🔧 Active Scenario'!B16)*'🔧 Active Scenario'!B11</f>
        <v>17638.372440000003</v>
      </c>
      <c r="T15" s="256">
        <f>T6*'🔧 Active Scenario'!B22*('🔧 Active Scenario'!B23/1000000*'🔧 Active Scenario'!B12+'🔧 Active Scenario'!B24/1000000*'🔧 Active Scenario'!B13)*(1-'🔧 Active Scenario'!B16)*'🔧 Active Scenario'!B11</f>
        <v>18267.897960000002</v>
      </c>
      <c r="U15" s="256">
        <f>U6*'🔧 Active Scenario'!B22*('🔧 Active Scenario'!B23/1000000*'🔧 Active Scenario'!B12+'🔧 Active Scenario'!B24/1000000*'🔧 Active Scenario'!B13)*(1-'🔧 Active Scenario'!B16)*'🔧 Active Scenario'!B11</f>
        <v>18844.963020000003</v>
      </c>
      <c r="V15" s="256">
        <f>V6*'🔧 Active Scenario'!B22*('🔧 Active Scenario'!B23/1000000*'🔧 Active Scenario'!B12+'🔧 Active Scenario'!B24/1000000*'🔧 Active Scenario'!B13)*(1-'🔧 Active Scenario'!B16)*'🔧 Active Scenario'!B11</f>
        <v>19375.396560000001</v>
      </c>
      <c r="W15" s="256">
        <f>W6*'🔧 Active Scenario'!B22*('🔧 Active Scenario'!B23/1000000*'🔧 Active Scenario'!B12+'🔧 Active Scenario'!B24/1000000*'🔧 Active Scenario'!B13)*(1-'🔧 Active Scenario'!B16)*'🔧 Active Scenario'!B11</f>
        <v>19865.02752</v>
      </c>
      <c r="X15" s="256">
        <f>X6*'🔧 Active Scenario'!B22*('🔧 Active Scenario'!B23/1000000*'🔧 Active Scenario'!B12+'🔧 Active Scenario'!B24/1000000*'🔧 Active Scenario'!B13)*(1-'🔧 Active Scenario'!B16)*'🔧 Active Scenario'!B11</f>
        <v>20313.855900000002</v>
      </c>
      <c r="Y15" s="256">
        <f>Y6*'🔧 Active Scenario'!B22*('🔧 Active Scenario'!B23/1000000*'🔧 Active Scenario'!B12+'🔧 Active Scenario'!B24/1000000*'🔧 Active Scenario'!B13)*(1-'🔧 Active Scenario'!B16)*'🔧 Active Scenario'!B11</f>
        <v>20727.710640000001</v>
      </c>
      <c r="Z15" s="257">
        <f>Z6*'🔧 Active Scenario'!B22*('🔧 Active Scenario'!B23/1000000*'🔧 Active Scenario'!B12+'🔧 Active Scenario'!B24/1000000*'🔧 Active Scenario'!B13)*(1-'🔧 Active Scenario'!B16)*'🔧 Active Scenario'!B11</f>
        <v>21112.420680000003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</row>
    <row r="16" spans="1:531" ht="19.5" customHeight="1" x14ac:dyDescent="0.2">
      <c r="A16" s="174" t="s">
        <v>591</v>
      </c>
      <c r="B16" s="247" t="s">
        <v>41</v>
      </c>
      <c r="C16" s="256">
        <f>C7*('🔧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1423.7496000000001</v>
      </c>
      <c r="D16" s="256">
        <f>D7*('🔧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3488.1865200000002</v>
      </c>
      <c r="E16" s="256">
        <f>E7*('🔧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5450.9270400000005</v>
      </c>
      <c r="F16" s="256">
        <f>F7*('🔧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7311.971160000001</v>
      </c>
      <c r="G16" s="256">
        <f>G7*('🔧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9081.4885200000008</v>
      </c>
      <c r="H16" s="256">
        <f>H7*('🔧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10759.479120000002</v>
      </c>
      <c r="I16" s="256">
        <f>I7*('🔧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12356.112600000002</v>
      </c>
      <c r="J16" s="256">
        <f>J7*('🔧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13871.388960000002</v>
      </c>
      <c r="K16" s="256">
        <f>K7*('🔧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15315.477840000001</v>
      </c>
      <c r="L16" s="256">
        <f>L7*('🔧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16688.379240000002</v>
      </c>
      <c r="M16" s="256">
        <f>M7*('🔧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17990.09316</v>
      </c>
      <c r="N16" s="256">
        <f>N7*('🔧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19230.789240000002</v>
      </c>
      <c r="O16" s="256">
        <f>O7*('🔧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20756.235240000002</v>
      </c>
      <c r="P16" s="256">
        <f>P7*('🔧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22210.493760000001</v>
      </c>
      <c r="Q16" s="256">
        <f>Q7*('🔧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23593.564800000004</v>
      </c>
      <c r="R16" s="256">
        <f>R7*('🔧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24905.448360000002</v>
      </c>
      <c r="S16" s="256">
        <f>S7*('🔧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26156.314080000004</v>
      </c>
      <c r="T16" s="256">
        <f>T7*('🔧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27335.992320000005</v>
      </c>
      <c r="U16" s="256">
        <f>U7*('🔧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28464.822360000002</v>
      </c>
      <c r="V16" s="256">
        <f>V7*('🔧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29532.634560000002</v>
      </c>
      <c r="W16" s="256">
        <f>W7*('🔧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30549.598560000002</v>
      </c>
      <c r="X16" s="256">
        <f>X7*('🔧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31515.714360000002</v>
      </c>
      <c r="Y16" s="256">
        <f>Y7*('🔧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32430.981960000005</v>
      </c>
      <c r="Z16" s="257">
        <f>Z7*('🔧 Active Scenario'!B22*('🔧 Active Scenario'!B23/1000000*'🔧 Active Scenario'!B12+'🔧 Active Scenario'!B24/1000000*'🔧 Active Scenario'!B13)*(1-'🔧 Active Scenario'!B16)*'🔧 Active Scenario'!B11+'🔧 Active Scenario'!B25*('🔧 Active Scenario'!B26/1000000*'🔧 Active Scenario'!B12+'🔧 Active Scenario'!B27/1000000*'🔧 Active Scenario'!B13)*(1-'🔧 Active Scenario'!B16)*'🔧 Active Scenario'!B11)</f>
        <v>33305.571000000004</v>
      </c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</row>
    <row r="17" spans="1:531" ht="19.5" customHeight="1" x14ac:dyDescent="0.2">
      <c r="A17" s="174" t="s">
        <v>592</v>
      </c>
      <c r="B17" s="247" t="s">
        <v>41</v>
      </c>
      <c r="C17" s="256">
        <f>C8*('🔧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530.80560000000003</v>
      </c>
      <c r="D17" s="256">
        <f>D8*('🔧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1313.74386</v>
      </c>
      <c r="E17" s="256">
        <f>E8*('🔧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2070.1418400000002</v>
      </c>
      <c r="F17" s="256">
        <f>F8*('🔧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2799.9995400000003</v>
      </c>
      <c r="G17" s="256">
        <f>G8*('🔧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3516.5871000000002</v>
      </c>
      <c r="H17" s="256">
        <f>H8*('🔧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4206.6343800000004</v>
      </c>
      <c r="I17" s="256">
        <f>I8*('🔧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4870.1413800000009</v>
      </c>
      <c r="J17" s="256">
        <f>J8*('🔧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5520.3782400000009</v>
      </c>
      <c r="K17" s="256">
        <f>K8*('🔧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6157.3449600000004</v>
      </c>
      <c r="L17" s="256">
        <f>L8*('🔧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6767.7714000000005</v>
      </c>
      <c r="M17" s="256">
        <f>M8*('🔧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7364.9277000000011</v>
      </c>
      <c r="N17" s="256">
        <f>N8*('🔧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7935.5437200000006</v>
      </c>
      <c r="O17" s="256">
        <f>O8*('🔧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8625.5910000000003</v>
      </c>
      <c r="P17" s="256">
        <f>P8*('🔧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9302.3681400000005</v>
      </c>
      <c r="Q17" s="256">
        <f>Q8*('🔧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9952.6050000000014</v>
      </c>
      <c r="R17" s="256">
        <f>R8*('🔧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10589.571720000002</v>
      </c>
      <c r="S17" s="256">
        <f>S8*('🔧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11199.998160000001</v>
      </c>
      <c r="T17" s="256">
        <f>T8*('🔧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11797.154460000002</v>
      </c>
      <c r="U17" s="256">
        <f>U8*('🔧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12367.770480000001</v>
      </c>
      <c r="V17" s="256">
        <f>V8*('🔧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12925.116360000002</v>
      </c>
      <c r="W17" s="256">
        <f>W8*('🔧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13469.192100000002</v>
      </c>
      <c r="X17" s="256">
        <f>X8*('🔧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13999.997700000002</v>
      </c>
      <c r="Y17" s="256">
        <f>Y8*('🔧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14504.263020000002</v>
      </c>
      <c r="Z17" s="257">
        <f>Z8*('🔧 Active Scenario'!B22*('🔧 Active Scenario'!B23/1000000*'🔧 Active Scenario'!B12+'🔧 Active Scenario'!B24/1000000*'🔧 Active Scenario'!B13)*(1-'🔧 Active Scenario'!B16)*'🔧 Active Scenario'!B11+'🔧 Active Scenario'!B28*('🔧 Active Scenario'!B26/1000000*'🔧 Active Scenario'!B12+'🔧 Active Scenario'!B27/1000000*'🔧 Active Scenario'!B13)*(1-'🔧 Active Scenario'!B16)*'🔧 Active Scenario'!B11)</f>
        <v>14995.258200000002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</row>
    <row r="18" spans="1:531" ht="19.5" customHeight="1" x14ac:dyDescent="0.2">
      <c r="A18" s="250" t="s">
        <v>42</v>
      </c>
      <c r="B18" s="247" t="s">
        <v>41</v>
      </c>
      <c r="C18" s="258">
        <f t="shared" ref="C18:Z18" si="3">SUM(C14:C17)</f>
        <v>3662.9307000000003</v>
      </c>
      <c r="D18" s="258">
        <f t="shared" si="3"/>
        <v>8437.0185900000015</v>
      </c>
      <c r="E18" s="258">
        <f t="shared" si="3"/>
        <v>12677.510430000002</v>
      </c>
      <c r="F18" s="258">
        <f t="shared" si="3"/>
        <v>16667.35785</v>
      </c>
      <c r="G18" s="258">
        <f t="shared" si="3"/>
        <v>20441.658510000005</v>
      </c>
      <c r="H18" s="258">
        <f t="shared" si="3"/>
        <v>23998.800150000003</v>
      </c>
      <c r="I18" s="258">
        <f t="shared" si="3"/>
        <v>27348.952410000005</v>
      </c>
      <c r="J18" s="258">
        <f t="shared" si="3"/>
        <v>30517.043310000005</v>
      </c>
      <c r="K18" s="258">
        <f t="shared" si="3"/>
        <v>33519.071430000004</v>
      </c>
      <c r="L18" s="258">
        <f t="shared" si="3"/>
        <v>36353.424510000004</v>
      </c>
      <c r="M18" s="258">
        <f t="shared" si="3"/>
        <v>39033.372690000004</v>
      </c>
      <c r="N18" s="258">
        <f t="shared" si="3"/>
        <v>41561.644410000008</v>
      </c>
      <c r="O18" s="258">
        <f t="shared" si="3"/>
        <v>44868.730725000009</v>
      </c>
      <c r="P18" s="258">
        <f t="shared" si="3"/>
        <v>47874.107385000003</v>
      </c>
      <c r="Q18" s="258">
        <f t="shared" si="3"/>
        <v>50711.80900500001</v>
      </c>
      <c r="R18" s="258">
        <f t="shared" si="3"/>
        <v>53400.934665000001</v>
      </c>
      <c r="S18" s="258">
        <f t="shared" si="3"/>
        <v>55944.21280500001</v>
      </c>
      <c r="T18" s="258">
        <f t="shared" si="3"/>
        <v>58350.572865000009</v>
      </c>
      <c r="U18" s="258">
        <f t="shared" si="3"/>
        <v>60627.083985000005</v>
      </c>
      <c r="V18" s="258">
        <f t="shared" si="3"/>
        <v>62782.675605000004</v>
      </c>
      <c r="W18" s="258">
        <f t="shared" si="3"/>
        <v>64833.346304999999</v>
      </c>
      <c r="X18" s="258">
        <f t="shared" si="3"/>
        <v>66779.096085000012</v>
      </c>
      <c r="Y18" s="258">
        <f t="shared" si="3"/>
        <v>68612.483745000005</v>
      </c>
      <c r="Z18" s="259">
        <f t="shared" si="3"/>
        <v>70362.778005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</row>
    <row r="19" spans="1:531" s="5" customFormat="1" ht="24" customHeight="1" x14ac:dyDescent="0.2">
      <c r="A19" s="452" t="s">
        <v>593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4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  <c r="IX19" s="260"/>
      <c r="IY19" s="260"/>
      <c r="IZ19" s="260"/>
      <c r="JA19" s="260"/>
      <c r="JB19" s="260"/>
      <c r="JC19" s="260"/>
      <c r="JD19" s="260"/>
      <c r="JE19" s="260"/>
      <c r="JF19" s="260"/>
      <c r="JG19" s="260"/>
      <c r="JH19" s="260"/>
      <c r="JI19" s="260"/>
      <c r="JJ19" s="260"/>
      <c r="JK19" s="260"/>
      <c r="JL19" s="260"/>
      <c r="JM19" s="260"/>
      <c r="JN19" s="260"/>
      <c r="JO19" s="260"/>
      <c r="JP19" s="260"/>
      <c r="JQ19" s="260"/>
      <c r="JR19" s="260"/>
      <c r="JS19" s="260"/>
      <c r="JT19" s="260"/>
      <c r="JU19" s="260"/>
      <c r="JV19" s="260"/>
      <c r="JW19" s="260"/>
      <c r="JX19" s="260"/>
      <c r="JY19" s="260"/>
      <c r="JZ19" s="260"/>
      <c r="KA19" s="260"/>
      <c r="KB19" s="260"/>
      <c r="KC19" s="260"/>
      <c r="KD19" s="260"/>
      <c r="KE19" s="260"/>
      <c r="KF19" s="260"/>
      <c r="KG19" s="260"/>
      <c r="KH19" s="260"/>
      <c r="KI19" s="260"/>
      <c r="KJ19" s="260"/>
      <c r="KK19" s="260"/>
      <c r="KL19" s="260"/>
      <c r="KM19" s="260"/>
      <c r="KN19" s="260"/>
      <c r="KO19" s="260"/>
      <c r="KP19" s="260"/>
      <c r="KQ19" s="260"/>
      <c r="KR19" s="260"/>
      <c r="KS19" s="260"/>
      <c r="KT19" s="260"/>
      <c r="KU19" s="260"/>
      <c r="KV19" s="260"/>
      <c r="KW19" s="260"/>
      <c r="KX19" s="260"/>
      <c r="KY19" s="260"/>
      <c r="KZ19" s="260"/>
      <c r="LA19" s="260"/>
      <c r="LB19" s="260"/>
      <c r="LC19" s="260"/>
      <c r="LD19" s="260"/>
      <c r="LE19" s="260"/>
      <c r="LF19" s="260"/>
      <c r="LG19" s="260"/>
      <c r="LH19" s="260"/>
      <c r="LI19" s="260"/>
      <c r="LJ19" s="260"/>
      <c r="LK19" s="260"/>
      <c r="LL19" s="260"/>
      <c r="LM19" s="260"/>
      <c r="LN19" s="260"/>
      <c r="LO19" s="260"/>
      <c r="LP19" s="260"/>
      <c r="LQ19" s="260"/>
      <c r="LR19" s="260"/>
      <c r="LS19" s="260"/>
      <c r="LT19" s="260"/>
      <c r="LU19" s="260"/>
      <c r="LV19" s="260"/>
      <c r="LW19" s="260"/>
      <c r="LX19" s="260"/>
      <c r="LY19" s="260"/>
      <c r="LZ19" s="260"/>
      <c r="MA19" s="260"/>
      <c r="MB19" s="260"/>
      <c r="MC19" s="260"/>
      <c r="MD19" s="260"/>
      <c r="ME19" s="260"/>
      <c r="MF19" s="260"/>
      <c r="MG19" s="260"/>
      <c r="MH19" s="260"/>
      <c r="MI19" s="260"/>
      <c r="MJ19" s="260"/>
      <c r="MK19" s="260"/>
      <c r="ML19" s="260"/>
      <c r="MM19" s="260"/>
      <c r="MN19" s="260"/>
      <c r="MO19" s="260"/>
      <c r="MP19" s="260"/>
      <c r="MQ19" s="260"/>
      <c r="MR19" s="260"/>
      <c r="MS19" s="260"/>
      <c r="MT19" s="260"/>
      <c r="MU19" s="260"/>
      <c r="MV19" s="260"/>
      <c r="MW19" s="260"/>
      <c r="MX19" s="260"/>
      <c r="MY19" s="260"/>
      <c r="MZ19" s="260"/>
      <c r="NA19" s="260"/>
      <c r="NB19" s="260"/>
      <c r="NC19" s="260"/>
      <c r="ND19" s="260"/>
      <c r="NE19" s="260"/>
      <c r="NF19" s="260"/>
      <c r="NG19" s="260"/>
      <c r="NH19" s="260"/>
      <c r="NI19" s="260"/>
      <c r="NJ19" s="260"/>
      <c r="NK19" s="260"/>
      <c r="NL19" s="260"/>
      <c r="NM19" s="260"/>
      <c r="NN19" s="260"/>
      <c r="NO19" s="260"/>
      <c r="NP19" s="260"/>
      <c r="NQ19" s="260"/>
      <c r="NR19" s="260"/>
      <c r="NS19" s="260"/>
      <c r="NT19" s="260"/>
      <c r="NU19" s="260"/>
      <c r="NV19" s="260"/>
      <c r="NW19" s="260"/>
      <c r="NX19" s="260"/>
      <c r="NY19" s="260"/>
      <c r="NZ19" s="260"/>
      <c r="OA19" s="260"/>
      <c r="OB19" s="260"/>
      <c r="OC19" s="260"/>
      <c r="OD19" s="260"/>
      <c r="OE19" s="260"/>
      <c r="OF19" s="260"/>
      <c r="OG19" s="260"/>
      <c r="OH19" s="260"/>
      <c r="OI19" s="260"/>
      <c r="OJ19" s="260"/>
      <c r="OK19" s="260"/>
      <c r="OL19" s="260"/>
      <c r="OM19" s="260"/>
      <c r="ON19" s="260"/>
      <c r="OO19" s="260"/>
      <c r="OP19" s="260"/>
      <c r="OQ19" s="260"/>
      <c r="OR19" s="260"/>
      <c r="OS19" s="260"/>
      <c r="OT19" s="260"/>
      <c r="OU19" s="260"/>
      <c r="OV19" s="260"/>
      <c r="OW19" s="260"/>
      <c r="OX19" s="260"/>
      <c r="OY19" s="260"/>
      <c r="OZ19" s="260"/>
      <c r="PA19" s="260"/>
      <c r="PB19" s="260"/>
      <c r="PC19" s="260"/>
      <c r="PD19" s="260"/>
      <c r="PE19" s="260"/>
      <c r="PF19" s="260"/>
      <c r="PG19" s="260"/>
      <c r="PH19" s="260"/>
      <c r="PI19" s="260"/>
      <c r="PJ19" s="260"/>
      <c r="PK19" s="260"/>
      <c r="PL19" s="260"/>
      <c r="PM19" s="260"/>
      <c r="PN19" s="260"/>
      <c r="PO19" s="260"/>
      <c r="PP19" s="260"/>
      <c r="PQ19" s="260"/>
      <c r="PR19" s="260"/>
      <c r="PS19" s="260"/>
      <c r="PT19" s="260"/>
      <c r="PU19" s="260"/>
      <c r="PV19" s="260"/>
      <c r="PW19" s="260"/>
      <c r="PX19" s="260"/>
      <c r="PY19" s="260"/>
      <c r="PZ19" s="260"/>
      <c r="QA19" s="260"/>
      <c r="QB19" s="260"/>
      <c r="QC19" s="260"/>
      <c r="QD19" s="260"/>
      <c r="QE19" s="260"/>
      <c r="QF19" s="260"/>
      <c r="QG19" s="260"/>
      <c r="QH19" s="260"/>
      <c r="QI19" s="260"/>
      <c r="QJ19" s="260"/>
      <c r="QK19" s="260"/>
      <c r="QL19" s="260"/>
      <c r="QM19" s="260"/>
      <c r="QN19" s="260"/>
      <c r="QO19" s="260"/>
      <c r="QP19" s="260"/>
      <c r="QQ19" s="260"/>
      <c r="QR19" s="260"/>
      <c r="QS19" s="260"/>
      <c r="QT19" s="260"/>
      <c r="QU19" s="260"/>
      <c r="QV19" s="260"/>
      <c r="QW19" s="260"/>
      <c r="QX19" s="260"/>
      <c r="QY19" s="260"/>
      <c r="QZ19" s="260"/>
      <c r="RA19" s="260"/>
      <c r="RB19" s="260"/>
      <c r="RC19" s="260"/>
      <c r="RD19" s="260"/>
      <c r="RE19" s="260"/>
      <c r="RF19" s="260"/>
      <c r="RG19" s="260"/>
      <c r="RH19" s="260"/>
      <c r="RI19" s="260"/>
      <c r="RJ19" s="260"/>
      <c r="RK19" s="260"/>
      <c r="RL19" s="260"/>
      <c r="RM19" s="260"/>
      <c r="RN19" s="260"/>
      <c r="RO19" s="260"/>
      <c r="RP19" s="260"/>
      <c r="RQ19" s="260"/>
      <c r="RR19" s="260"/>
      <c r="RS19" s="260"/>
      <c r="RT19" s="260"/>
      <c r="RU19" s="260"/>
      <c r="RV19" s="260"/>
      <c r="RW19" s="260"/>
      <c r="RX19" s="260"/>
      <c r="RY19" s="260"/>
      <c r="RZ19" s="260"/>
      <c r="SA19" s="260"/>
      <c r="SB19" s="260"/>
      <c r="SC19" s="260"/>
      <c r="SD19" s="260"/>
      <c r="SE19" s="260"/>
      <c r="SF19" s="260"/>
      <c r="SG19" s="260"/>
      <c r="SH19" s="260"/>
      <c r="SI19" s="260"/>
      <c r="SJ19" s="260"/>
      <c r="SK19" s="260"/>
      <c r="SL19" s="260"/>
      <c r="SM19" s="260"/>
      <c r="SN19" s="260"/>
      <c r="SO19" s="260"/>
      <c r="SP19" s="260"/>
      <c r="SQ19" s="260"/>
      <c r="SR19" s="260"/>
      <c r="SS19" s="260"/>
      <c r="ST19" s="260"/>
      <c r="SU19" s="260"/>
      <c r="SV19" s="260"/>
      <c r="SW19" s="260"/>
      <c r="SX19" s="260"/>
      <c r="SY19" s="260"/>
      <c r="SZ19" s="260"/>
      <c r="TA19" s="260"/>
      <c r="TB19" s="260"/>
      <c r="TC19" s="260"/>
      <c r="TD19" s="260"/>
      <c r="TE19" s="260"/>
      <c r="TF19" s="260"/>
      <c r="TG19" s="260"/>
      <c r="TH19" s="260"/>
      <c r="TI19" s="260"/>
      <c r="TJ19" s="260"/>
      <c r="TK19" s="260"/>
    </row>
    <row r="20" spans="1:531" ht="19.5" customHeight="1" x14ac:dyDescent="0.2">
      <c r="A20" s="174" t="s">
        <v>594</v>
      </c>
      <c r="B20" s="247" t="s">
        <v>41</v>
      </c>
      <c r="C20" s="261">
        <f>'🔧 Active Scenario'!B39+'🔧 Active Scenario'!B41+'🔧 Active Scenario'!B43+'🔧 Active Scenario'!B45</f>
        <v>55000</v>
      </c>
      <c r="D20" s="261">
        <f>'🔧 Active Scenario'!B39+'🔧 Active Scenario'!B41+'🔧 Active Scenario'!B43+'🔧 Active Scenario'!B45</f>
        <v>55000</v>
      </c>
      <c r="E20" s="261">
        <f>'🔧 Active Scenario'!B39+'🔧 Active Scenario'!B41+'🔧 Active Scenario'!B43+'🔧 Active Scenario'!B45</f>
        <v>55000</v>
      </c>
      <c r="F20" s="261">
        <f>'🔧 Active Scenario'!B39+'🔧 Active Scenario'!B41+'🔧 Active Scenario'!B43+'🔧 Active Scenario'!B45</f>
        <v>55000</v>
      </c>
      <c r="G20" s="261">
        <f>'🔧 Active Scenario'!B39+'🔧 Active Scenario'!B41+'🔧 Active Scenario'!B43+'🔧 Active Scenario'!B45</f>
        <v>55000</v>
      </c>
      <c r="H20" s="261">
        <f>'🔧 Active Scenario'!B39+'🔧 Active Scenario'!B41+'🔧 Active Scenario'!B43+'🔧 Active Scenario'!B45</f>
        <v>55000</v>
      </c>
      <c r="I20" s="261">
        <f>'🔧 Active Scenario'!B39+'🔧 Active Scenario'!B41+'🔧 Active Scenario'!B43+'🔧 Active Scenario'!B45</f>
        <v>55000</v>
      </c>
      <c r="J20" s="261">
        <f>'🔧 Active Scenario'!B39+'🔧 Active Scenario'!B41+'🔧 Active Scenario'!B43+'🔧 Active Scenario'!B45</f>
        <v>55000</v>
      </c>
      <c r="K20" s="261">
        <f>'🔧 Active Scenario'!B39+'🔧 Active Scenario'!B41+'🔧 Active Scenario'!B43+'🔧 Active Scenario'!B45</f>
        <v>55000</v>
      </c>
      <c r="L20" s="261">
        <f>'🔧 Active Scenario'!B39+'🔧 Active Scenario'!B41+'🔧 Active Scenario'!B43+'🔧 Active Scenario'!B45</f>
        <v>55000</v>
      </c>
      <c r="M20" s="261">
        <f>'🔧 Active Scenario'!B39+'🔧 Active Scenario'!B41+'🔧 Active Scenario'!B43+'🔧 Active Scenario'!B45</f>
        <v>55000</v>
      </c>
      <c r="N20" s="261">
        <f>'🔧 Active Scenario'!B39+'🔧 Active Scenario'!B41+'🔧 Active Scenario'!B43+'🔧 Active Scenario'!B45</f>
        <v>55000</v>
      </c>
      <c r="O20" s="261">
        <f>'🔧 Active Scenario'!B40+'🔧 Active Scenario'!B42+'🔧 Active Scenario'!B44+'🔧 Active Scenario'!B45</f>
        <v>70000</v>
      </c>
      <c r="P20" s="261">
        <f>'🔧 Active Scenario'!B40+'🔧 Active Scenario'!B42+'🔧 Active Scenario'!B44+'🔧 Active Scenario'!B45</f>
        <v>70000</v>
      </c>
      <c r="Q20" s="261">
        <f>'🔧 Active Scenario'!B40+'🔧 Active Scenario'!B42+'🔧 Active Scenario'!B44+'🔧 Active Scenario'!B45</f>
        <v>70000</v>
      </c>
      <c r="R20" s="261">
        <f>'🔧 Active Scenario'!B40+'🔧 Active Scenario'!B42+'🔧 Active Scenario'!B44+'🔧 Active Scenario'!B45</f>
        <v>70000</v>
      </c>
      <c r="S20" s="261">
        <f>'🔧 Active Scenario'!B40+'🔧 Active Scenario'!B42+'🔧 Active Scenario'!B44+'🔧 Active Scenario'!B45</f>
        <v>70000</v>
      </c>
      <c r="T20" s="261">
        <f>'🔧 Active Scenario'!B40+'🔧 Active Scenario'!B42+'🔧 Active Scenario'!B44+'🔧 Active Scenario'!B45</f>
        <v>70000</v>
      </c>
      <c r="U20" s="261">
        <f>'🔧 Active Scenario'!B40+'🔧 Active Scenario'!B42+'🔧 Active Scenario'!B44+'🔧 Active Scenario'!B45</f>
        <v>70000</v>
      </c>
      <c r="V20" s="261">
        <f>'🔧 Active Scenario'!B40+'🔧 Active Scenario'!B42+'🔧 Active Scenario'!B44+'🔧 Active Scenario'!B45</f>
        <v>70000</v>
      </c>
      <c r="W20" s="261">
        <f>'🔧 Active Scenario'!B40+'🔧 Active Scenario'!B42+'🔧 Active Scenario'!B44+'🔧 Active Scenario'!B45</f>
        <v>70000</v>
      </c>
      <c r="X20" s="261">
        <f>'🔧 Active Scenario'!B40+'🔧 Active Scenario'!B42+'🔧 Active Scenario'!B44+'🔧 Active Scenario'!B45</f>
        <v>70000</v>
      </c>
      <c r="Y20" s="261">
        <f>'🔧 Active Scenario'!B40+'🔧 Active Scenario'!B42+'🔧 Active Scenario'!B44+'🔧 Active Scenario'!B45</f>
        <v>70000</v>
      </c>
      <c r="Z20" s="262">
        <f>'🔧 Active Scenario'!B40+'🔧 Active Scenario'!B42+'🔧 Active Scenario'!B44+'🔧 Active Scenario'!B45</f>
        <v>70000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</row>
    <row r="21" spans="1:531" ht="19.5" customHeight="1" x14ac:dyDescent="0.2">
      <c r="A21" s="250" t="s">
        <v>153</v>
      </c>
      <c r="B21" s="263" t="s">
        <v>41</v>
      </c>
      <c r="C21" s="264">
        <f>C11*'🔧 Active Scenario'!$B$59</f>
        <v>2803.06</v>
      </c>
      <c r="D21" s="264">
        <f>D11*'🔧 Active Scenario'!$B$59</f>
        <v>6838.9620000000004</v>
      </c>
      <c r="E21" s="264">
        <f>E11*'🔧 Active Scenario'!$B$59</f>
        <v>10627.018999999998</v>
      </c>
      <c r="F21" s="264">
        <f>F11*'🔧 Active Scenario'!$B$59</f>
        <v>14180.205</v>
      </c>
      <c r="G21" s="264">
        <f>G11*'🔧 Active Scenario'!$B$59</f>
        <v>17529.668000000001</v>
      </c>
      <c r="H21" s="264">
        <f>H11*'🔧 Active Scenario'!$B$59</f>
        <v>20677.994999999999</v>
      </c>
      <c r="I21" s="264">
        <f>I11*'🔧 Active Scenario'!$B$59</f>
        <v>23632.972999999998</v>
      </c>
      <c r="J21" s="264">
        <f>J11*'🔧 Active Scenario'!$B$59</f>
        <v>26417.962999999996</v>
      </c>
      <c r="K21" s="264">
        <f>K11*'🔧 Active Scenario'!$B$59</f>
        <v>29047.239000000005</v>
      </c>
      <c r="L21" s="264">
        <f>L11*'🔧 Active Scenario'!$B$59</f>
        <v>31523.387999999999</v>
      </c>
      <c r="M21" s="264">
        <f>M11*'🔧 Active Scenario'!$B$59</f>
        <v>33856.796999999999</v>
      </c>
      <c r="N21" s="264">
        <f>N11*'🔧 Active Scenario'!$B$59</f>
        <v>36051.352999999996</v>
      </c>
      <c r="O21" s="264">
        <f>O11*'🔧 Active Scenario'!$B$59</f>
        <v>38823.395000000004</v>
      </c>
      <c r="P21" s="264">
        <f>P11*'🔧 Active Scenario'!$B$59</f>
        <v>41439.723000000005</v>
      </c>
      <c r="Q21" s="264">
        <f>Q11*'🔧 Active Scenario'!$B$59</f>
        <v>43902.923999999999</v>
      </c>
      <c r="R21" s="264">
        <f>R11*'🔧 Active Scenario'!$B$59</f>
        <v>46229.872000000003</v>
      </c>
      <c r="S21" s="264">
        <f>S11*'🔧 Active Scenario'!$B$59</f>
        <v>48424.453999999991</v>
      </c>
      <c r="T21" s="264">
        <f>T11*'🔧 Active Scenario'!$B$59</f>
        <v>50495.757000000005</v>
      </c>
      <c r="U21" s="264">
        <f>U11*'🔧 Active Scenario'!$B$59</f>
        <v>52448.968000000001</v>
      </c>
      <c r="V21" s="264">
        <f>V11*'🔧 Active Scenario'!$B$59</f>
        <v>54293.174000000006</v>
      </c>
      <c r="W21" s="264">
        <f>W11*'🔧 Active Scenario'!$B$59</f>
        <v>56042.648999999998</v>
      </c>
      <c r="X21" s="264">
        <f>X11*'🔧 Active Scenario'!$B$59</f>
        <v>57697.392999999996</v>
      </c>
      <c r="Y21" s="264">
        <f>Y11*'🔧 Active Scenario'!$B$59</f>
        <v>59253.506000000001</v>
      </c>
      <c r="Z21" s="265">
        <f>Z11*'🔧 Active Scenario'!$B$59</f>
        <v>60735.648999999998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</row>
    <row r="22" spans="1:531" s="5" customFormat="1" ht="24" customHeight="1" x14ac:dyDescent="0.2">
      <c r="A22" s="455" t="s">
        <v>595</v>
      </c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7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0"/>
      <c r="CI22" s="260"/>
      <c r="CJ22" s="260"/>
      <c r="CK22" s="260"/>
      <c r="CL22" s="260"/>
      <c r="CM22" s="260"/>
      <c r="CN22" s="260"/>
      <c r="CO22" s="260"/>
      <c r="CP22" s="260"/>
      <c r="CQ22" s="260"/>
      <c r="CR22" s="260"/>
      <c r="CS22" s="260"/>
      <c r="CT22" s="260"/>
      <c r="CU22" s="260"/>
      <c r="CV22" s="260"/>
      <c r="CW22" s="260"/>
      <c r="CX22" s="260"/>
      <c r="CY22" s="260"/>
      <c r="CZ22" s="260"/>
      <c r="DA22" s="260"/>
      <c r="DB22" s="260"/>
      <c r="DC22" s="260"/>
      <c r="DD22" s="260"/>
      <c r="DE22" s="260"/>
      <c r="DF22" s="260"/>
      <c r="DG22" s="260"/>
      <c r="DH22" s="260"/>
      <c r="DI22" s="260"/>
      <c r="DJ22" s="260"/>
      <c r="DK22" s="260"/>
      <c r="DL22" s="260"/>
      <c r="DM22" s="260"/>
      <c r="DN22" s="260"/>
      <c r="DO22" s="260"/>
      <c r="DP22" s="260"/>
      <c r="DQ22" s="260"/>
      <c r="DR22" s="260"/>
      <c r="DS22" s="260"/>
      <c r="DT22" s="260"/>
      <c r="DU22" s="260"/>
      <c r="DV22" s="260"/>
      <c r="DW22" s="260"/>
      <c r="DX22" s="260"/>
      <c r="DY22" s="260"/>
      <c r="DZ22" s="260"/>
      <c r="EA22" s="260"/>
      <c r="EB22" s="260"/>
      <c r="EC22" s="260"/>
      <c r="ED22" s="260"/>
      <c r="EE22" s="260"/>
      <c r="EF22" s="260"/>
      <c r="EG22" s="260"/>
      <c r="EH22" s="260"/>
      <c r="EI22" s="260"/>
      <c r="EJ22" s="260"/>
      <c r="EK22" s="260"/>
      <c r="EL22" s="260"/>
      <c r="EM22" s="260"/>
      <c r="EN22" s="260"/>
      <c r="EO22" s="260"/>
      <c r="EP22" s="260"/>
      <c r="EQ22" s="260"/>
      <c r="ER22" s="260"/>
      <c r="ES22" s="260"/>
      <c r="ET22" s="260"/>
      <c r="EU22" s="260"/>
      <c r="EV22" s="260"/>
      <c r="EW22" s="260"/>
      <c r="EX22" s="260"/>
      <c r="EY22" s="260"/>
      <c r="EZ22" s="260"/>
      <c r="FA22" s="260"/>
      <c r="FB22" s="260"/>
      <c r="FC22" s="260"/>
      <c r="FD22" s="260"/>
      <c r="FE22" s="260"/>
      <c r="FF22" s="260"/>
      <c r="FG22" s="260"/>
      <c r="FH22" s="260"/>
      <c r="FI22" s="260"/>
      <c r="FJ22" s="260"/>
      <c r="FK22" s="260"/>
      <c r="FL22" s="260"/>
      <c r="FM22" s="260"/>
      <c r="FN22" s="260"/>
      <c r="FO22" s="260"/>
      <c r="FP22" s="260"/>
      <c r="FQ22" s="260"/>
      <c r="FR22" s="260"/>
      <c r="FS22" s="260"/>
      <c r="FT22" s="260"/>
      <c r="FU22" s="260"/>
      <c r="FV22" s="260"/>
      <c r="FW22" s="260"/>
      <c r="FX22" s="260"/>
      <c r="FY22" s="260"/>
      <c r="FZ22" s="260"/>
      <c r="GA22" s="260"/>
      <c r="GB22" s="260"/>
      <c r="GC22" s="260"/>
      <c r="GD22" s="260"/>
      <c r="GE22" s="260"/>
      <c r="GF22" s="260"/>
      <c r="GG22" s="260"/>
      <c r="GH22" s="260"/>
      <c r="GI22" s="260"/>
      <c r="GJ22" s="260"/>
      <c r="GK22" s="260"/>
      <c r="GL22" s="260"/>
      <c r="GM22" s="260"/>
      <c r="GN22" s="260"/>
      <c r="GO22" s="260"/>
      <c r="GP22" s="260"/>
      <c r="GQ22" s="260"/>
      <c r="GR22" s="260"/>
      <c r="GS22" s="260"/>
      <c r="GT22" s="260"/>
      <c r="GU22" s="260"/>
      <c r="GV22" s="260"/>
      <c r="GW22" s="260"/>
      <c r="GX22" s="260"/>
      <c r="GY22" s="260"/>
      <c r="GZ22" s="260"/>
      <c r="HA22" s="260"/>
      <c r="HB22" s="260"/>
      <c r="HC22" s="260"/>
      <c r="HD22" s="260"/>
      <c r="HE22" s="260"/>
      <c r="HF22" s="260"/>
      <c r="HG22" s="260"/>
      <c r="HH22" s="260"/>
      <c r="HI22" s="260"/>
      <c r="HJ22" s="260"/>
      <c r="HK22" s="260"/>
      <c r="HL22" s="260"/>
      <c r="HM22" s="260"/>
      <c r="HN22" s="260"/>
      <c r="HO22" s="260"/>
      <c r="HP22" s="260"/>
      <c r="HQ22" s="260"/>
      <c r="HR22" s="260"/>
      <c r="HS22" s="260"/>
      <c r="HT22" s="260"/>
      <c r="HU22" s="260"/>
      <c r="HV22" s="260"/>
      <c r="HW22" s="260"/>
      <c r="HX22" s="260"/>
      <c r="HY22" s="260"/>
      <c r="HZ22" s="260"/>
      <c r="IA22" s="260"/>
      <c r="IB22" s="260"/>
      <c r="IC22" s="260"/>
      <c r="ID22" s="260"/>
      <c r="IE22" s="260"/>
      <c r="IF22" s="260"/>
      <c r="IG22" s="260"/>
      <c r="IH22" s="260"/>
      <c r="II22" s="260"/>
      <c r="IJ22" s="260"/>
      <c r="IK22" s="260"/>
      <c r="IL22" s="260"/>
      <c r="IM22" s="260"/>
      <c r="IN22" s="260"/>
      <c r="IO22" s="260"/>
      <c r="IP22" s="260"/>
      <c r="IQ22" s="260"/>
      <c r="IR22" s="260"/>
      <c r="IS22" s="260"/>
      <c r="IT22" s="260"/>
      <c r="IU22" s="260"/>
      <c r="IV22" s="260"/>
      <c r="IW22" s="260"/>
      <c r="IX22" s="260"/>
      <c r="IY22" s="260"/>
      <c r="IZ22" s="260"/>
      <c r="JA22" s="260"/>
      <c r="JB22" s="260"/>
      <c r="JC22" s="260"/>
      <c r="JD22" s="260"/>
      <c r="JE22" s="260"/>
      <c r="JF22" s="260"/>
      <c r="JG22" s="260"/>
      <c r="JH22" s="260"/>
      <c r="JI22" s="260"/>
      <c r="JJ22" s="260"/>
      <c r="JK22" s="260"/>
      <c r="JL22" s="260"/>
      <c r="JM22" s="260"/>
      <c r="JN22" s="260"/>
      <c r="JO22" s="260"/>
      <c r="JP22" s="260"/>
      <c r="JQ22" s="260"/>
      <c r="JR22" s="260"/>
      <c r="JS22" s="260"/>
      <c r="JT22" s="260"/>
      <c r="JU22" s="260"/>
      <c r="JV22" s="260"/>
      <c r="JW22" s="260"/>
      <c r="JX22" s="260"/>
      <c r="JY22" s="260"/>
      <c r="JZ22" s="260"/>
      <c r="KA22" s="260"/>
      <c r="KB22" s="260"/>
      <c r="KC22" s="260"/>
      <c r="KD22" s="260"/>
      <c r="KE22" s="260"/>
      <c r="KF22" s="260"/>
      <c r="KG22" s="260"/>
      <c r="KH22" s="260"/>
      <c r="KI22" s="260"/>
      <c r="KJ22" s="260"/>
      <c r="KK22" s="260"/>
      <c r="KL22" s="260"/>
      <c r="KM22" s="260"/>
      <c r="KN22" s="260"/>
      <c r="KO22" s="260"/>
      <c r="KP22" s="260"/>
      <c r="KQ22" s="260"/>
      <c r="KR22" s="260"/>
      <c r="KS22" s="260"/>
      <c r="KT22" s="260"/>
      <c r="KU22" s="260"/>
      <c r="KV22" s="260"/>
      <c r="KW22" s="260"/>
      <c r="KX22" s="260"/>
      <c r="KY22" s="260"/>
      <c r="KZ22" s="260"/>
      <c r="LA22" s="260"/>
      <c r="LB22" s="260"/>
      <c r="LC22" s="260"/>
      <c r="LD22" s="260"/>
      <c r="LE22" s="260"/>
      <c r="LF22" s="260"/>
      <c r="LG22" s="260"/>
      <c r="LH22" s="260"/>
      <c r="LI22" s="260"/>
      <c r="LJ22" s="260"/>
      <c r="LK22" s="260"/>
      <c r="LL22" s="260"/>
      <c r="LM22" s="260"/>
      <c r="LN22" s="260"/>
      <c r="LO22" s="260"/>
      <c r="LP22" s="260"/>
      <c r="LQ22" s="260"/>
      <c r="LR22" s="260"/>
      <c r="LS22" s="260"/>
      <c r="LT22" s="260"/>
      <c r="LU22" s="260"/>
      <c r="LV22" s="260"/>
      <c r="LW22" s="260"/>
      <c r="LX22" s="260"/>
      <c r="LY22" s="260"/>
      <c r="LZ22" s="260"/>
      <c r="MA22" s="260"/>
      <c r="MB22" s="260"/>
      <c r="MC22" s="260"/>
      <c r="MD22" s="260"/>
      <c r="ME22" s="260"/>
      <c r="MF22" s="260"/>
      <c r="MG22" s="260"/>
      <c r="MH22" s="260"/>
      <c r="MI22" s="260"/>
      <c r="MJ22" s="260"/>
      <c r="MK22" s="260"/>
      <c r="ML22" s="260"/>
      <c r="MM22" s="260"/>
      <c r="MN22" s="260"/>
      <c r="MO22" s="260"/>
      <c r="MP22" s="260"/>
      <c r="MQ22" s="260"/>
      <c r="MR22" s="260"/>
      <c r="MS22" s="260"/>
      <c r="MT22" s="260"/>
      <c r="MU22" s="260"/>
      <c r="MV22" s="260"/>
      <c r="MW22" s="260"/>
      <c r="MX22" s="260"/>
      <c r="MY22" s="260"/>
      <c r="MZ22" s="260"/>
      <c r="NA22" s="260"/>
      <c r="NB22" s="260"/>
      <c r="NC22" s="260"/>
      <c r="ND22" s="260"/>
      <c r="NE22" s="260"/>
      <c r="NF22" s="260"/>
      <c r="NG22" s="260"/>
      <c r="NH22" s="260"/>
      <c r="NI22" s="260"/>
      <c r="NJ22" s="260"/>
      <c r="NK22" s="260"/>
      <c r="NL22" s="260"/>
      <c r="NM22" s="260"/>
      <c r="NN22" s="260"/>
      <c r="NO22" s="260"/>
      <c r="NP22" s="260"/>
      <c r="NQ22" s="260"/>
      <c r="NR22" s="260"/>
      <c r="NS22" s="260"/>
      <c r="NT22" s="260"/>
      <c r="NU22" s="260"/>
      <c r="NV22" s="260"/>
      <c r="NW22" s="260"/>
      <c r="NX22" s="260"/>
      <c r="NY22" s="260"/>
      <c r="NZ22" s="260"/>
      <c r="OA22" s="260"/>
      <c r="OB22" s="260"/>
      <c r="OC22" s="260"/>
      <c r="OD22" s="260"/>
      <c r="OE22" s="260"/>
      <c r="OF22" s="260"/>
      <c r="OG22" s="260"/>
      <c r="OH22" s="260"/>
      <c r="OI22" s="260"/>
      <c r="OJ22" s="260"/>
      <c r="OK22" s="260"/>
      <c r="OL22" s="260"/>
      <c r="OM22" s="260"/>
      <c r="ON22" s="260"/>
      <c r="OO22" s="260"/>
      <c r="OP22" s="260"/>
      <c r="OQ22" s="260"/>
      <c r="OR22" s="260"/>
      <c r="OS22" s="260"/>
      <c r="OT22" s="260"/>
      <c r="OU22" s="260"/>
      <c r="OV22" s="260"/>
      <c r="OW22" s="260"/>
      <c r="OX22" s="260"/>
      <c r="OY22" s="260"/>
      <c r="OZ22" s="260"/>
      <c r="PA22" s="260"/>
      <c r="PB22" s="260"/>
      <c r="PC22" s="260"/>
      <c r="PD22" s="260"/>
      <c r="PE22" s="260"/>
      <c r="PF22" s="260"/>
      <c r="PG22" s="260"/>
      <c r="PH22" s="260"/>
      <c r="PI22" s="260"/>
      <c r="PJ22" s="260"/>
      <c r="PK22" s="260"/>
      <c r="PL22" s="260"/>
      <c r="PM22" s="260"/>
      <c r="PN22" s="260"/>
      <c r="PO22" s="260"/>
      <c r="PP22" s="260"/>
      <c r="PQ22" s="260"/>
      <c r="PR22" s="260"/>
      <c r="PS22" s="260"/>
      <c r="PT22" s="260"/>
      <c r="PU22" s="260"/>
      <c r="PV22" s="260"/>
      <c r="PW22" s="260"/>
      <c r="PX22" s="260"/>
      <c r="PY22" s="260"/>
      <c r="PZ22" s="260"/>
      <c r="QA22" s="260"/>
      <c r="QB22" s="260"/>
      <c r="QC22" s="260"/>
      <c r="QD22" s="260"/>
      <c r="QE22" s="260"/>
      <c r="QF22" s="260"/>
      <c r="QG22" s="260"/>
      <c r="QH22" s="260"/>
      <c r="QI22" s="260"/>
      <c r="QJ22" s="260"/>
      <c r="QK22" s="260"/>
      <c r="QL22" s="260"/>
      <c r="QM22" s="260"/>
      <c r="QN22" s="260"/>
      <c r="QO22" s="260"/>
      <c r="QP22" s="260"/>
      <c r="QQ22" s="260"/>
      <c r="QR22" s="260"/>
      <c r="QS22" s="260"/>
      <c r="QT22" s="260"/>
      <c r="QU22" s="260"/>
      <c r="QV22" s="260"/>
      <c r="QW22" s="260"/>
      <c r="QX22" s="260"/>
      <c r="QY22" s="260"/>
      <c r="QZ22" s="260"/>
      <c r="RA22" s="260"/>
      <c r="RB22" s="260"/>
      <c r="RC22" s="260"/>
      <c r="RD22" s="260"/>
      <c r="RE22" s="260"/>
      <c r="RF22" s="260"/>
      <c r="RG22" s="260"/>
      <c r="RH22" s="260"/>
      <c r="RI22" s="260"/>
      <c r="RJ22" s="260"/>
      <c r="RK22" s="260"/>
      <c r="RL22" s="260"/>
      <c r="RM22" s="260"/>
      <c r="RN22" s="260"/>
      <c r="RO22" s="260"/>
      <c r="RP22" s="260"/>
      <c r="RQ22" s="260"/>
      <c r="RR22" s="260"/>
      <c r="RS22" s="260"/>
      <c r="RT22" s="260"/>
      <c r="RU22" s="260"/>
      <c r="RV22" s="260"/>
      <c r="RW22" s="260"/>
      <c r="RX22" s="260"/>
      <c r="RY22" s="260"/>
      <c r="RZ22" s="260"/>
      <c r="SA22" s="260"/>
      <c r="SB22" s="260"/>
      <c r="SC22" s="260"/>
      <c r="SD22" s="260"/>
      <c r="SE22" s="260"/>
      <c r="SF22" s="260"/>
      <c r="SG22" s="260"/>
      <c r="SH22" s="260"/>
      <c r="SI22" s="260"/>
      <c r="SJ22" s="260"/>
      <c r="SK22" s="260"/>
      <c r="SL22" s="260"/>
      <c r="SM22" s="260"/>
      <c r="SN22" s="260"/>
      <c r="SO22" s="260"/>
      <c r="SP22" s="260"/>
      <c r="SQ22" s="260"/>
      <c r="SR22" s="260"/>
      <c r="SS22" s="260"/>
      <c r="ST22" s="260"/>
      <c r="SU22" s="260"/>
      <c r="SV22" s="260"/>
      <c r="SW22" s="260"/>
      <c r="SX22" s="260"/>
      <c r="SY22" s="260"/>
      <c r="SZ22" s="260"/>
      <c r="TA22" s="260"/>
      <c r="TB22" s="260"/>
      <c r="TC22" s="260"/>
      <c r="TD22" s="260"/>
      <c r="TE22" s="260"/>
      <c r="TF22" s="260"/>
      <c r="TG22" s="260"/>
      <c r="TH22" s="260"/>
      <c r="TI22" s="260"/>
      <c r="TJ22" s="260"/>
      <c r="TK22" s="260"/>
    </row>
    <row r="23" spans="1:531" ht="19.5" customHeight="1" x14ac:dyDescent="0.2">
      <c r="A23" s="174" t="s">
        <v>596</v>
      </c>
      <c r="B23" s="247" t="s">
        <v>41</v>
      </c>
      <c r="C23" s="266">
        <f>C18+C20+C21</f>
        <v>61465.990699999995</v>
      </c>
      <c r="D23" s="266">
        <f t="shared" ref="D23:Z23" si="4">D18+D20+D21</f>
        <v>70275.980590000006</v>
      </c>
      <c r="E23" s="266">
        <f t="shared" si="4"/>
        <v>78304.529429999995</v>
      </c>
      <c r="F23" s="266">
        <f t="shared" si="4"/>
        <v>85847.562850000002</v>
      </c>
      <c r="G23" s="266">
        <f t="shared" si="4"/>
        <v>92971.326510000014</v>
      </c>
      <c r="H23" s="266">
        <f t="shared" si="4"/>
        <v>99676.795149999991</v>
      </c>
      <c r="I23" s="266">
        <f t="shared" si="4"/>
        <v>105981.92541</v>
      </c>
      <c r="J23" s="266">
        <f t="shared" si="4"/>
        <v>111935.00631</v>
      </c>
      <c r="K23" s="266">
        <f t="shared" si="4"/>
        <v>117566.31043000001</v>
      </c>
      <c r="L23" s="266">
        <f t="shared" si="4"/>
        <v>122876.81251000002</v>
      </c>
      <c r="M23" s="266">
        <f t="shared" si="4"/>
        <v>127890.16969000001</v>
      </c>
      <c r="N23" s="266">
        <f t="shared" si="4"/>
        <v>132612.99741000001</v>
      </c>
      <c r="O23" s="266">
        <f t="shared" si="4"/>
        <v>153692.12572499999</v>
      </c>
      <c r="P23" s="266">
        <f t="shared" si="4"/>
        <v>159313.83038500001</v>
      </c>
      <c r="Q23" s="266">
        <f t="shared" si="4"/>
        <v>164614.73300500002</v>
      </c>
      <c r="R23" s="266">
        <f t="shared" si="4"/>
        <v>169630.80666500001</v>
      </c>
      <c r="S23" s="266">
        <f t="shared" si="4"/>
        <v>174368.66680500002</v>
      </c>
      <c r="T23" s="266">
        <f t="shared" si="4"/>
        <v>178846.32986500001</v>
      </c>
      <c r="U23" s="266">
        <f t="shared" si="4"/>
        <v>183076.051985</v>
      </c>
      <c r="V23" s="266">
        <f t="shared" si="4"/>
        <v>187075.849605</v>
      </c>
      <c r="W23" s="266">
        <f t="shared" si="4"/>
        <v>190875.99530500002</v>
      </c>
      <c r="X23" s="266">
        <f t="shared" si="4"/>
        <v>194476.48908500001</v>
      </c>
      <c r="Y23" s="266">
        <f t="shared" si="4"/>
        <v>197865.989745</v>
      </c>
      <c r="Z23" s="267">
        <f t="shared" si="4"/>
        <v>201098.42700500001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</row>
    <row r="24" spans="1:531" ht="19.5" customHeight="1" x14ac:dyDescent="0.2">
      <c r="A24" s="268" t="s">
        <v>597</v>
      </c>
      <c r="B24" s="269" t="s">
        <v>41</v>
      </c>
      <c r="C24" s="270">
        <f t="shared" ref="C24:Z24" si="5">C11-C23</f>
        <v>-39903.990699999995</v>
      </c>
      <c r="D24" s="270">
        <f t="shared" si="5"/>
        <v>-17668.580590000005</v>
      </c>
      <c r="E24" s="270">
        <f t="shared" si="5"/>
        <v>3441.7705699999933</v>
      </c>
      <c r="F24" s="270">
        <f t="shared" si="5"/>
        <v>23230.937149999998</v>
      </c>
      <c r="G24" s="270">
        <f t="shared" si="5"/>
        <v>41872.273489999992</v>
      </c>
      <c r="H24" s="270">
        <f t="shared" si="5"/>
        <v>59384.704850000009</v>
      </c>
      <c r="I24" s="270">
        <f t="shared" si="5"/>
        <v>75810.174589999981</v>
      </c>
      <c r="J24" s="270">
        <f t="shared" si="5"/>
        <v>91280.09368999998</v>
      </c>
      <c r="K24" s="270">
        <f t="shared" si="5"/>
        <v>105873.98957000001</v>
      </c>
      <c r="L24" s="270">
        <f t="shared" si="5"/>
        <v>119610.78748999996</v>
      </c>
      <c r="M24" s="270">
        <f t="shared" si="5"/>
        <v>132546.73030999998</v>
      </c>
      <c r="N24" s="270">
        <f t="shared" si="5"/>
        <v>144705.10258999997</v>
      </c>
      <c r="O24" s="270">
        <f t="shared" si="5"/>
        <v>144949.37427500001</v>
      </c>
      <c r="P24" s="270">
        <f t="shared" si="5"/>
        <v>159453.26961500003</v>
      </c>
      <c r="Q24" s="270">
        <f t="shared" si="5"/>
        <v>173100.06699499997</v>
      </c>
      <c r="R24" s="270">
        <f t="shared" si="5"/>
        <v>185983.59333500001</v>
      </c>
      <c r="S24" s="270">
        <f t="shared" si="5"/>
        <v>198127.13319499991</v>
      </c>
      <c r="T24" s="270">
        <f t="shared" si="5"/>
        <v>209582.57013500002</v>
      </c>
      <c r="U24" s="270">
        <f t="shared" si="5"/>
        <v>220377.54801499998</v>
      </c>
      <c r="V24" s="270">
        <f t="shared" si="5"/>
        <v>230563.95039500005</v>
      </c>
      <c r="W24" s="270">
        <f t="shared" si="5"/>
        <v>240221.30469499997</v>
      </c>
      <c r="X24" s="270">
        <f t="shared" si="5"/>
        <v>249349.61091499997</v>
      </c>
      <c r="Y24" s="270">
        <f t="shared" si="5"/>
        <v>257930.21025500001</v>
      </c>
      <c r="Z24" s="271">
        <f t="shared" si="5"/>
        <v>266098.87299499998</v>
      </c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</row>
    <row r="25" spans="1:531" ht="19.5" customHeight="1" x14ac:dyDescent="0.2">
      <c r="A25" s="268" t="s">
        <v>598</v>
      </c>
      <c r="B25" s="272" t="s">
        <v>41</v>
      </c>
      <c r="C25" s="270">
        <f>C24</f>
        <v>-39903.990699999995</v>
      </c>
      <c r="D25" s="270">
        <f t="shared" ref="D25:Z25" si="6">C25+D24</f>
        <v>-57572.57129</v>
      </c>
      <c r="E25" s="270">
        <f t="shared" si="6"/>
        <v>-54130.800720000007</v>
      </c>
      <c r="F25" s="270">
        <f t="shared" si="6"/>
        <v>-30899.863570000009</v>
      </c>
      <c r="G25" s="270">
        <f t="shared" si="6"/>
        <v>10972.409919999984</v>
      </c>
      <c r="H25" s="270">
        <f t="shared" si="6"/>
        <v>70357.114769999986</v>
      </c>
      <c r="I25" s="270">
        <f t="shared" si="6"/>
        <v>146167.28935999997</v>
      </c>
      <c r="J25" s="270">
        <f t="shared" si="6"/>
        <v>237447.38304999995</v>
      </c>
      <c r="K25" s="270">
        <f t="shared" si="6"/>
        <v>343321.37261999992</v>
      </c>
      <c r="L25" s="270">
        <f t="shared" si="6"/>
        <v>462932.16010999988</v>
      </c>
      <c r="M25" s="270">
        <f t="shared" si="6"/>
        <v>595478.89041999984</v>
      </c>
      <c r="N25" s="270">
        <f t="shared" si="6"/>
        <v>740183.99300999986</v>
      </c>
      <c r="O25" s="270">
        <f t="shared" si="6"/>
        <v>885133.36728499993</v>
      </c>
      <c r="P25" s="270">
        <f t="shared" si="6"/>
        <v>1044586.6368999999</v>
      </c>
      <c r="Q25" s="270">
        <f t="shared" si="6"/>
        <v>1217686.7038949998</v>
      </c>
      <c r="R25" s="270">
        <f t="shared" si="6"/>
        <v>1403670.2972299999</v>
      </c>
      <c r="S25" s="270">
        <f t="shared" si="6"/>
        <v>1601797.4304249999</v>
      </c>
      <c r="T25" s="270">
        <f t="shared" si="6"/>
        <v>1811380.0005599998</v>
      </c>
      <c r="U25" s="270">
        <f t="shared" si="6"/>
        <v>2031757.5485749999</v>
      </c>
      <c r="V25" s="270">
        <f t="shared" si="6"/>
        <v>2262321.4989700001</v>
      </c>
      <c r="W25" s="270">
        <f t="shared" si="6"/>
        <v>2502542.803665</v>
      </c>
      <c r="X25" s="270">
        <f t="shared" si="6"/>
        <v>2751892.4145800001</v>
      </c>
      <c r="Y25" s="270">
        <f t="shared" si="6"/>
        <v>3009822.6248349999</v>
      </c>
      <c r="Z25" s="271">
        <f t="shared" si="6"/>
        <v>3275921.4978299998</v>
      </c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</row>
    <row r="26" spans="1:531" ht="19.5" customHeight="1" thickBot="1" x14ac:dyDescent="0.25">
      <c r="A26" s="273" t="s">
        <v>599</v>
      </c>
      <c r="B26" s="274" t="s">
        <v>43</v>
      </c>
      <c r="C26" s="275">
        <f t="shared" ref="C26:Z26" si="7">IF(C11=0,0,1-C18/C11)</f>
        <v>0.83012101382061032</v>
      </c>
      <c r="D26" s="275">
        <f t="shared" si="7"/>
        <v>0.83962296958222604</v>
      </c>
      <c r="E26" s="275">
        <f t="shared" si="7"/>
        <v>0.84491640074229657</v>
      </c>
      <c r="F26" s="275">
        <f t="shared" si="7"/>
        <v>0.84719850520496709</v>
      </c>
      <c r="G26" s="275">
        <f t="shared" si="7"/>
        <v>0.84840468134935576</v>
      </c>
      <c r="H26" s="275">
        <f t="shared" si="7"/>
        <v>0.84912250827510116</v>
      </c>
      <c r="I26" s="275">
        <f t="shared" si="7"/>
        <v>0.84955918100951577</v>
      </c>
      <c r="J26" s="275">
        <f t="shared" si="7"/>
        <v>0.84982885961722332</v>
      </c>
      <c r="K26" s="275">
        <f t="shared" si="7"/>
        <v>0.84998645530819639</v>
      </c>
      <c r="L26" s="275">
        <f t="shared" si="7"/>
        <v>0.85008130514714975</v>
      </c>
      <c r="M26" s="275">
        <f t="shared" si="7"/>
        <v>0.85012349367543538</v>
      </c>
      <c r="N26" s="275">
        <f t="shared" si="7"/>
        <v>0.85013006936799285</v>
      </c>
      <c r="O26" s="275">
        <f t="shared" si="7"/>
        <v>0.84975721483785738</v>
      </c>
      <c r="P26" s="275">
        <f t="shared" si="7"/>
        <v>0.84981477892480117</v>
      </c>
      <c r="Q26" s="275">
        <f t="shared" si="7"/>
        <v>0.84983835767635885</v>
      </c>
      <c r="R26" s="275">
        <f t="shared" si="7"/>
        <v>0.84983472360793044</v>
      </c>
      <c r="S26" s="275">
        <f t="shared" si="7"/>
        <v>0.84981250042282352</v>
      </c>
      <c r="T26" s="275">
        <f t="shared" si="7"/>
        <v>0.84977798288180928</v>
      </c>
      <c r="U26" s="275">
        <f t="shared" si="7"/>
        <v>0.84972972360390386</v>
      </c>
      <c r="V26" s="275">
        <f t="shared" si="7"/>
        <v>0.84967267103135291</v>
      </c>
      <c r="W26" s="275">
        <f t="shared" si="7"/>
        <v>0.84960855402017132</v>
      </c>
      <c r="X26" s="275">
        <f t="shared" si="7"/>
        <v>0.84953769937144297</v>
      </c>
      <c r="Y26" s="275">
        <f t="shared" si="7"/>
        <v>0.84946674907557362</v>
      </c>
      <c r="Z26" s="276">
        <f t="shared" si="7"/>
        <v>0.84939386848982212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</row>
  </sheetData>
  <mergeCells count="6">
    <mergeCell ref="A19:Z19"/>
    <mergeCell ref="A22:Z22"/>
    <mergeCell ref="A2:B2"/>
    <mergeCell ref="A4:Z4"/>
    <mergeCell ref="A10:Z10"/>
    <mergeCell ref="A13:Z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6A7D"/>
  </sheetPr>
  <dimension ref="A1:Z89"/>
  <sheetViews>
    <sheetView showGridLines="0" tabSelected="1" zoomScale="150" zoomScaleNormal="150" workbookViewId="0">
      <selection activeCell="F32" sqref="F32"/>
    </sheetView>
  </sheetViews>
  <sheetFormatPr baseColWidth="10" defaultColWidth="8.6640625" defaultRowHeight="15" outlineLevelRow="2" x14ac:dyDescent="0.2"/>
  <cols>
    <col min="1" max="1" width="32.6640625" customWidth="1"/>
    <col min="2" max="2" width="15" customWidth="1"/>
    <col min="3" max="3" width="17.83203125" customWidth="1"/>
    <col min="4" max="4" width="17.1640625" customWidth="1"/>
    <col min="5" max="5" width="19.83203125" customWidth="1"/>
  </cols>
  <sheetData>
    <row r="1" spans="1:26" ht="39.75" customHeight="1" x14ac:dyDescent="0.2">
      <c r="A1" s="426" t="s">
        <v>601</v>
      </c>
      <c r="B1" s="427"/>
      <c r="C1" s="427"/>
      <c r="D1" s="427"/>
      <c r="E1" s="476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 spans="1:26" ht="15" customHeight="1" x14ac:dyDescent="0.2">
      <c r="A2" s="477" t="s">
        <v>602</v>
      </c>
      <c r="B2" s="478"/>
      <c r="C2" s="478"/>
      <c r="D2" s="478"/>
      <c r="E2" s="479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5.5" customHeight="1" x14ac:dyDescent="0.2">
      <c r="A3" s="278" t="s">
        <v>603</v>
      </c>
      <c r="B3" s="279" t="s">
        <v>114</v>
      </c>
      <c r="C3" s="198" t="s">
        <v>479</v>
      </c>
      <c r="D3" s="198" t="s">
        <v>224</v>
      </c>
      <c r="E3" s="280" t="s">
        <v>604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 customHeight="1" x14ac:dyDescent="0.2">
      <c r="A4" s="439" t="s">
        <v>605</v>
      </c>
      <c r="B4" s="440"/>
      <c r="C4" s="440"/>
      <c r="D4" s="440"/>
      <c r="E4" s="47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.75" customHeight="1" x14ac:dyDescent="0.2">
      <c r="A5" s="174" t="s">
        <v>145</v>
      </c>
      <c r="B5" s="281">
        <f>'🎛️ Assumptions'!B48</f>
        <v>80</v>
      </c>
      <c r="C5" s="282">
        <f>'🎛️ Assumptions'!C48</f>
        <v>60</v>
      </c>
      <c r="D5" s="283">
        <f>'🎛️ Assumptions'!D48</f>
        <v>60</v>
      </c>
      <c r="E5" s="284" t="s">
        <v>628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.75" customHeight="1" x14ac:dyDescent="0.2">
      <c r="A6" s="174" t="s">
        <v>502</v>
      </c>
      <c r="B6" s="285">
        <f>'🎛️ Assumptions'!B36</f>
        <v>0.08</v>
      </c>
      <c r="C6" s="286">
        <f>'🎛️ Assumptions'!C36</f>
        <v>7.0000000000000007E-2</v>
      </c>
      <c r="D6" s="287">
        <f>'🎛️ Assumptions'!D36</f>
        <v>0.05</v>
      </c>
      <c r="E6" s="284" t="s">
        <v>315</v>
      </c>
      <c r="F6" s="15"/>
      <c r="G6" s="15"/>
      <c r="H6" s="288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.75" customHeight="1" x14ac:dyDescent="0.2">
      <c r="A7" s="174" t="s">
        <v>606</v>
      </c>
      <c r="B7" s="285">
        <f>1-(1-'🎛️ Assumptions'!B36)^12</f>
        <v>0.63233361234511754</v>
      </c>
      <c r="C7" s="286">
        <f>1-(1-'🎛️ Assumptions'!C36)^12</f>
        <v>0.58140370252062967</v>
      </c>
      <c r="D7" s="287">
        <f>1-(1-'🎛️ Assumptions'!D36)^12</f>
        <v>0.45963991233736312</v>
      </c>
      <c r="E7" s="284" t="s">
        <v>629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 x14ac:dyDescent="0.2">
      <c r="A8" s="174" t="s">
        <v>607</v>
      </c>
      <c r="B8" s="289">
        <f>'🎛️ Assumptions'!B52</f>
        <v>3</v>
      </c>
      <c r="C8" s="290">
        <f>'🎛️ Assumptions'!C52</f>
        <v>5</v>
      </c>
      <c r="D8" s="291">
        <f>'🎛️ Assumptions'!D52</f>
        <v>7</v>
      </c>
      <c r="E8" s="284" t="s">
        <v>44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 x14ac:dyDescent="0.2">
      <c r="A9" s="174" t="s">
        <v>608</v>
      </c>
      <c r="B9" s="285">
        <f>'🎛️ Assumptions'!B20</f>
        <v>0.5</v>
      </c>
      <c r="C9" s="286">
        <f>'🎛️ Assumptions'!C20</f>
        <v>0.5</v>
      </c>
      <c r="D9" s="287">
        <f>'🎛️ Assumptions'!D20</f>
        <v>0.5</v>
      </c>
      <c r="E9" s="284" t="s">
        <v>630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.75" customHeight="1" x14ac:dyDescent="0.2">
      <c r="A10" s="174" t="s">
        <v>609</v>
      </c>
      <c r="B10" s="285">
        <f>'🎛️ Assumptions'!B33</f>
        <v>0.1</v>
      </c>
      <c r="C10" s="286">
        <f>'🎛️ Assumptions'!C33</f>
        <v>0.15</v>
      </c>
      <c r="D10" s="287">
        <f>'🎛️ Assumptions'!D33</f>
        <v>0.2</v>
      </c>
      <c r="E10" s="284" t="s">
        <v>631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 x14ac:dyDescent="0.2">
      <c r="A11" s="439" t="s">
        <v>610</v>
      </c>
      <c r="B11" s="440"/>
      <c r="C11" s="440"/>
      <c r="D11" s="440"/>
      <c r="E11" s="47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 x14ac:dyDescent="0.2">
      <c r="A12" s="174" t="s">
        <v>611</v>
      </c>
      <c r="B12" s="292">
        <f>('🎛️ Assumptions'!B21*('🎛️ Assumptions'!B22/1000000*'🎛️ Assumptions'!B13+'🎛️ Assumptions'!B23/1000000*'🎛️ Assumptions'!B14)*(1-'🎛️ Assumptions'!B15)*'🎛️ Assumptions'!B10)</f>
        <v>5.8289400000000002</v>
      </c>
      <c r="C12" s="293">
        <f>('🎛️ Assumptions'!C21*('🎛️ Assumptions'!C22/1000000*'🎛️ Assumptions'!C13+'🎛️ Assumptions'!C23/1000000*'🎛️ Assumptions'!C14)*(1-'🎛️ Assumptions'!C15)*'🎛️ Assumptions'!C10)</f>
        <v>6.5444400000000007</v>
      </c>
      <c r="D12" s="294">
        <f>('🎛️ Assumptions'!D21*('🎛️ Assumptions'!D22/1000000*'🎛️ Assumptions'!D13+'🎛️ Assumptions'!D23/1000000*'🎛️ Assumptions'!D14)*(1-'🎛️ Assumptions'!D15)*'🎛️ Assumptions'!D10)</f>
        <v>8.3427300000000013</v>
      </c>
      <c r="E12" s="284" t="s">
        <v>632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 x14ac:dyDescent="0.2">
      <c r="A13" s="174" t="s">
        <v>612</v>
      </c>
      <c r="B13" s="292">
        <f>('🎛️ Assumptions'!B5+'🎛️ Assumptions'!B8-('🎛️ Assumptions'!B21*('🎛️ Assumptions'!B22/1000000*'🎛️ Assumptions'!B13+'🎛️ Assumptions'!B23/1000000*'🎛️ Assumptions'!B14)*(1-'🎛️ Assumptions'!B15)*'🎛️ Assumptions'!B10))</f>
        <v>44.071059999999996</v>
      </c>
      <c r="C13" s="293">
        <f>('🎛️ Assumptions'!C5+'🎛️ Assumptions'!C8-('🎛️ Assumptions'!C21*('🎛️ Assumptions'!C22/1000000*'🎛️ Assumptions'!C13+'🎛️ Assumptions'!C23/1000000*'🎛️ Assumptions'!C14)*(1-'🎛️ Assumptions'!C15)*'🎛️ Assumptions'!C10))</f>
        <v>43.355559999999997</v>
      </c>
      <c r="D13" s="294">
        <f>('🎛️ Assumptions'!D5+'🎛️ Assumptions'!D8-('🎛️ Assumptions'!D21*('🎛️ Assumptions'!D22/1000000*'🎛️ Assumptions'!D13+'🎛️ Assumptions'!D23/1000000*'🎛️ Assumptions'!D14)*(1-'🎛️ Assumptions'!D15)*'🎛️ Assumptions'!D10))</f>
        <v>41.557269999999995</v>
      </c>
      <c r="E13" s="284" t="s">
        <v>633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 x14ac:dyDescent="0.2">
      <c r="A14" s="174" t="s">
        <v>613</v>
      </c>
      <c r="B14" s="295">
        <f>1/'🎛️ Assumptions'!B36</f>
        <v>12.5</v>
      </c>
      <c r="C14" s="296">
        <f>1/'🎛️ Assumptions'!C36</f>
        <v>14.285714285714285</v>
      </c>
      <c r="D14" s="297">
        <f>1/'🎛️ Assumptions'!D36</f>
        <v>20</v>
      </c>
      <c r="E14" s="284" t="s">
        <v>45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.75" customHeight="1" x14ac:dyDescent="0.2">
      <c r="A15" s="174" t="s">
        <v>0</v>
      </c>
      <c r="B15" s="281">
        <f>B13*B14</f>
        <v>550.88824999999997</v>
      </c>
      <c r="C15" s="282">
        <f>C13*C14</f>
        <v>619.36514285714281</v>
      </c>
      <c r="D15" s="283">
        <f>D13*D14</f>
        <v>831.14539999999988</v>
      </c>
      <c r="E15" s="284" t="s">
        <v>634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.75" customHeight="1" x14ac:dyDescent="0.2">
      <c r="A16" s="174" t="s">
        <v>1</v>
      </c>
      <c r="B16" s="298">
        <f>IFERROR(B15/B5,0)</f>
        <v>6.886103125</v>
      </c>
      <c r="C16" s="299">
        <f>IFERROR(C15/C5,0)</f>
        <v>10.32275238095238</v>
      </c>
      <c r="D16" s="300">
        <f>IFERROR(D15/D5,0)</f>
        <v>13.852423333333331</v>
      </c>
      <c r="E16" s="284" t="s">
        <v>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 x14ac:dyDescent="0.2">
      <c r="A17" s="174" t="s">
        <v>152</v>
      </c>
      <c r="B17" s="301">
        <f>IFERROR(B5/B13,0)</f>
        <v>1.8152501891263793</v>
      </c>
      <c r="C17" s="302">
        <f>IFERROR(C5/C13,0)</f>
        <v>1.3839055475237778</v>
      </c>
      <c r="D17" s="303">
        <f>IFERROR(D5/D13,0)</f>
        <v>1.4437907013622406</v>
      </c>
      <c r="E17" s="284" t="s">
        <v>635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 x14ac:dyDescent="0.2">
      <c r="A18" s="439" t="s">
        <v>614</v>
      </c>
      <c r="B18" s="440"/>
      <c r="C18" s="440"/>
      <c r="D18" s="440"/>
      <c r="E18" s="47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 x14ac:dyDescent="0.2">
      <c r="A19" s="174" t="s">
        <v>615</v>
      </c>
      <c r="B19" s="281">
        <f>SUM(B56:Y56)</f>
        <v>6638262.1999999983</v>
      </c>
      <c r="C19" s="282">
        <f>SUM(B68:Y68)</f>
        <v>10164898.699999999</v>
      </c>
      <c r="D19" s="283">
        <f>SUM(B80:Y80)</f>
        <v>14454603.799999999</v>
      </c>
      <c r="E19" s="284" t="s">
        <v>636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.75" customHeight="1" x14ac:dyDescent="0.2">
      <c r="A20" s="174" t="s">
        <v>616</v>
      </c>
      <c r="B20" s="289">
        <f>'🎛️ Assumptions'!B52</f>
        <v>3</v>
      </c>
      <c r="C20" s="290">
        <f>'🎛️ Assumptions'!C52</f>
        <v>5</v>
      </c>
      <c r="D20" s="291">
        <f>'🎛️ Assumptions'!D52</f>
        <v>7</v>
      </c>
      <c r="E20" s="284" t="s">
        <v>637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 x14ac:dyDescent="0.2">
      <c r="A21" s="174" t="s">
        <v>617</v>
      </c>
      <c r="B21" s="304">
        <f>B19*B20</f>
        <v>19914786.599999994</v>
      </c>
      <c r="C21" s="282">
        <f>C19*C20</f>
        <v>50824493.5</v>
      </c>
      <c r="D21" s="305">
        <f>D19*D20</f>
        <v>101182226.59999999</v>
      </c>
      <c r="E21" s="284" t="s">
        <v>41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 x14ac:dyDescent="0.2">
      <c r="A22" s="174" t="s">
        <v>618</v>
      </c>
      <c r="B22" s="281">
        <f>B21*'🎛️ Assumptions'!$B$59</f>
        <v>2987217.9899999988</v>
      </c>
      <c r="C22" s="282">
        <f>C21*'🎛️ Assumptions'!$B$59</f>
        <v>7623674.0249999994</v>
      </c>
      <c r="D22" s="283">
        <f>D21*'🎛️ Assumptions'!$B$59</f>
        <v>15177333.989999998</v>
      </c>
      <c r="E22" s="284" t="s">
        <v>41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 x14ac:dyDescent="0.2">
      <c r="A23" s="174" t="s">
        <v>619</v>
      </c>
      <c r="B23" s="306">
        <f>B22/'🎛️ Assumptions'!$B$58</f>
        <v>2.9872179899999987</v>
      </c>
      <c r="C23" s="299">
        <f>C22/'🎛️ Assumptions'!$B$58</f>
        <v>7.6236740249999997</v>
      </c>
      <c r="D23" s="307">
        <f>D22/'🎛️ Assumptions'!$B$58</f>
        <v>15.177333989999997</v>
      </c>
      <c r="E23" s="284" t="s">
        <v>638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 x14ac:dyDescent="0.2">
      <c r="A24" s="439" t="s">
        <v>620</v>
      </c>
      <c r="B24" s="440"/>
      <c r="C24" s="440"/>
      <c r="D24" s="440"/>
      <c r="E24" s="47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1.75" customHeight="1" x14ac:dyDescent="0.2">
      <c r="A25" s="174" t="s">
        <v>621</v>
      </c>
      <c r="B25" s="308">
        <f>M56</f>
        <v>277318.09999999998</v>
      </c>
      <c r="C25" s="309">
        <f>M68</f>
        <v>426821</v>
      </c>
      <c r="D25" s="310">
        <f>M80</f>
        <v>604340.5</v>
      </c>
      <c r="E25" s="284" t="s">
        <v>633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75" customHeight="1" x14ac:dyDescent="0.2">
      <c r="A26" s="174" t="s">
        <v>622</v>
      </c>
      <c r="B26" s="308">
        <f>M56*12</f>
        <v>3327817.1999999997</v>
      </c>
      <c r="C26" s="309">
        <f>M68*12</f>
        <v>5121852</v>
      </c>
      <c r="D26" s="310">
        <f>M80*12</f>
        <v>7252086</v>
      </c>
      <c r="E26" s="284" t="s">
        <v>639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1.75" customHeight="1" x14ac:dyDescent="0.2">
      <c r="A27" s="174" t="s">
        <v>623</v>
      </c>
      <c r="B27" s="308">
        <f>SUM(B60:M60)</f>
        <v>733093.02548999991</v>
      </c>
      <c r="C27" s="309">
        <f>SUM(B72:M72)</f>
        <v>1335922.7344799999</v>
      </c>
      <c r="D27" s="310">
        <f>SUM(B84:M84)</f>
        <v>1847831.3485900001</v>
      </c>
      <c r="E27" s="284" t="s">
        <v>41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1.75" customHeight="1" x14ac:dyDescent="0.2">
      <c r="A28" s="174" t="s">
        <v>624</v>
      </c>
      <c r="B28" s="311">
        <f>M55</f>
        <v>4819</v>
      </c>
      <c r="C28" s="312">
        <f>M67</f>
        <v>7490</v>
      </c>
      <c r="D28" s="313">
        <f>M79</f>
        <v>10745</v>
      </c>
      <c r="E28" s="284" t="s">
        <v>640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 x14ac:dyDescent="0.2">
      <c r="A29" s="439" t="s">
        <v>625</v>
      </c>
      <c r="B29" s="440"/>
      <c r="C29" s="440"/>
      <c r="D29" s="440"/>
      <c r="E29" s="47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 x14ac:dyDescent="0.2">
      <c r="A30" s="174" t="s">
        <v>626</v>
      </c>
      <c r="B30" s="308">
        <f>Y56</f>
        <v>467197.3</v>
      </c>
      <c r="C30" s="309">
        <f>Y68</f>
        <v>718322.8</v>
      </c>
      <c r="D30" s="310">
        <f>Y80</f>
        <v>1043502.1</v>
      </c>
      <c r="E30" s="284" t="s">
        <v>633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 x14ac:dyDescent="0.2">
      <c r="A31" s="174" t="s">
        <v>627</v>
      </c>
      <c r="B31" s="308">
        <f>Y56*12</f>
        <v>5606367.5999999996</v>
      </c>
      <c r="C31" s="309">
        <f>Y68*12</f>
        <v>8619873.6000000015</v>
      </c>
      <c r="D31" s="310">
        <f>Y80*12</f>
        <v>12522025.199999999</v>
      </c>
      <c r="E31" s="284" t="s">
        <v>639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 x14ac:dyDescent="0.2">
      <c r="A32" s="174" t="s">
        <v>623</v>
      </c>
      <c r="B32" s="308">
        <f>SUM(N60:Y60)</f>
        <v>2505012.8933700002</v>
      </c>
      <c r="C32" s="309">
        <f>SUM(N72:Y72)</f>
        <v>4075255.6943999995</v>
      </c>
      <c r="D32" s="310">
        <f>SUM(N84:Y84)</f>
        <v>5658891.7812699992</v>
      </c>
      <c r="E32" s="284" t="s">
        <v>41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1.75" customHeight="1" x14ac:dyDescent="0.2">
      <c r="A33" s="174" t="s">
        <v>641</v>
      </c>
      <c r="B33" s="311">
        <f>Y55</f>
        <v>8027</v>
      </c>
      <c r="C33" s="312">
        <f>Y67</f>
        <v>12472</v>
      </c>
      <c r="D33" s="313">
        <f>Y79</f>
        <v>18439</v>
      </c>
      <c r="E33" s="284" t="s">
        <v>46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">
      <c r="A34" s="439" t="s">
        <v>642</v>
      </c>
      <c r="B34" s="440"/>
      <c r="C34" s="440"/>
      <c r="D34" s="440"/>
      <c r="E34" s="47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2">
      <c r="A35" s="174" t="s">
        <v>643</v>
      </c>
      <c r="B35" s="308">
        <f>-'🎛️ Assumptions'!$B$58+NPV('🎛️ Assumptions'!$B$69,C86:Z86)</f>
        <v>1400830.805828108</v>
      </c>
      <c r="C35" s="309">
        <f>-'🎛️ Assumptions'!$B$58+NPV('🎛️ Assumptions'!$B$69,C87:Z87)</f>
        <v>3038852.6659950218</v>
      </c>
      <c r="D35" s="310">
        <f>-'🎛️ Assumptions'!$B$58+NPV('🎛️ Assumptions'!$B$69,C88:Z88)</f>
        <v>4602506.6810973352</v>
      </c>
      <c r="E35" s="284" t="s">
        <v>75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6" customHeight="1" x14ac:dyDescent="0.2">
      <c r="A36" s="174" t="s">
        <v>644</v>
      </c>
      <c r="B36" s="285">
        <f>IFERROR((1+IRR(B86:Z86,'🎛️ Assumptions'!$B$69))^12-1,"n/a")</f>
        <v>1.4017174264008934</v>
      </c>
      <c r="C36" s="286">
        <f>IFERROR((1+IRR(B87:Z87,'🎛️ Assumptions'!$B$69))^12-1,"n/a")</f>
        <v>2.8438196497012895</v>
      </c>
      <c r="D36" s="287">
        <f>IFERROR((1+IRR(B88:Z88,'🎛️ Assumptions'!$B$69))^12-1,"n/a")</f>
        <v>4.2078165166561057</v>
      </c>
      <c r="E36" s="284" t="s">
        <v>76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2">
      <c r="A37" s="469" t="s">
        <v>645</v>
      </c>
      <c r="B37" s="470"/>
      <c r="C37" s="470"/>
      <c r="D37" s="470"/>
      <c r="E37" s="47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6" thickBot="1" x14ac:dyDescent="0.25">
      <c r="A38" s="472"/>
      <c r="B38" s="473"/>
      <c r="C38" s="473"/>
      <c r="D38" s="473"/>
      <c r="E38" s="47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21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">
      <c r="A40" s="21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">
      <c r="A41" s="2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A42" s="2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">
      <c r="A43" s="21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">
      <c r="A44" s="21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">
      <c r="A45" s="21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2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">
      <c r="A47" s="21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">
      <c r="A48" s="21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idden="1" outlineLevel="2" x14ac:dyDescent="0.2">
      <c r="A49" s="216" t="s">
        <v>646</v>
      </c>
      <c r="B49" s="15" t="s">
        <v>60</v>
      </c>
      <c r="C49" s="15" t="s">
        <v>61</v>
      </c>
      <c r="D49" s="15" t="s">
        <v>62</v>
      </c>
      <c r="E49" s="15" t="s">
        <v>63</v>
      </c>
      <c r="F49" s="15" t="s">
        <v>64</v>
      </c>
      <c r="G49" s="15" t="s">
        <v>65</v>
      </c>
      <c r="H49" s="15" t="s">
        <v>66</v>
      </c>
      <c r="I49" s="15" t="s">
        <v>67</v>
      </c>
      <c r="J49" s="15" t="s">
        <v>68</v>
      </c>
      <c r="K49" s="15" t="s">
        <v>27</v>
      </c>
      <c r="L49" s="15" t="s">
        <v>53</v>
      </c>
      <c r="M49" s="15" t="s">
        <v>54</v>
      </c>
      <c r="N49" s="15" t="s">
        <v>29</v>
      </c>
      <c r="O49" s="15" t="s">
        <v>30</v>
      </c>
      <c r="P49" s="15" t="s">
        <v>31</v>
      </c>
      <c r="Q49" s="15" t="s">
        <v>32</v>
      </c>
      <c r="R49" s="15" t="s">
        <v>33</v>
      </c>
      <c r="S49" s="15" t="s">
        <v>55</v>
      </c>
      <c r="T49" s="15" t="s">
        <v>34</v>
      </c>
      <c r="U49" s="15" t="s">
        <v>35</v>
      </c>
      <c r="V49" s="15" t="s">
        <v>36</v>
      </c>
      <c r="W49" s="15" t="s">
        <v>37</v>
      </c>
      <c r="X49" s="15" t="s">
        <v>38</v>
      </c>
      <c r="Y49" s="15" t="s">
        <v>56</v>
      </c>
      <c r="Z49" s="15"/>
    </row>
    <row r="50" spans="1:26" hidden="1" outlineLevel="2" x14ac:dyDescent="0.2">
      <c r="A50" s="216" t="s">
        <v>647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idden="1" outlineLevel="2" x14ac:dyDescent="0.2">
      <c r="A51" s="216" t="s">
        <v>648</v>
      </c>
      <c r="B51" s="15">
        <f>'🎛️ Assumptions'!$B$64</f>
        <v>2000</v>
      </c>
      <c r="C51" s="36">
        <f>'🎛️ Assumptions'!$B$31</f>
        <v>3000</v>
      </c>
      <c r="D51" s="36">
        <f>'🎛️ Assumptions'!$B$31</f>
        <v>3000</v>
      </c>
      <c r="E51" s="36">
        <f>'🎛️ Assumptions'!$B$31</f>
        <v>3000</v>
      </c>
      <c r="F51" s="36">
        <f>'🎛️ Assumptions'!$B$31</f>
        <v>3000</v>
      </c>
      <c r="G51" s="36">
        <f>'🎛️ Assumptions'!$B$31</f>
        <v>3000</v>
      </c>
      <c r="H51" s="36">
        <f>'🎛️ Assumptions'!$B$31</f>
        <v>3000</v>
      </c>
      <c r="I51" s="36">
        <f>'🎛️ Assumptions'!$B$31</f>
        <v>3000</v>
      </c>
      <c r="J51" s="36">
        <f>'🎛️ Assumptions'!$B$31</f>
        <v>3000</v>
      </c>
      <c r="K51" s="36">
        <f>'🎛️ Assumptions'!$B$31</f>
        <v>3000</v>
      </c>
      <c r="L51" s="36">
        <f>'🎛️ Assumptions'!$B$31</f>
        <v>3000</v>
      </c>
      <c r="M51" s="36">
        <f>'🎛️ Assumptions'!$B$31</f>
        <v>3000</v>
      </c>
      <c r="N51" s="36">
        <f>'🎛️ Assumptions'!$B$32</f>
        <v>3500</v>
      </c>
      <c r="O51" s="36">
        <f>'🎛️ Assumptions'!$B$32</f>
        <v>3500</v>
      </c>
      <c r="P51" s="36">
        <f>'🎛️ Assumptions'!$B$32</f>
        <v>3500</v>
      </c>
      <c r="Q51" s="36">
        <f>'🎛️ Assumptions'!$B$32</f>
        <v>3500</v>
      </c>
      <c r="R51" s="36">
        <f>'🎛️ Assumptions'!$B$32</f>
        <v>3500</v>
      </c>
      <c r="S51" s="36">
        <f>'🎛️ Assumptions'!$B$32</f>
        <v>3500</v>
      </c>
      <c r="T51" s="36">
        <f>'🎛️ Assumptions'!$B$32</f>
        <v>3500</v>
      </c>
      <c r="U51" s="36">
        <f>'🎛️ Assumptions'!$B$32</f>
        <v>3500</v>
      </c>
      <c r="V51" s="36">
        <f>'🎛️ Assumptions'!$B$32</f>
        <v>3500</v>
      </c>
      <c r="W51" s="36">
        <f>'🎛️ Assumptions'!$B$32</f>
        <v>3500</v>
      </c>
      <c r="X51" s="36">
        <f>'🎛️ Assumptions'!$B$32</f>
        <v>3500</v>
      </c>
      <c r="Y51" s="36">
        <f>'🎛️ Assumptions'!$B$32</f>
        <v>3500</v>
      </c>
      <c r="Z51" s="15"/>
    </row>
    <row r="52" spans="1:26" hidden="1" outlineLevel="2" x14ac:dyDescent="0.2">
      <c r="A52" s="216" t="s">
        <v>49</v>
      </c>
      <c r="B52" s="15">
        <f>ROUND(B51*'🎛️ Assumptions'!$B$33,0)</f>
        <v>200</v>
      </c>
      <c r="C52" s="15">
        <f>ROUND(B52*(1-'🎛️ Assumptions'!$B$36)+C51*'🎛️ Assumptions'!$B$33,0)</f>
        <v>484</v>
      </c>
      <c r="D52" s="15">
        <f>ROUND(C52*(1-'🎛️ Assumptions'!$B$36)+D51*'🎛️ Assumptions'!$B$33,0)</f>
        <v>745</v>
      </c>
      <c r="E52" s="15">
        <f>ROUND(D52*(1-'🎛️ Assumptions'!$B$36)+E51*'🎛️ Assumptions'!$B$33,0)</f>
        <v>985</v>
      </c>
      <c r="F52" s="15">
        <f>ROUND(E52*(1-'🎛️ Assumptions'!$B$36)+F51*'🎛️ Assumptions'!$B$33,0)</f>
        <v>1206</v>
      </c>
      <c r="G52" s="15">
        <f>ROUND(F52*(1-'🎛️ Assumptions'!$B$36)+G51*'🎛️ Assumptions'!$B$33,0)</f>
        <v>1410</v>
      </c>
      <c r="H52" s="15">
        <f>ROUND(G52*(1-'🎛️ Assumptions'!$B$36)+H51*'🎛️ Assumptions'!$B$33,0)</f>
        <v>1597</v>
      </c>
      <c r="I52" s="15">
        <f>ROUND(H52*(1-'🎛️ Assumptions'!$B$36)+I51*'🎛️ Assumptions'!$B$33,0)</f>
        <v>1769</v>
      </c>
      <c r="J52" s="15">
        <f>ROUND(I52*(1-'🎛️ Assumptions'!$B$36)+J51*'🎛️ Assumptions'!$B$33,0)</f>
        <v>1927</v>
      </c>
      <c r="K52" s="15">
        <f>ROUND(J52*(1-'🎛️ Assumptions'!$B$36)+K51*'🎛️ Assumptions'!$B$33,0)</f>
        <v>2073</v>
      </c>
      <c r="L52" s="15">
        <f>ROUND(K52*(1-'🎛️ Assumptions'!$B$36)+L51*'🎛️ Assumptions'!$B$33,0)</f>
        <v>2207</v>
      </c>
      <c r="M52" s="15">
        <f>ROUND(L52*(1-'🎛️ Assumptions'!$B$36)+M51*'🎛️ Assumptions'!$B$33,0)</f>
        <v>2330</v>
      </c>
      <c r="N52" s="15">
        <f>ROUND(M52*(1-'🎛️ Assumptions'!$B$36)+N51*'🎛️ Assumptions'!$B$33,0)</f>
        <v>2494</v>
      </c>
      <c r="O52" s="15">
        <f>ROUND(N52*(1-'🎛️ Assumptions'!$B$36)+O51*'🎛️ Assumptions'!$B$33,0)</f>
        <v>2644</v>
      </c>
      <c r="P52" s="15">
        <f>ROUND(O52*(1-'🎛️ Assumptions'!$B$36)+P51*'🎛️ Assumptions'!$B$33,0)</f>
        <v>2782</v>
      </c>
      <c r="Q52" s="15">
        <f>ROUND(P52*(1-'🎛️ Assumptions'!$B$36)+Q51*'🎛️ Assumptions'!$B$33,0)</f>
        <v>2909</v>
      </c>
      <c r="R52" s="15">
        <f>ROUND(Q52*(1-'🎛️ Assumptions'!$B$36)+R51*'🎛️ Assumptions'!$B$33,0)</f>
        <v>3026</v>
      </c>
      <c r="S52" s="15">
        <f>ROUND(R52*(1-'🎛️ Assumptions'!$B$36)+S51*'🎛️ Assumptions'!$B$33,0)</f>
        <v>3134</v>
      </c>
      <c r="T52" s="15">
        <f>ROUND(S52*(1-'🎛️ Assumptions'!$B$36)+T51*'🎛️ Assumptions'!$B$33,0)</f>
        <v>3233</v>
      </c>
      <c r="U52" s="15">
        <f>ROUND(T52*(1-'🎛️ Assumptions'!$B$36)+U51*'🎛️ Assumptions'!$B$33,0)</f>
        <v>3324</v>
      </c>
      <c r="V52" s="15">
        <f>ROUND(U52*(1-'🎛️ Assumptions'!$B$36)+V51*'🎛️ Assumptions'!$B$33,0)</f>
        <v>3408</v>
      </c>
      <c r="W52" s="15">
        <f>ROUND(V52*(1-'🎛️ Assumptions'!$B$36)+W51*'🎛️ Assumptions'!$B$33,0)</f>
        <v>3485</v>
      </c>
      <c r="X52" s="15">
        <f>ROUND(W52*(1-'🎛️ Assumptions'!$B$36)+X51*'🎛️ Assumptions'!$B$33,0)</f>
        <v>3556</v>
      </c>
      <c r="Y52" s="15">
        <f>ROUND(X52*(1-'🎛️ Assumptions'!$B$36)+Y51*'🎛️ Assumptions'!$B$33,0)</f>
        <v>3622</v>
      </c>
      <c r="Z52" s="15"/>
    </row>
    <row r="53" spans="1:26" hidden="1" outlineLevel="2" x14ac:dyDescent="0.2">
      <c r="A53" s="216" t="s">
        <v>50</v>
      </c>
      <c r="B53" s="15">
        <f>ROUND(B51*'🎛️ Assumptions'!$B$34,0)</f>
        <v>140</v>
      </c>
      <c r="C53" s="15">
        <f>ROUND(B53*(1-'🎛️ Assumptions'!$B$37)+C51*'🎛️ Assumptions'!$B$34,0)</f>
        <v>343</v>
      </c>
      <c r="D53" s="15">
        <f>ROUND(C53*(1-'🎛️ Assumptions'!$B$37)+D51*'🎛️ Assumptions'!$B$34,0)</f>
        <v>536</v>
      </c>
      <c r="E53" s="15">
        <f>ROUND(D53*(1-'🎛️ Assumptions'!$B$37)+E51*'🎛️ Assumptions'!$B$34,0)</f>
        <v>719</v>
      </c>
      <c r="F53" s="15">
        <f>ROUND(E53*(1-'🎛️ Assumptions'!$B$37)+F51*'🎛️ Assumptions'!$B$34,0)</f>
        <v>893</v>
      </c>
      <c r="G53" s="15">
        <f>ROUND(F53*(1-'🎛️ Assumptions'!$B$37)+G51*'🎛️ Assumptions'!$B$34,0)</f>
        <v>1058</v>
      </c>
      <c r="H53" s="15">
        <f>ROUND(G53*(1-'🎛️ Assumptions'!$B$37)+H51*'🎛️ Assumptions'!$B$34,0)</f>
        <v>1215</v>
      </c>
      <c r="I53" s="15">
        <f>ROUND(H53*(1-'🎛️ Assumptions'!$B$37)+I51*'🎛️ Assumptions'!$B$34,0)</f>
        <v>1364</v>
      </c>
      <c r="J53" s="15">
        <f>ROUND(I53*(1-'🎛️ Assumptions'!$B$37)+J51*'🎛️ Assumptions'!$B$34,0)</f>
        <v>1506</v>
      </c>
      <c r="K53" s="15">
        <f>ROUND(J53*(1-'🎛️ Assumptions'!$B$37)+K51*'🎛️ Assumptions'!$B$34,0)</f>
        <v>1641</v>
      </c>
      <c r="L53" s="15">
        <f>ROUND(K53*(1-'🎛️ Assumptions'!$B$37)+L51*'🎛️ Assumptions'!$B$34,0)</f>
        <v>1769</v>
      </c>
      <c r="M53" s="15">
        <f>ROUND(L53*(1-'🎛️ Assumptions'!$B$37)+M51*'🎛️ Assumptions'!$B$34,0)</f>
        <v>1891</v>
      </c>
      <c r="N53" s="15">
        <f>ROUND(M53*(1-'🎛️ Assumptions'!$B$37)+N51*'🎛️ Assumptions'!$B$34,0)</f>
        <v>2041</v>
      </c>
      <c r="O53" s="15">
        <f>ROUND(N53*(1-'🎛️ Assumptions'!$B$37)+O51*'🎛️ Assumptions'!$B$34,0)</f>
        <v>2184</v>
      </c>
      <c r="P53" s="15">
        <f>ROUND(O53*(1-'🎛️ Assumptions'!$B$37)+P51*'🎛️ Assumptions'!$B$34,0)</f>
        <v>2320</v>
      </c>
      <c r="Q53" s="15">
        <f>ROUND(P53*(1-'🎛️ Assumptions'!$B$37)+Q51*'🎛️ Assumptions'!$B$34,0)</f>
        <v>2449</v>
      </c>
      <c r="R53" s="15">
        <f>ROUND(Q53*(1-'🎛️ Assumptions'!$B$37)+R51*'🎛️ Assumptions'!$B$34,0)</f>
        <v>2572</v>
      </c>
      <c r="S53" s="15">
        <f>ROUND(R53*(1-'🎛️ Assumptions'!$B$37)+S51*'🎛️ Assumptions'!$B$34,0)</f>
        <v>2688</v>
      </c>
      <c r="T53" s="15">
        <f>ROUND(S53*(1-'🎛️ Assumptions'!$B$37)+T51*'🎛️ Assumptions'!$B$34,0)</f>
        <v>2799</v>
      </c>
      <c r="U53" s="15">
        <f>ROUND(T53*(1-'🎛️ Assumptions'!$B$37)+U51*'🎛️ Assumptions'!$B$34,0)</f>
        <v>2904</v>
      </c>
      <c r="V53" s="15">
        <f>ROUND(U53*(1-'🎛️ Assumptions'!$B$37)+V51*'🎛️ Assumptions'!$B$34,0)</f>
        <v>3004</v>
      </c>
      <c r="W53" s="15">
        <f>ROUND(V53*(1-'🎛️ Assumptions'!$B$37)+W51*'🎛️ Assumptions'!$B$34,0)</f>
        <v>3099</v>
      </c>
      <c r="X53" s="15">
        <f>ROUND(W53*(1-'🎛️ Assumptions'!$B$37)+X51*'🎛️ Assumptions'!$B$34,0)</f>
        <v>3189</v>
      </c>
      <c r="Y53" s="15">
        <f>ROUND(X53*(1-'🎛️ Assumptions'!$B$37)+Y51*'🎛️ Assumptions'!$B$34,0)</f>
        <v>3275</v>
      </c>
      <c r="Z53" s="15"/>
    </row>
    <row r="54" spans="1:26" hidden="1" outlineLevel="2" x14ac:dyDescent="0.2">
      <c r="A54" s="216" t="s">
        <v>51</v>
      </c>
      <c r="B54" s="15">
        <f>ROUND(B51*'🎛️ Assumptions'!$B$35,0)</f>
        <v>40</v>
      </c>
      <c r="C54" s="15">
        <f>ROUND(B54*(1-'🎛️ Assumptions'!$B$38)+C51*'🎛️ Assumptions'!$B$35,0)</f>
        <v>99</v>
      </c>
      <c r="D54" s="15">
        <f>ROUND(C54*(1-'🎛️ Assumptions'!$B$38)+D51*'🎛️ Assumptions'!$B$35,0)</f>
        <v>156</v>
      </c>
      <c r="E54" s="15">
        <f>ROUND(D54*(1-'🎛️ Assumptions'!$B$38)+E51*'🎛️ Assumptions'!$B$35,0)</f>
        <v>211</v>
      </c>
      <c r="F54" s="15">
        <f>ROUND(E54*(1-'🎛️ Assumptions'!$B$38)+F51*'🎛️ Assumptions'!$B$35,0)</f>
        <v>265</v>
      </c>
      <c r="G54" s="15">
        <f>ROUND(F54*(1-'🎛️ Assumptions'!$B$38)+G51*'🎛️ Assumptions'!$B$35,0)</f>
        <v>317</v>
      </c>
      <c r="H54" s="15">
        <f>ROUND(G54*(1-'🎛️ Assumptions'!$B$38)+H51*'🎛️ Assumptions'!$B$35,0)</f>
        <v>367</v>
      </c>
      <c r="I54" s="15">
        <f>ROUND(H54*(1-'🎛️ Assumptions'!$B$38)+I51*'🎛️ Assumptions'!$B$35,0)</f>
        <v>416</v>
      </c>
      <c r="J54" s="15">
        <f>ROUND(I54*(1-'🎛️ Assumptions'!$B$38)+J51*'🎛️ Assumptions'!$B$35,0)</f>
        <v>464</v>
      </c>
      <c r="K54" s="15">
        <f>ROUND(J54*(1-'🎛️ Assumptions'!$B$38)+K51*'🎛️ Assumptions'!$B$35,0)</f>
        <v>510</v>
      </c>
      <c r="L54" s="15">
        <f>ROUND(K54*(1-'🎛️ Assumptions'!$B$38)+L51*'🎛️ Assumptions'!$B$35,0)</f>
        <v>555</v>
      </c>
      <c r="M54" s="15">
        <f>ROUND(L54*(1-'🎛️ Assumptions'!$B$38)+M51*'🎛️ Assumptions'!$B$35,0)</f>
        <v>598</v>
      </c>
      <c r="N54" s="15">
        <f>ROUND(M54*(1-'🎛️ Assumptions'!$B$38)+N51*'🎛️ Assumptions'!$B$35,0)</f>
        <v>650</v>
      </c>
      <c r="O54" s="15">
        <f>ROUND(N54*(1-'🎛️ Assumptions'!$B$38)+O51*'🎛️ Assumptions'!$B$35,0)</f>
        <v>701</v>
      </c>
      <c r="P54" s="15">
        <f>ROUND(O54*(1-'🎛️ Assumptions'!$B$38)+P51*'🎛️ Assumptions'!$B$35,0)</f>
        <v>750</v>
      </c>
      <c r="Q54" s="15">
        <f>ROUND(P54*(1-'🎛️ Assumptions'!$B$38)+Q51*'🎛️ Assumptions'!$B$35,0)</f>
        <v>798</v>
      </c>
      <c r="R54" s="15">
        <f>ROUND(Q54*(1-'🎛️ Assumptions'!$B$38)+R51*'🎛️ Assumptions'!$B$35,0)</f>
        <v>844</v>
      </c>
      <c r="S54" s="15">
        <f>ROUND(R54*(1-'🎛️ Assumptions'!$B$38)+S51*'🎛️ Assumptions'!$B$35,0)</f>
        <v>889</v>
      </c>
      <c r="T54" s="15">
        <f>ROUND(S54*(1-'🎛️ Assumptions'!$B$38)+T51*'🎛️ Assumptions'!$B$35,0)</f>
        <v>932</v>
      </c>
      <c r="U54" s="15">
        <f>ROUND(T54*(1-'🎛️ Assumptions'!$B$38)+U51*'🎛️ Assumptions'!$B$35,0)</f>
        <v>974</v>
      </c>
      <c r="V54" s="15">
        <f>ROUND(U54*(1-'🎛️ Assumptions'!$B$38)+V51*'🎛️ Assumptions'!$B$35,0)</f>
        <v>1015</v>
      </c>
      <c r="W54" s="15">
        <f>ROUND(V54*(1-'🎛️ Assumptions'!$B$38)+W51*'🎛️ Assumptions'!$B$35,0)</f>
        <v>1055</v>
      </c>
      <c r="X54" s="15">
        <f>ROUND(W54*(1-'🎛️ Assumptions'!$B$38)+X51*'🎛️ Assumptions'!$B$35,0)</f>
        <v>1093</v>
      </c>
      <c r="Y54" s="15">
        <f>ROUND(X54*(1-'🎛️ Assumptions'!$B$38)+Y51*'🎛️ Assumptions'!$B$35,0)</f>
        <v>1130</v>
      </c>
      <c r="Z54" s="15"/>
    </row>
    <row r="55" spans="1:26" hidden="1" outlineLevel="2" x14ac:dyDescent="0.2">
      <c r="A55" s="216" t="s">
        <v>649</v>
      </c>
      <c r="B55" s="15">
        <f t="shared" ref="B55:Y55" si="0">SUM(B52:B54)</f>
        <v>380</v>
      </c>
      <c r="C55" s="15">
        <f t="shared" si="0"/>
        <v>926</v>
      </c>
      <c r="D55" s="15">
        <f t="shared" si="0"/>
        <v>1437</v>
      </c>
      <c r="E55" s="15">
        <f t="shared" si="0"/>
        <v>1915</v>
      </c>
      <c r="F55" s="15">
        <f t="shared" si="0"/>
        <v>2364</v>
      </c>
      <c r="G55" s="15">
        <f t="shared" si="0"/>
        <v>2785</v>
      </c>
      <c r="H55" s="15">
        <f t="shared" si="0"/>
        <v>3179</v>
      </c>
      <c r="I55" s="15">
        <f t="shared" si="0"/>
        <v>3549</v>
      </c>
      <c r="J55" s="15">
        <f t="shared" si="0"/>
        <v>3897</v>
      </c>
      <c r="K55" s="15">
        <f t="shared" si="0"/>
        <v>4224</v>
      </c>
      <c r="L55" s="15">
        <f t="shared" si="0"/>
        <v>4531</v>
      </c>
      <c r="M55" s="15">
        <f t="shared" si="0"/>
        <v>4819</v>
      </c>
      <c r="N55" s="15">
        <f t="shared" si="0"/>
        <v>5185</v>
      </c>
      <c r="O55" s="15">
        <f t="shared" si="0"/>
        <v>5529</v>
      </c>
      <c r="P55" s="15">
        <f t="shared" si="0"/>
        <v>5852</v>
      </c>
      <c r="Q55" s="15">
        <f t="shared" si="0"/>
        <v>6156</v>
      </c>
      <c r="R55" s="15">
        <f t="shared" si="0"/>
        <v>6442</v>
      </c>
      <c r="S55" s="15">
        <f t="shared" si="0"/>
        <v>6711</v>
      </c>
      <c r="T55" s="15">
        <f t="shared" si="0"/>
        <v>6964</v>
      </c>
      <c r="U55" s="15">
        <f t="shared" si="0"/>
        <v>7202</v>
      </c>
      <c r="V55" s="15">
        <f t="shared" si="0"/>
        <v>7427</v>
      </c>
      <c r="W55" s="15">
        <f t="shared" si="0"/>
        <v>7639</v>
      </c>
      <c r="X55" s="15">
        <f t="shared" si="0"/>
        <v>7838</v>
      </c>
      <c r="Y55" s="15">
        <f t="shared" si="0"/>
        <v>8027</v>
      </c>
      <c r="Z55" s="15"/>
    </row>
    <row r="56" spans="1:26" hidden="1" outlineLevel="2" x14ac:dyDescent="0.2">
      <c r="A56" s="216" t="s">
        <v>47</v>
      </c>
      <c r="B56" s="15">
        <f>B52*('🎛️ Assumptions'!$B$5+'🎛️ Assumptions'!$B$8)+B53*'🎛️ Assumptions'!$B$6+B54*'🎛️ Assumptions'!$B$7</f>
        <v>21562</v>
      </c>
      <c r="C56" s="15">
        <f>C52*('🎛️ Assumptions'!$B$5+'🎛️ Assumptions'!$B$8)+C53*'🎛️ Assumptions'!$B$6+C54*'🎛️ Assumptions'!$B$7</f>
        <v>52607.4</v>
      </c>
      <c r="D56" s="15">
        <f>D52*('🎛️ Assumptions'!$B$5+'🎛️ Assumptions'!$B$8)+D53*'🎛️ Assumptions'!$B$6+D54*'🎛️ Assumptions'!$B$7</f>
        <v>81746.299999999988</v>
      </c>
      <c r="E56" s="15">
        <f>E52*('🎛️ Assumptions'!$B$5+'🎛️ Assumptions'!$B$8)+E53*'🎛️ Assumptions'!$B$6+E54*'🎛️ Assumptions'!$B$7</f>
        <v>109078.5</v>
      </c>
      <c r="F56" s="15">
        <f>F52*('🎛️ Assumptions'!$B$5+'🎛️ Assumptions'!$B$8)+F53*'🎛️ Assumptions'!$B$6+F54*'🎛️ Assumptions'!$B$7</f>
        <v>134843.6</v>
      </c>
      <c r="G56" s="15">
        <f>G52*('🎛️ Assumptions'!$B$5+'🎛️ Assumptions'!$B$8)+G53*'🎛️ Assumptions'!$B$6+G54*'🎛️ Assumptions'!$B$7</f>
        <v>159061.5</v>
      </c>
      <c r="H56" s="15">
        <f>H52*('🎛️ Assumptions'!$B$5+'🎛️ Assumptions'!$B$8)+H53*'🎛️ Assumptions'!$B$6+H54*'🎛️ Assumptions'!$B$7</f>
        <v>181792.09999999998</v>
      </c>
      <c r="I56" s="15">
        <f>I52*('🎛️ Assumptions'!$B$5+'🎛️ Assumptions'!$B$8)+I53*'🎛️ Assumptions'!$B$6+I54*'🎛️ Assumptions'!$B$7</f>
        <v>203215.09999999998</v>
      </c>
      <c r="J56" s="15">
        <f>J52*('🎛️ Assumptions'!$B$5+'🎛️ Assumptions'!$B$8)+J53*'🎛️ Assumptions'!$B$6+J54*'🎛️ Assumptions'!$B$7</f>
        <v>223440.30000000002</v>
      </c>
      <c r="K56" s="15">
        <f>K52*('🎛️ Assumptions'!$B$5+'🎛️ Assumptions'!$B$8)+K53*'🎛️ Assumptions'!$B$6+K54*'🎛️ Assumptions'!$B$7</f>
        <v>242487.59999999998</v>
      </c>
      <c r="L56" s="15">
        <f>L52*('🎛️ Assumptions'!$B$5+'🎛️ Assumptions'!$B$8)+L53*'🎛️ Assumptions'!$B$6+L54*'🎛️ Assumptions'!$B$7</f>
        <v>260436.9</v>
      </c>
      <c r="M56" s="15">
        <f>M52*('🎛️ Assumptions'!$B$5+'🎛️ Assumptions'!$B$8)+M53*'🎛️ Assumptions'!$B$6+M54*'🎛️ Assumptions'!$B$7</f>
        <v>277318.09999999998</v>
      </c>
      <c r="N56" s="15">
        <f>N52*('🎛️ Assumptions'!$B$5+'🎛️ Assumptions'!$B$8)+N53*'🎛️ Assumptions'!$B$6+N54*'🎛️ Assumptions'!$B$7</f>
        <v>298641.5</v>
      </c>
      <c r="O56" s="15">
        <f>O52*('🎛️ Assumptions'!$B$5+'🎛️ Assumptions'!$B$8)+O53*'🎛️ Assumptions'!$B$6+O54*'🎛️ Assumptions'!$B$7</f>
        <v>318767.10000000003</v>
      </c>
      <c r="P56" s="15">
        <f>P52*('🎛️ Assumptions'!$B$5+'🎛️ Assumptions'!$B$8)+P53*'🎛️ Assumptions'!$B$6+P54*'🎛️ Assumptions'!$B$7</f>
        <v>337714.8</v>
      </c>
      <c r="Q56" s="15">
        <f>Q52*('🎛️ Assumptions'!$B$5+'🎛️ Assumptions'!$B$8)+Q53*'🎛️ Assumptions'!$B$6+Q54*'🎛️ Assumptions'!$B$7</f>
        <v>355614.4</v>
      </c>
      <c r="R56" s="15">
        <f>R52*('🎛️ Assumptions'!$B$5+'🎛️ Assumptions'!$B$8)+R53*'🎛️ Assumptions'!$B$6+R54*'🎛️ Assumptions'!$B$7</f>
        <v>372495.79999999993</v>
      </c>
      <c r="S56" s="15">
        <f>S52*('🎛️ Assumptions'!$B$5+'🎛️ Assumptions'!$B$8)+S53*'🎛️ Assumptions'!$B$6+S54*'🎛️ Assumptions'!$B$7</f>
        <v>388428.9</v>
      </c>
      <c r="T56" s="15">
        <f>T52*('🎛️ Assumptions'!$B$5+'🎛️ Assumptions'!$B$8)+T53*'🎛️ Assumptions'!$B$6+T54*'🎛️ Assumptions'!$B$7</f>
        <v>403453.6</v>
      </c>
      <c r="U56" s="15">
        <f>U52*('🎛️ Assumptions'!$B$5+'🎛️ Assumptions'!$B$8)+U53*'🎛️ Assumptions'!$B$6+U54*'🎛️ Assumptions'!$B$7</f>
        <v>417639.80000000005</v>
      </c>
      <c r="V56" s="15">
        <f>V52*('🎛️ Assumptions'!$B$5+'🎛️ Assumptions'!$B$8)+V53*'🎛️ Assumptions'!$B$6+V54*'🎛️ Assumptions'!$B$7</f>
        <v>431097.3</v>
      </c>
      <c r="W56" s="15">
        <f>W52*('🎛️ Assumptions'!$B$5+'🎛️ Assumptions'!$B$8)+W53*'🎛️ Assumptions'!$B$6+W54*'🎛️ Assumptions'!$B$7</f>
        <v>443826.1</v>
      </c>
      <c r="X56" s="15">
        <f>X52*('🎛️ Assumptions'!$B$5+'🎛️ Assumptions'!$B$8)+X53*'🎛️ Assumptions'!$B$6+X54*'🎛️ Assumptions'!$B$7</f>
        <v>455796.2</v>
      </c>
      <c r="Y56" s="15">
        <f>Y52*('🎛️ Assumptions'!$B$5+'🎛️ Assumptions'!$B$8)+Y53*'🎛️ Assumptions'!$B$6+Y54*'🎛️ Assumptions'!$B$7</f>
        <v>467197.3</v>
      </c>
      <c r="Z56" s="15"/>
    </row>
    <row r="57" spans="1:26" hidden="1" outlineLevel="2" x14ac:dyDescent="0.2">
      <c r="A57" s="216" t="s">
        <v>220</v>
      </c>
      <c r="B57" s="15">
        <f>B51*('🎛️ Assumptions'!$B$17*('🎛️ Assumptions'!$B$18*('🎛️ Assumptions'!$G$10/1000000)+'🎛️ Assumptions'!$B$19*('🎛️ Assumptions'!$G$13/1000000))*(1-'🎛️ Assumptions'!$B$15)*'🎛️ Assumptions'!$B$10*'🎛️ Assumptions'!$B$20)+B52*('🎛️ Assumptions'!$B$21*('🎛️ Assumptions'!$B$22*('🎛️ Assumptions'!$B$13/1000000)+'🎛️ Assumptions'!$B$23*('🎛️ Assumptions'!$B$14/1000000))*(1-'🎛️ Assumptions'!$B$15)*'🎛️ Assumptions'!$B$10)+B53*(('🎛️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Assumptions'!$B$10))+B54*(('🎛️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3295.2113999999997</v>
      </c>
      <c r="C57" s="15">
        <f>C51*('🎛️ Assumptions'!$B$17*('🎛️ Assumptions'!$B$18*('🎛️ Assumptions'!$G$10/1000000)+'🎛️ Assumptions'!$B$19*('🎛️ Assumptions'!$G$13/1000000))*(1-'🎛️ Assumptions'!$B$15)*'🎛️ Assumptions'!$B$10*'🎛️ Assumptions'!$B$20)+C52*('🎛️ Assumptions'!$B$21*('🎛️ Assumptions'!$B$22*('🎛️ Assumptions'!$B$13/1000000)+'🎛️ Assumptions'!$B$23*('🎛️ Assumptions'!$B$14/1000000))*(1-'🎛️ Assumptions'!$B$15)*'🎛️ Assumptions'!$B$10)+C53*(('🎛️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Assumptions'!$B$10))+C54*(('🎛️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8052.5359200000003</v>
      </c>
      <c r="D57" s="15">
        <f>D51*('🎛️ Assumptions'!$B$17*('🎛️ Assumptions'!$B$18*('🎛️ Assumptions'!$G$10/1000000)+'🎛️ Assumptions'!$B$19*('🎛️ Assumptions'!$G$13/1000000))*(1-'🎛️ Assumptions'!$B$15)*'🎛️ Assumptions'!$B$10*'🎛️ Assumptions'!$B$20)+D52*('🎛️ Assumptions'!$B$21*('🎛️ Assumptions'!$B$22*('🎛️ Assumptions'!$B$13/1000000)+'🎛️ Assumptions'!$B$23*('🎛️ Assumptions'!$B$14/1000000))*(1-'🎛️ Assumptions'!$B$15)*'🎛️ Assumptions'!$B$10)+D53*(('🎛️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Assumptions'!$B$10))+D54*(('🎛️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12535.90026</v>
      </c>
      <c r="E57" s="15">
        <f>E51*('🎛️ Assumptions'!$B$17*('🎛️ Assumptions'!$B$18*('🎛️ Assumptions'!$G$10/1000000)+'🎛️ Assumptions'!$B$19*('🎛️ Assumptions'!$G$13/1000000))*(1-'🎛️ Assumptions'!$B$15)*'🎛️ Assumptions'!$B$10*'🎛️ Assumptions'!$B$20)+E52*('🎛️ Assumptions'!$B$21*('🎛️ Assumptions'!$B$22*('🎛️ Assumptions'!$B$13/1000000)+'🎛️ Assumptions'!$B$23*('🎛️ Assumptions'!$B$14/1000000))*(1-'🎛️ Assumptions'!$B$15)*'🎛️ Assumptions'!$B$10)+E53*(('🎛️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Assumptions'!$B$10))+E54*(('🎛️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16756.962299999999</v>
      </c>
      <c r="F57" s="15">
        <f>F51*('🎛️ Assumptions'!$B$17*('🎛️ Assumptions'!$B$18*('🎛️ Assumptions'!$G$10/1000000)+'🎛️ Assumptions'!$B$19*('🎛️ Assumptions'!$G$13/1000000))*(1-'🎛️ Assumptions'!$B$15)*'🎛️ Assumptions'!$B$10*'🎛️ Assumptions'!$B$20)+F52*('🎛️ Assumptions'!$B$21*('🎛️ Assumptions'!$B$22*('🎛️ Assumptions'!$B$13/1000000)+'🎛️ Assumptions'!$B$23*('🎛️ Assumptions'!$B$14/1000000))*(1-'🎛️ Assumptions'!$B$15)*'🎛️ Assumptions'!$B$10)+F53*(('🎛️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Assumptions'!$B$10))+F54*(('🎛️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20752.76268</v>
      </c>
      <c r="G57" s="15">
        <f>G51*('🎛️ Assumptions'!$B$17*('🎛️ Assumptions'!$B$18*('🎛️ Assumptions'!$G$10/1000000)+'🎛️ Assumptions'!$B$19*('🎛️ Assumptions'!$G$13/1000000))*(1-'🎛️ Assumptions'!$B$15)*'🎛️ Assumptions'!$B$10*'🎛️ Assumptions'!$B$20)+G52*('🎛️ Assumptions'!$B$21*('🎛️ Assumptions'!$B$22*('🎛️ Assumptions'!$B$13/1000000)+'🎛️ Assumptions'!$B$23*('🎛️ Assumptions'!$B$14/1000000))*(1-'🎛️ Assumptions'!$B$15)*'🎛️ Assumptions'!$B$10)+G53*(('🎛️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Assumptions'!$B$10))+G54*(('🎛️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24520.717649999999</v>
      </c>
      <c r="H57" s="15">
        <f>H51*('🎛️ Assumptions'!$B$17*('🎛️ Assumptions'!$B$18*('🎛️ Assumptions'!$G$10/1000000)+'🎛️ Assumptions'!$B$19*('🎛️ Assumptions'!$G$13/1000000))*(1-'🎛️ Assumptions'!$B$15)*'🎛️ Assumptions'!$B$10*'🎛️ Assumptions'!$B$20)+H52*('🎛️ Assumptions'!$B$21*('🎛️ Assumptions'!$B$22*('🎛️ Assumptions'!$B$13/1000000)+'🎛️ Assumptions'!$B$23*('🎛️ Assumptions'!$B$14/1000000))*(1-'🎛️ Assumptions'!$B$15)*'🎛️ Assumptions'!$B$10)+H53*(('🎛️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Assumptions'!$B$10))+H54*(('🎛️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28071.968339999999</v>
      </c>
      <c r="I57" s="15">
        <f>I51*('🎛️ Assumptions'!$B$17*('🎛️ Assumptions'!$B$18*('🎛️ Assumptions'!$G$10/1000000)+'🎛️ Assumptions'!$B$19*('🎛️ Assumptions'!$G$13/1000000))*(1-'🎛️ Assumptions'!$B$15)*'🎛️ Assumptions'!$B$10*'🎛️ Assumptions'!$B$20)+I52*('🎛️ Assumptions'!$B$21*('🎛️ Assumptions'!$B$22*('🎛️ Assumptions'!$B$13/1000000)+'🎛️ Assumptions'!$B$23*('🎛️ Assumptions'!$B$14/1000000))*(1-'🎛️ Assumptions'!$B$15)*'🎛️ Assumptions'!$B$10)+I53*(('🎛️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Assumptions'!$B$10))+I54*(('🎛️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31432.414260000005</v>
      </c>
      <c r="J57" s="15">
        <f>J51*('🎛️ Assumptions'!$B$17*('🎛️ Assumptions'!$B$18*('🎛️ Assumptions'!$G$10/1000000)+'🎛️ Assumptions'!$B$19*('🎛️ Assumptions'!$G$13/1000000))*(1-'🎛️ Assumptions'!$B$15)*'🎛️ Assumptions'!$B$10*'🎛️ Assumptions'!$B$20)+J52*('🎛️ Assumptions'!$B$21*('🎛️ Assumptions'!$B$22*('🎛️ Assumptions'!$B$13/1000000)+'🎛️ Assumptions'!$B$23*('🎛️ Assumptions'!$B$14/1000000))*(1-'🎛️ Assumptions'!$B$15)*'🎛️ Assumptions'!$B$10)+J53*(('🎛️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Assumptions'!$B$10))+J54*(('🎛️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34619.025479999997</v>
      </c>
      <c r="K57" s="15">
        <f>K51*('🎛️ Assumptions'!$B$17*('🎛️ Assumptions'!$B$18*('🎛️ Assumptions'!$G$10/1000000)+'🎛️ Assumptions'!$B$19*('🎛️ Assumptions'!$G$13/1000000))*(1-'🎛️ Assumptions'!$B$15)*'🎛️ Assumptions'!$B$10*'🎛️ Assumptions'!$B$20)+K52*('🎛️ Assumptions'!$B$21*('🎛️ Assumptions'!$B$22*('🎛️ Assumptions'!$B$13/1000000)+'🎛️ Assumptions'!$B$23*('🎛️ Assumptions'!$B$14/1000000))*(1-'🎛️ Assumptions'!$B$15)*'🎛️ Assumptions'!$B$10)+K53*(('🎛️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Assumptions'!$B$10))+K54*(('🎛️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37629.218249999998</v>
      </c>
      <c r="L57" s="15">
        <f>L51*('🎛️ Assumptions'!$B$17*('🎛️ Assumptions'!$B$18*('🎛️ Assumptions'!$G$10/1000000)+'🎛️ Assumptions'!$B$19*('🎛️ Assumptions'!$G$13/1000000))*(1-'🎛️ Assumptions'!$B$15)*'🎛️ Assumptions'!$B$10*'🎛️ Assumptions'!$B$20)+L52*('🎛️ Assumptions'!$B$21*('🎛️ Assumptions'!$B$22*('🎛️ Assumptions'!$B$13/1000000)+'🎛️ Assumptions'!$B$23*('🎛️ Assumptions'!$B$14/1000000))*(1-'🎛️ Assumptions'!$B$15)*'🎛️ Assumptions'!$B$10)+L53*(('🎛️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Assumptions'!$B$10))+L54*(('🎛️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40477.234199999999</v>
      </c>
      <c r="M57" s="15">
        <f>M51*('🎛️ Assumptions'!$B$17*('🎛️ Assumptions'!$B$18*('🎛️ Assumptions'!$G$10/1000000)+'🎛️ Assumptions'!$B$19*('🎛️ Assumptions'!$G$13/1000000))*(1-'🎛️ Assumptions'!$B$15)*'🎛️ Assumptions'!$B$10*'🎛️ Assumptions'!$B$20)+M52*('🎛️ Assumptions'!$B$21*('🎛️ Assumptions'!$B$22*('🎛️ Assumptions'!$B$13/1000000)+'🎛️ Assumptions'!$B$23*('🎛️ Assumptions'!$B$14/1000000))*(1-'🎛️ Assumptions'!$B$15)*'🎛️ Assumptions'!$B$10)+M53*(('🎛️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Assumptions'!$B$10))+M54*(('🎛️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43165.801770000005</v>
      </c>
      <c r="N57" s="15">
        <f>N51*('🎛️ Assumptions'!$B$17*('🎛️ Assumptions'!$B$18*('🎛️ Assumptions'!$G$10/1000000)+'🎛️ Assumptions'!$B$19*('🎛️ Assumptions'!$G$13/1000000))*(1-'🎛️ Assumptions'!$B$15)*'🎛️ Assumptions'!$B$10*'🎛️ Assumptions'!$B$20)+N52*('🎛️ Assumptions'!$B$21*('🎛️ Assumptions'!$B$22*('🎛️ Assumptions'!$B$13/1000000)+'🎛️ Assumptions'!$B$23*('🎛️ Assumptions'!$B$14/1000000))*(1-'🎛️ Assumptions'!$B$15)*'🎛️ Assumptions'!$B$10)+N53*(('🎛️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Assumptions'!$B$10))+N54*(('🎛️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46533.482190000002</v>
      </c>
      <c r="O57" s="15">
        <f>O51*('🎛️ Assumptions'!$B$17*('🎛️ Assumptions'!$B$18*('🎛️ Assumptions'!$G$10/1000000)+'🎛️ Assumptions'!$B$19*('🎛️ Assumptions'!$G$13/1000000))*(1-'🎛️ Assumptions'!$B$15)*'🎛️ Assumptions'!$B$10*'🎛️ Assumptions'!$B$20)+O52*('🎛️ Assumptions'!$B$21*('🎛️ Assumptions'!$B$22*('🎛️ Assumptions'!$B$13/1000000)+'🎛️ Assumptions'!$B$23*('🎛️ Assumptions'!$B$14/1000000))*(1-'🎛️ Assumptions'!$B$15)*'🎛️ Assumptions'!$B$10)+O53*(('🎛️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Assumptions'!$B$10))+O54*(('🎛️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49727.32791</v>
      </c>
      <c r="P57" s="15">
        <f>P51*('🎛️ Assumptions'!$B$17*('🎛️ Assumptions'!$B$18*('🎛️ Assumptions'!$G$10/1000000)+'🎛️ Assumptions'!$B$19*('🎛️ Assumptions'!$G$13/1000000))*(1-'🎛️ Assumptions'!$B$15)*'🎛️ Assumptions'!$B$10*'🎛️ Assumptions'!$B$20)+P52*('🎛️ Assumptions'!$B$21*('🎛️ Assumptions'!$B$22*('🎛️ Assumptions'!$B$13/1000000)+'🎛️ Assumptions'!$B$23*('🎛️ Assumptions'!$B$14/1000000))*(1-'🎛️ Assumptions'!$B$15)*'🎛️ Assumptions'!$B$10)+P53*(('🎛️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Assumptions'!$B$10))+P54*(('🎛️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52744.755180000007</v>
      </c>
      <c r="Q57" s="15">
        <f>Q51*('🎛️ Assumptions'!$B$17*('🎛️ Assumptions'!$B$18*('🎛️ Assumptions'!$G$10/1000000)+'🎛️ Assumptions'!$B$19*('🎛️ Assumptions'!$G$13/1000000))*(1-'🎛️ Assumptions'!$B$15)*'🎛️ Assumptions'!$B$10*'🎛️ Assumptions'!$B$20)+Q52*('🎛️ Assumptions'!$B$21*('🎛️ Assumptions'!$B$22*('🎛️ Assumptions'!$B$13/1000000)+'🎛️ Assumptions'!$B$23*('🎛️ Assumptions'!$B$14/1000000))*(1-'🎛️ Assumptions'!$B$15)*'🎛️ Assumptions'!$B$10)+Q53*(('🎛️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Assumptions'!$B$10))+Q54*(('🎛️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55605.834570000006</v>
      </c>
      <c r="R57" s="15">
        <f>R51*('🎛️ Assumptions'!$B$17*('🎛️ Assumptions'!$B$18*('🎛️ Assumptions'!$G$10/1000000)+'🎛️ Assumptions'!$B$19*('🎛️ Assumptions'!$G$13/1000000))*(1-'🎛️ Assumptions'!$B$15)*'🎛️ Assumptions'!$B$10*'🎛️ Assumptions'!$B$20)+R52*('🎛️ Assumptions'!$B$21*('🎛️ Assumptions'!$B$22*('🎛️ Assumptions'!$B$13/1000000)+'🎛️ Assumptions'!$B$23*('🎛️ Assumptions'!$B$14/1000000))*(1-'🎛️ Assumptions'!$B$15)*'🎛️ Assumptions'!$B$10)+R53*(('🎛️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Assumptions'!$B$10))+R54*(('🎛️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58313.294520000003</v>
      </c>
      <c r="S57" s="15">
        <f>S51*('🎛️ Assumptions'!$B$17*('🎛️ Assumptions'!$B$18*('🎛️ Assumptions'!$G$10/1000000)+'🎛️ Assumptions'!$B$19*('🎛️ Assumptions'!$G$13/1000000))*(1-'🎛️ Assumptions'!$B$15)*'🎛️ Assumptions'!$B$10*'🎛️ Assumptions'!$B$20)+S52*('🎛️ Assumptions'!$B$21*('🎛️ Assumptions'!$B$22*('🎛️ Assumptions'!$B$13/1000000)+'🎛️ Assumptions'!$B$23*('🎛️ Assumptions'!$B$14/1000000))*(1-'🎛️ Assumptions'!$B$15)*'🎛️ Assumptions'!$B$10)+S53*(('🎛️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Assumptions'!$B$10))+S54*(('🎛️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60876.064470000005</v>
      </c>
      <c r="T57" s="15">
        <f>T51*('🎛️ Assumptions'!$B$17*('🎛️ Assumptions'!$B$18*('🎛️ Assumptions'!$G$10/1000000)+'🎛️ Assumptions'!$B$19*('🎛️ Assumptions'!$G$13/1000000))*(1-'🎛️ Assumptions'!$B$15)*'🎛️ Assumptions'!$B$10*'🎛️ Assumptions'!$B$20)+T52*('🎛️ Assumptions'!$B$21*('🎛️ Assumptions'!$B$22*('🎛️ Assumptions'!$B$13/1000000)+'🎛️ Assumptions'!$B$23*('🎛️ Assumptions'!$B$14/1000000))*(1-'🎛️ Assumptions'!$B$15)*'🎛️ Assumptions'!$B$10)+T53*(('🎛️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Assumptions'!$B$10))+T54*(('🎛️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63302.18505</v>
      </c>
      <c r="U57" s="15">
        <f>U51*('🎛️ Assumptions'!$B$17*('🎛️ Assumptions'!$B$18*('🎛️ Assumptions'!$G$10/1000000)+'🎛️ Assumptions'!$B$19*('🎛️ Assumptions'!$G$13/1000000))*(1-'🎛️ Assumptions'!$B$15)*'🎛️ Assumptions'!$B$10*'🎛️ Assumptions'!$B$20)+U52*('🎛️ Assumptions'!$B$21*('🎛️ Assumptions'!$B$22*('🎛️ Assumptions'!$B$13/1000000)+'🎛️ Assumptions'!$B$23*('🎛️ Assumptions'!$B$14/1000000))*(1-'🎛️ Assumptions'!$B$15)*'🎛️ Assumptions'!$B$10)+U53*(('🎛️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Assumptions'!$B$10))+U54*(('🎛️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65600.585699999996</v>
      </c>
      <c r="V57" s="15">
        <f>V51*('🎛️ Assumptions'!$B$17*('🎛️ Assumptions'!$B$18*('🎛️ Assumptions'!$G$10/1000000)+'🎛️ Assumptions'!$B$19*('🎛️ Assumptions'!$G$13/1000000))*(1-'🎛️ Assumptions'!$B$15)*'🎛️ Assumptions'!$B$10*'🎛️ Assumptions'!$B$20)+V52*('🎛️ Assumptions'!$B$21*('🎛️ Assumptions'!$B$22*('🎛️ Assumptions'!$B$13/1000000)+'🎛️ Assumptions'!$B$23*('🎛️ Assumptions'!$B$14/1000000))*(1-'🎛️ Assumptions'!$B$15)*'🎛️ Assumptions'!$B$10)+V53*(('🎛️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Assumptions'!$B$10))+V54*(('🎛️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67788.23649000001</v>
      </c>
      <c r="W57" s="15">
        <f>W51*('🎛️ Assumptions'!$B$17*('🎛️ Assumptions'!$B$18*('🎛️ Assumptions'!$G$10/1000000)+'🎛️ Assumptions'!$B$19*('🎛️ Assumptions'!$G$13/1000000))*(1-'🎛️ Assumptions'!$B$15)*'🎛️ Assumptions'!$B$10*'🎛️ Assumptions'!$B$20)+W52*('🎛️ Assumptions'!$B$21*('🎛️ Assumptions'!$B$22*('🎛️ Assumptions'!$B$13/1000000)+'🎛️ Assumptions'!$B$23*('🎛️ Assumptions'!$B$14/1000000))*(1-'🎛️ Assumptions'!$B$15)*'🎛️ Assumptions'!$B$10)+W53*(('🎛️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Assumptions'!$B$10))+W54*(('🎛️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69865.137419999999</v>
      </c>
      <c r="X57" s="15">
        <f>X51*('🎛️ Assumptions'!$B$17*('🎛️ Assumptions'!$B$18*('🎛️ Assumptions'!$G$10/1000000)+'🎛️ Assumptions'!$B$19*('🎛️ Assumptions'!$G$13/1000000))*(1-'🎛️ Assumptions'!$B$15)*'🎛️ Assumptions'!$B$10*'🎛️ Assumptions'!$B$20)+X52*('🎛️ Assumptions'!$B$21*('🎛️ Assumptions'!$B$22*('🎛️ Assumptions'!$B$13/1000000)+'🎛️ Assumptions'!$B$23*('🎛️ Assumptions'!$B$14/1000000))*(1-'🎛️ Assumptions'!$B$15)*'🎛️ Assumptions'!$B$10)+X53*(('🎛️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Assumptions'!$B$10))+X54*(('🎛️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71822.875800000009</v>
      </c>
      <c r="Y57" s="15">
        <f>Y51*('🎛️ Assumptions'!$B$17*('🎛️ Assumptions'!$B$18*('🎛️ Assumptions'!$G$10/1000000)+'🎛️ Assumptions'!$B$19*('🎛️ Assumptions'!$G$13/1000000))*(1-'🎛️ Assumptions'!$B$15)*'🎛️ Assumptions'!$B$10*'🎛️ Assumptions'!$B$20)+Y52*('🎛️ Assumptions'!$B$21*('🎛️ Assumptions'!$B$22*('🎛️ Assumptions'!$B$13/1000000)+'🎛️ Assumptions'!$B$23*('🎛️ Assumptions'!$B$14/1000000))*(1-'🎛️ Assumptions'!$B$15)*'🎛️ Assumptions'!$B$10)+Y53*(('🎛️ Assumptions'!$B$24*('🎛️ Assumptions'!$B$22*('🎛️ Assumptions'!$B$13/1000000)+'🎛️ Assumptions'!$B$23*('🎛️ Assumptions'!$B$14/1000000))*(1-'🎛️ Assumptions'!$B$15)*'🎛️ Assumptions'!$B$10)+('🎛️ Assumptions'!$B$25*('🎛️ Assumptions'!$B$26*('🎛️ Assumptions'!$B$13/1000000)+'🎛️ Assumptions'!$B$27*('🎛️ Assumptions'!$B$14/1000000))*(1-'🎛️ Assumptions'!$B$15)*'🎛️ Assumptions'!$B$10))+Y54*(('🎛️ Assumptions'!$B$28*('🎛️ Assumptions'!$B$22*('🎛️ Assumptions'!$B$13/1000000)+'🎛️ Assumptions'!$B$23*('🎛️ Assumptions'!$B$14/1000000))*(1-'🎛️ Assumptions'!$B$15)*'🎛️ Assumptions'!$B$10)+('🎛️ Assumptions'!$B$29*('🎛️ Assumptions'!$B$26*('🎛️ Assumptions'!$B$13/1000000)+'🎛️ Assumptions'!$B$27*('🎛️ Assumptions'!$B$14/1000000))*(1-'🎛️ Assumptions'!$B$15)*'🎛️ Assumptions'!$B$10))</f>
        <v>73692.663329999996</v>
      </c>
      <c r="Z57" s="15"/>
    </row>
    <row r="58" spans="1:26" hidden="1" outlineLevel="2" x14ac:dyDescent="0.2">
      <c r="A58" s="216" t="s">
        <v>221</v>
      </c>
      <c r="B58" s="15">
        <f>'🎛️ Assumptions'!$B$40+'🎛️ Assumptions'!$B$42+'🎛️ Assumptions'!$B$44+'🎛️ Assumptions'!$B$46</f>
        <v>55000</v>
      </c>
      <c r="C58" s="15">
        <f>'🎛️ Assumptions'!$B$40+'🎛️ Assumptions'!$B$42+'🎛️ Assumptions'!$B$44+'🎛️ Assumptions'!$B$46</f>
        <v>55000</v>
      </c>
      <c r="D58" s="15">
        <f>'🎛️ Assumptions'!$B$40+'🎛️ Assumptions'!$B$42+'🎛️ Assumptions'!$B$44+'🎛️ Assumptions'!$B$46</f>
        <v>55000</v>
      </c>
      <c r="E58" s="15">
        <f>'🎛️ Assumptions'!$B$40+'🎛️ Assumptions'!$B$42+'🎛️ Assumptions'!$B$44+'🎛️ Assumptions'!$B$46</f>
        <v>55000</v>
      </c>
      <c r="F58" s="15">
        <f>'🎛️ Assumptions'!$B$40+'🎛️ Assumptions'!$B$42+'🎛️ Assumptions'!$B$44+'🎛️ Assumptions'!$B$46</f>
        <v>55000</v>
      </c>
      <c r="G58" s="15">
        <f>'🎛️ Assumptions'!$B$40+'🎛️ Assumptions'!$B$42+'🎛️ Assumptions'!$B$44+'🎛️ Assumptions'!$B$46</f>
        <v>55000</v>
      </c>
      <c r="H58" s="15">
        <f>'🎛️ Assumptions'!$B$40+'🎛️ Assumptions'!$B$42+'🎛️ Assumptions'!$B$44+'🎛️ Assumptions'!$B$46</f>
        <v>55000</v>
      </c>
      <c r="I58" s="15">
        <f>'🎛️ Assumptions'!$B$40+'🎛️ Assumptions'!$B$42+'🎛️ Assumptions'!$B$44+'🎛️ Assumptions'!$B$46</f>
        <v>55000</v>
      </c>
      <c r="J58" s="15">
        <f>'🎛️ Assumptions'!$B$40+'🎛️ Assumptions'!$B$42+'🎛️ Assumptions'!$B$44+'🎛️ Assumptions'!$B$46</f>
        <v>55000</v>
      </c>
      <c r="K58" s="15">
        <f>'🎛️ Assumptions'!$B$40+'🎛️ Assumptions'!$B$42+'🎛️ Assumptions'!$B$44+'🎛️ Assumptions'!$B$46</f>
        <v>55000</v>
      </c>
      <c r="L58" s="15">
        <f>'🎛️ Assumptions'!$B$40+'🎛️ Assumptions'!$B$42+'🎛️ Assumptions'!$B$44+'🎛️ Assumptions'!$B$46</f>
        <v>55000</v>
      </c>
      <c r="M58" s="15">
        <f>'🎛️ Assumptions'!$B$40+'🎛️ Assumptions'!$B$42+'🎛️ Assumptions'!$B$44+'🎛️ Assumptions'!$B$46</f>
        <v>55000</v>
      </c>
      <c r="N58" s="15">
        <f>'🎛️ Assumptions'!$B$41+'🎛️ Assumptions'!$B$43+'🎛️ Assumptions'!$B$45+'🎛️ Assumptions'!$B$46</f>
        <v>70000</v>
      </c>
      <c r="O58" s="15">
        <f>'🎛️ Assumptions'!$B$41+'🎛️ Assumptions'!$B$43+'🎛️ Assumptions'!$B$45+'🎛️ Assumptions'!$B$46</f>
        <v>70000</v>
      </c>
      <c r="P58" s="15">
        <f>'🎛️ Assumptions'!$B$41+'🎛️ Assumptions'!$B$43+'🎛️ Assumptions'!$B$45+'🎛️ Assumptions'!$B$46</f>
        <v>70000</v>
      </c>
      <c r="Q58" s="15">
        <f>'🎛️ Assumptions'!$B$41+'🎛️ Assumptions'!$B$43+'🎛️ Assumptions'!$B$45+'🎛️ Assumptions'!$B$46</f>
        <v>70000</v>
      </c>
      <c r="R58" s="15">
        <f>'🎛️ Assumptions'!$B$41+'🎛️ Assumptions'!$B$43+'🎛️ Assumptions'!$B$45+'🎛️ Assumptions'!$B$46</f>
        <v>70000</v>
      </c>
      <c r="S58" s="15">
        <f>'🎛️ Assumptions'!$B$41+'🎛️ Assumptions'!$B$43+'🎛️ Assumptions'!$B$45+'🎛️ Assumptions'!$B$46</f>
        <v>70000</v>
      </c>
      <c r="T58" s="15">
        <f>'🎛️ Assumptions'!$B$41+'🎛️ Assumptions'!$B$43+'🎛️ Assumptions'!$B$45+'🎛️ Assumptions'!$B$46</f>
        <v>70000</v>
      </c>
      <c r="U58" s="15">
        <f>'🎛️ Assumptions'!$B$41+'🎛️ Assumptions'!$B$43+'🎛️ Assumptions'!$B$45+'🎛️ Assumptions'!$B$46</f>
        <v>70000</v>
      </c>
      <c r="V58" s="15">
        <f>'🎛️ Assumptions'!$B$41+'🎛️ Assumptions'!$B$43+'🎛️ Assumptions'!$B$45+'🎛️ Assumptions'!$B$46</f>
        <v>70000</v>
      </c>
      <c r="W58" s="15">
        <f>'🎛️ Assumptions'!$B$41+'🎛️ Assumptions'!$B$43+'🎛️ Assumptions'!$B$45+'🎛️ Assumptions'!$B$46</f>
        <v>70000</v>
      </c>
      <c r="X58" s="15">
        <f>'🎛️ Assumptions'!$B$41+'🎛️ Assumptions'!$B$43+'🎛️ Assumptions'!$B$45+'🎛️ Assumptions'!$B$46</f>
        <v>70000</v>
      </c>
      <c r="Y58" s="15">
        <f>'🎛️ Assumptions'!$B$41+'🎛️ Assumptions'!$B$43+'🎛️ Assumptions'!$B$45+'🎛️ Assumptions'!$B$46</f>
        <v>70000</v>
      </c>
      <c r="Z58" s="15"/>
    </row>
    <row r="59" spans="1:26" hidden="1" outlineLevel="2" x14ac:dyDescent="0.2">
      <c r="A59" s="216" t="s">
        <v>650</v>
      </c>
      <c r="B59" s="15">
        <f>B56*'🎛️ Assumptions'!$B$70</f>
        <v>2803.06</v>
      </c>
      <c r="C59" s="36">
        <f>C56*'🎛️ Assumptions'!$B$70</f>
        <v>6838.9620000000004</v>
      </c>
      <c r="D59" s="36">
        <f>D56*'🎛️ Assumptions'!$B$70</f>
        <v>10627.018999999998</v>
      </c>
      <c r="E59" s="36">
        <f>E56*'🎛️ Assumptions'!$B$70</f>
        <v>14180.205</v>
      </c>
      <c r="F59" s="36">
        <f>F56*'🎛️ Assumptions'!$B$70</f>
        <v>17529.668000000001</v>
      </c>
      <c r="G59" s="36">
        <f>G56*'🎛️ Assumptions'!$B$70</f>
        <v>20677.994999999999</v>
      </c>
      <c r="H59" s="36">
        <f>H56*'🎛️ Assumptions'!$B$70</f>
        <v>23632.972999999998</v>
      </c>
      <c r="I59" s="36">
        <f>I56*'🎛️ Assumptions'!$B$70</f>
        <v>26417.962999999996</v>
      </c>
      <c r="J59" s="36">
        <f>J56*'🎛️ Assumptions'!$B$70</f>
        <v>29047.239000000005</v>
      </c>
      <c r="K59" s="36">
        <f>K56*'🎛️ Assumptions'!$B$70</f>
        <v>31523.387999999999</v>
      </c>
      <c r="L59" s="36">
        <f>L56*'🎛️ Assumptions'!$B$70</f>
        <v>33856.796999999999</v>
      </c>
      <c r="M59" s="36">
        <f>M56*'🎛️ Assumptions'!$B$70</f>
        <v>36051.352999999996</v>
      </c>
      <c r="N59" s="36">
        <f>N56*'🎛️ Assumptions'!$B$70</f>
        <v>38823.395000000004</v>
      </c>
      <c r="O59" s="36">
        <f>O56*'🎛️ Assumptions'!$B$70</f>
        <v>41439.723000000005</v>
      </c>
      <c r="P59" s="36">
        <f>P56*'🎛️ Assumptions'!$B$70</f>
        <v>43902.923999999999</v>
      </c>
      <c r="Q59" s="36">
        <f>Q56*'🎛️ Assumptions'!$B$70</f>
        <v>46229.872000000003</v>
      </c>
      <c r="R59" s="36">
        <f>R56*'🎛️ Assumptions'!$B$70</f>
        <v>48424.453999999991</v>
      </c>
      <c r="S59" s="36">
        <f>S56*'🎛️ Assumptions'!$B$70</f>
        <v>50495.757000000005</v>
      </c>
      <c r="T59" s="36">
        <f>T56*'🎛️ Assumptions'!$B$70</f>
        <v>52448.968000000001</v>
      </c>
      <c r="U59" s="36">
        <f>U56*'🎛️ Assumptions'!$B$70</f>
        <v>54293.174000000006</v>
      </c>
      <c r="V59" s="36">
        <f>V56*'🎛️ Assumptions'!$B$70</f>
        <v>56042.648999999998</v>
      </c>
      <c r="W59" s="36">
        <f>W56*'🎛️ Assumptions'!$B$70</f>
        <v>57697.392999999996</v>
      </c>
      <c r="X59" s="36">
        <f>X56*'🎛️ Assumptions'!$B$70</f>
        <v>59253.506000000001</v>
      </c>
      <c r="Y59" s="36">
        <f>Y56*'🎛️ Assumptions'!$B$70</f>
        <v>60735.648999999998</v>
      </c>
      <c r="Z59" s="15"/>
    </row>
    <row r="60" spans="1:26" hidden="1" outlineLevel="2" x14ac:dyDescent="0.2">
      <c r="A60" s="216" t="s">
        <v>651</v>
      </c>
      <c r="B60" s="15">
        <f t="shared" ref="B60:Y60" si="1">B56-B57-B58-B59</f>
        <v>-39536.271399999998</v>
      </c>
      <c r="C60" s="36">
        <f t="shared" si="1"/>
        <v>-17284.09792</v>
      </c>
      <c r="D60" s="36">
        <f t="shared" si="1"/>
        <v>3583.3807399999951</v>
      </c>
      <c r="E60" s="36">
        <f t="shared" si="1"/>
        <v>23141.332699999999</v>
      </c>
      <c r="F60" s="36">
        <f t="shared" si="1"/>
        <v>41561.169320000001</v>
      </c>
      <c r="G60" s="36">
        <f t="shared" si="1"/>
        <v>58862.787349999999</v>
      </c>
      <c r="H60" s="36">
        <f t="shared" si="1"/>
        <v>75087.158659999986</v>
      </c>
      <c r="I60" s="36">
        <f t="shared" si="1"/>
        <v>90364.722739999997</v>
      </c>
      <c r="J60" s="36">
        <f t="shared" si="1"/>
        <v>104774.03552000003</v>
      </c>
      <c r="K60" s="36">
        <f t="shared" si="1"/>
        <v>118334.99374999997</v>
      </c>
      <c r="L60" s="36">
        <f t="shared" si="1"/>
        <v>131102.8688</v>
      </c>
      <c r="M60" s="36">
        <f t="shared" si="1"/>
        <v>143100.94522999995</v>
      </c>
      <c r="N60" s="36">
        <f t="shared" si="1"/>
        <v>143284.62280999997</v>
      </c>
      <c r="O60" s="36">
        <f t="shared" si="1"/>
        <v>157600.04909000004</v>
      </c>
      <c r="P60" s="36">
        <f t="shared" si="1"/>
        <v>171067.12081999995</v>
      </c>
      <c r="Q60" s="36">
        <f t="shared" si="1"/>
        <v>183778.69343000001</v>
      </c>
      <c r="R60" s="36">
        <f t="shared" si="1"/>
        <v>195758.05147999994</v>
      </c>
      <c r="S60" s="36">
        <f t="shared" si="1"/>
        <v>207057.07853000003</v>
      </c>
      <c r="T60" s="36">
        <f t="shared" si="1"/>
        <v>217702.44695000001</v>
      </c>
      <c r="U60" s="36">
        <f t="shared" si="1"/>
        <v>227746.04030000005</v>
      </c>
      <c r="V60" s="36">
        <f t="shared" si="1"/>
        <v>237266.41451</v>
      </c>
      <c r="W60" s="36">
        <f t="shared" si="1"/>
        <v>246263.56958000001</v>
      </c>
      <c r="X60" s="36">
        <f t="shared" si="1"/>
        <v>254719.81820000004</v>
      </c>
      <c r="Y60" s="36">
        <f t="shared" si="1"/>
        <v>262768.98767</v>
      </c>
      <c r="Z60" s="15"/>
    </row>
    <row r="61" spans="1:26" hidden="1" outlineLevel="2" x14ac:dyDescent="0.2">
      <c r="A61" s="21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idden="1" outlineLevel="2" x14ac:dyDescent="0.2">
      <c r="A62" s="216" t="s">
        <v>74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idden="1" outlineLevel="2" x14ac:dyDescent="0.2">
      <c r="A63" s="216" t="s">
        <v>648</v>
      </c>
      <c r="B63" s="15">
        <f>'🎛️ Assumptions'!$B$64</f>
        <v>2000</v>
      </c>
      <c r="C63" s="36">
        <f>'🎛️ Assumptions'!$C$31</f>
        <v>3500</v>
      </c>
      <c r="D63" s="36">
        <f>'🎛️ Assumptions'!$C$31</f>
        <v>3500</v>
      </c>
      <c r="E63" s="36">
        <f>'🎛️ Assumptions'!$C$31</f>
        <v>3500</v>
      </c>
      <c r="F63" s="36">
        <f>'🎛️ Assumptions'!$C$31</f>
        <v>3500</v>
      </c>
      <c r="G63" s="36">
        <f>'🎛️ Assumptions'!$C$31</f>
        <v>3500</v>
      </c>
      <c r="H63" s="36">
        <f>'🎛️ Assumptions'!$C$31</f>
        <v>3500</v>
      </c>
      <c r="I63" s="36">
        <f>'🎛️ Assumptions'!$C$31</f>
        <v>3500</v>
      </c>
      <c r="J63" s="36">
        <f>'🎛️ Assumptions'!$C$31</f>
        <v>3500</v>
      </c>
      <c r="K63" s="36">
        <f>'🎛️ Assumptions'!$C$31</f>
        <v>3500</v>
      </c>
      <c r="L63" s="36">
        <f>'🎛️ Assumptions'!$C$31</f>
        <v>3500</v>
      </c>
      <c r="M63" s="36">
        <f>'🎛️ Assumptions'!$C$31</f>
        <v>3500</v>
      </c>
      <c r="N63" s="36">
        <f>'🎛️ Assumptions'!$C$32</f>
        <v>4000</v>
      </c>
      <c r="O63" s="36">
        <f>'🎛️ Assumptions'!$C$32</f>
        <v>4000</v>
      </c>
      <c r="P63" s="36">
        <f>'🎛️ Assumptions'!$C$32</f>
        <v>4000</v>
      </c>
      <c r="Q63" s="36">
        <f>'🎛️ Assumptions'!$C$32</f>
        <v>4000</v>
      </c>
      <c r="R63" s="36">
        <f>'🎛️ Assumptions'!$C$32</f>
        <v>4000</v>
      </c>
      <c r="S63" s="36">
        <f>'🎛️ Assumptions'!$C$32</f>
        <v>4000</v>
      </c>
      <c r="T63" s="36">
        <f>'🎛️ Assumptions'!$C$32</f>
        <v>4000</v>
      </c>
      <c r="U63" s="36">
        <f>'🎛️ Assumptions'!$C$32</f>
        <v>4000</v>
      </c>
      <c r="V63" s="36">
        <f>'🎛️ Assumptions'!$C$32</f>
        <v>4000</v>
      </c>
      <c r="W63" s="36">
        <f>'🎛️ Assumptions'!$C$32</f>
        <v>4000</v>
      </c>
      <c r="X63" s="36">
        <f>'🎛️ Assumptions'!$C$32</f>
        <v>4000</v>
      </c>
      <c r="Y63" s="36">
        <f>'🎛️ Assumptions'!$C$32</f>
        <v>4000</v>
      </c>
      <c r="Z63" s="15"/>
    </row>
    <row r="64" spans="1:26" hidden="1" outlineLevel="2" x14ac:dyDescent="0.2">
      <c r="A64" s="216" t="s">
        <v>49</v>
      </c>
      <c r="B64" s="15">
        <f>ROUND(B63*'🎛️ Assumptions'!$C$33,0)</f>
        <v>300</v>
      </c>
      <c r="C64" s="15">
        <f>ROUND(B64*(1-'🎛️ Assumptions'!$C$36)+C63*'🎛️ Assumptions'!$C$33,0)</f>
        <v>804</v>
      </c>
      <c r="D64" s="15">
        <f>ROUND(C64*(1-'🎛️ Assumptions'!$C$36)+D63*'🎛️ Assumptions'!$C$33,0)</f>
        <v>1273</v>
      </c>
      <c r="E64" s="15">
        <f>ROUND(D64*(1-'🎛️ Assumptions'!$C$36)+E63*'🎛️ Assumptions'!$C$33,0)</f>
        <v>1709</v>
      </c>
      <c r="F64" s="15">
        <f>ROUND(E64*(1-'🎛️ Assumptions'!$C$36)+F63*'🎛️ Assumptions'!$C$33,0)</f>
        <v>2114</v>
      </c>
      <c r="G64" s="15">
        <f>ROUND(F64*(1-'🎛️ Assumptions'!$C$36)+G63*'🎛️ Assumptions'!$C$33,0)</f>
        <v>2491</v>
      </c>
      <c r="H64" s="15">
        <f>ROUND(G64*(1-'🎛️ Assumptions'!$C$36)+H63*'🎛️ Assumptions'!$C$33,0)</f>
        <v>2842</v>
      </c>
      <c r="I64" s="15">
        <f>ROUND(H64*(1-'🎛️ Assumptions'!$C$36)+I63*'🎛️ Assumptions'!$C$33,0)</f>
        <v>3168</v>
      </c>
      <c r="J64" s="15">
        <f>ROUND(I64*(1-'🎛️ Assumptions'!$C$36)+J63*'🎛️ Assumptions'!$C$33,0)</f>
        <v>3471</v>
      </c>
      <c r="K64" s="15">
        <f>ROUND(J64*(1-'🎛️ Assumptions'!$C$36)+K63*'🎛️ Assumptions'!$C$33,0)</f>
        <v>3753</v>
      </c>
      <c r="L64" s="15">
        <f>ROUND(K64*(1-'🎛️ Assumptions'!$C$36)+L63*'🎛️ Assumptions'!$C$33,0)</f>
        <v>4015</v>
      </c>
      <c r="M64" s="15">
        <f>ROUND(L64*(1-'🎛️ Assumptions'!$C$36)+M63*'🎛️ Assumptions'!$C$33,0)</f>
        <v>4259</v>
      </c>
      <c r="N64" s="15">
        <f>ROUND(M64*(1-'🎛️ Assumptions'!$C$36)+N63*'🎛️ Assumptions'!$C$33,0)</f>
        <v>4561</v>
      </c>
      <c r="O64" s="15">
        <f>ROUND(N64*(1-'🎛️ Assumptions'!$C$36)+O63*'🎛️ Assumptions'!$C$33,0)</f>
        <v>4842</v>
      </c>
      <c r="P64" s="15">
        <f>ROUND(O64*(1-'🎛️ Assumptions'!$C$36)+P63*'🎛️ Assumptions'!$C$33,0)</f>
        <v>5103</v>
      </c>
      <c r="Q64" s="15">
        <f>ROUND(P64*(1-'🎛️ Assumptions'!$C$36)+Q63*'🎛️ Assumptions'!$C$33,0)</f>
        <v>5346</v>
      </c>
      <c r="R64" s="15">
        <f>ROUND(Q64*(1-'🎛️ Assumptions'!$C$36)+R63*'🎛️ Assumptions'!$C$33,0)</f>
        <v>5572</v>
      </c>
      <c r="S64" s="15">
        <f>ROUND(R64*(1-'🎛️ Assumptions'!$C$36)+S63*'🎛️ Assumptions'!$C$33,0)</f>
        <v>5782</v>
      </c>
      <c r="T64" s="15">
        <f>ROUND(S64*(1-'🎛️ Assumptions'!$C$36)+T63*'🎛️ Assumptions'!$C$33,0)</f>
        <v>5977</v>
      </c>
      <c r="U64" s="15">
        <f>ROUND(T64*(1-'🎛️ Assumptions'!$C$36)+U63*'🎛️ Assumptions'!$C$33,0)</f>
        <v>6159</v>
      </c>
      <c r="V64" s="15">
        <f>ROUND(U64*(1-'🎛️ Assumptions'!$C$36)+V63*'🎛️ Assumptions'!$C$33,0)</f>
        <v>6328</v>
      </c>
      <c r="W64" s="15">
        <f>ROUND(V64*(1-'🎛️ Assumptions'!$C$36)+W63*'🎛️ Assumptions'!$C$33,0)</f>
        <v>6485</v>
      </c>
      <c r="X64" s="15">
        <f>ROUND(W64*(1-'🎛️ Assumptions'!$C$36)+X63*'🎛️ Assumptions'!$C$33,0)</f>
        <v>6631</v>
      </c>
      <c r="Y64" s="15">
        <f>ROUND(X64*(1-'🎛️ Assumptions'!$C$36)+Y63*'🎛️ Assumptions'!$C$33,0)</f>
        <v>6767</v>
      </c>
      <c r="Z64" s="15"/>
    </row>
    <row r="65" spans="1:26" hidden="1" outlineLevel="2" x14ac:dyDescent="0.2">
      <c r="A65" s="216" t="s">
        <v>50</v>
      </c>
      <c r="B65" s="15">
        <f>ROUND(B63*'🎛️ Assumptions'!$C$34,0)</f>
        <v>140</v>
      </c>
      <c r="C65" s="15">
        <f>ROUND(B65*(1-'🎛️ Assumptions'!$C$37)+C63*'🎛️ Assumptions'!$C$34,0)</f>
        <v>378</v>
      </c>
      <c r="D65" s="15">
        <f>ROUND(C65*(1-'🎛️ Assumptions'!$C$37)+D63*'🎛️ Assumptions'!$C$34,0)</f>
        <v>604</v>
      </c>
      <c r="E65" s="15">
        <f>ROUND(D65*(1-'🎛️ Assumptions'!$C$37)+E63*'🎛️ Assumptions'!$C$34,0)</f>
        <v>819</v>
      </c>
      <c r="F65" s="15">
        <f>ROUND(E65*(1-'🎛️ Assumptions'!$C$37)+F63*'🎛️ Assumptions'!$C$34,0)</f>
        <v>1023</v>
      </c>
      <c r="G65" s="15">
        <f>ROUND(F65*(1-'🎛️ Assumptions'!$C$37)+G63*'🎛️ Assumptions'!$C$34,0)</f>
        <v>1217</v>
      </c>
      <c r="H65" s="15">
        <f>ROUND(G65*(1-'🎛️ Assumptions'!$C$37)+H63*'🎛️ Assumptions'!$C$34,0)</f>
        <v>1401</v>
      </c>
      <c r="I65" s="15">
        <f>ROUND(H65*(1-'🎛️ Assumptions'!$C$37)+I63*'🎛️ Assumptions'!$C$34,0)</f>
        <v>1576</v>
      </c>
      <c r="J65" s="15">
        <f>ROUND(I65*(1-'🎛️ Assumptions'!$C$37)+J63*'🎛️ Assumptions'!$C$34,0)</f>
        <v>1742</v>
      </c>
      <c r="K65" s="15">
        <f>ROUND(J65*(1-'🎛️ Assumptions'!$C$37)+K63*'🎛️ Assumptions'!$C$34,0)</f>
        <v>1900</v>
      </c>
      <c r="L65" s="15">
        <f>ROUND(K65*(1-'🎛️ Assumptions'!$C$37)+L63*'🎛️ Assumptions'!$C$34,0)</f>
        <v>2050</v>
      </c>
      <c r="M65" s="15">
        <f>ROUND(L65*(1-'🎛️ Assumptions'!$C$37)+M63*'🎛️ Assumptions'!$C$34,0)</f>
        <v>2193</v>
      </c>
      <c r="N65" s="15">
        <f>ROUND(M65*(1-'🎛️ Assumptions'!$C$37)+N63*'🎛️ Assumptions'!$C$34,0)</f>
        <v>2363</v>
      </c>
      <c r="O65" s="15">
        <f>ROUND(N65*(1-'🎛️ Assumptions'!$C$37)+O63*'🎛️ Assumptions'!$C$34,0)</f>
        <v>2525</v>
      </c>
      <c r="P65" s="15">
        <f>ROUND(O65*(1-'🎛️ Assumptions'!$C$37)+P63*'🎛️ Assumptions'!$C$34,0)</f>
        <v>2679</v>
      </c>
      <c r="Q65" s="15">
        <f>ROUND(P65*(1-'🎛️ Assumptions'!$C$37)+Q63*'🎛️ Assumptions'!$C$34,0)</f>
        <v>2825</v>
      </c>
      <c r="R65" s="15">
        <f>ROUND(Q65*(1-'🎛️ Assumptions'!$C$37)+R63*'🎛️ Assumptions'!$C$34,0)</f>
        <v>2964</v>
      </c>
      <c r="S65" s="15">
        <f>ROUND(R65*(1-'🎛️ Assumptions'!$C$37)+S63*'🎛️ Assumptions'!$C$34,0)</f>
        <v>3096</v>
      </c>
      <c r="T65" s="15">
        <f>ROUND(S65*(1-'🎛️ Assumptions'!$C$37)+T63*'🎛️ Assumptions'!$C$34,0)</f>
        <v>3221</v>
      </c>
      <c r="U65" s="15">
        <f>ROUND(T65*(1-'🎛️ Assumptions'!$C$37)+U63*'🎛️ Assumptions'!$C$34,0)</f>
        <v>3340</v>
      </c>
      <c r="V65" s="15">
        <f>ROUND(U65*(1-'🎛️ Assumptions'!$C$37)+V63*'🎛️ Assumptions'!$C$34,0)</f>
        <v>3453</v>
      </c>
      <c r="W65" s="15">
        <f>ROUND(V65*(1-'🎛️ Assumptions'!$C$37)+W63*'🎛️ Assumptions'!$C$34,0)</f>
        <v>3560</v>
      </c>
      <c r="X65" s="15">
        <f>ROUND(W65*(1-'🎛️ Assumptions'!$C$37)+X63*'🎛️ Assumptions'!$C$34,0)</f>
        <v>3662</v>
      </c>
      <c r="Y65" s="15">
        <f>ROUND(X65*(1-'🎛️ Assumptions'!$C$37)+Y63*'🎛️ Assumptions'!$C$34,0)</f>
        <v>3759</v>
      </c>
      <c r="Z65" s="15"/>
    </row>
    <row r="66" spans="1:26" hidden="1" outlineLevel="2" x14ac:dyDescent="0.2">
      <c r="A66" s="216" t="s">
        <v>51</v>
      </c>
      <c r="B66" s="15">
        <f>ROUND(B63*'🎛️ Assumptions'!$C$35,0)</f>
        <v>60</v>
      </c>
      <c r="C66" s="15">
        <f>ROUND(B66*(1-'🎛️ Assumptions'!$C$38)+C63*'🎛️ Assumptions'!$C$35,0)</f>
        <v>163</v>
      </c>
      <c r="D66" s="15">
        <f>ROUND(C66*(1-'🎛️ Assumptions'!$C$38)+D63*'🎛️ Assumptions'!$C$35,0)</f>
        <v>263</v>
      </c>
      <c r="E66" s="15">
        <f>ROUND(D66*(1-'🎛️ Assumptions'!$C$38)+E63*'🎛️ Assumptions'!$C$35,0)</f>
        <v>360</v>
      </c>
      <c r="F66" s="15">
        <f>ROUND(E66*(1-'🎛️ Assumptions'!$C$38)+F63*'🎛️ Assumptions'!$C$35,0)</f>
        <v>454</v>
      </c>
      <c r="G66" s="15">
        <f>ROUND(F66*(1-'🎛️ Assumptions'!$C$38)+G63*'🎛️ Assumptions'!$C$35,0)</f>
        <v>545</v>
      </c>
      <c r="H66" s="15">
        <f>ROUND(G66*(1-'🎛️ Assumptions'!$C$38)+H63*'🎛️ Assumptions'!$C$35,0)</f>
        <v>634</v>
      </c>
      <c r="I66" s="15">
        <f>ROUND(H66*(1-'🎛️ Assumptions'!$C$38)+I63*'🎛️ Assumptions'!$C$35,0)</f>
        <v>720</v>
      </c>
      <c r="J66" s="15">
        <f>ROUND(I66*(1-'🎛️ Assumptions'!$C$38)+J63*'🎛️ Assumptions'!$C$35,0)</f>
        <v>803</v>
      </c>
      <c r="K66" s="15">
        <f>ROUND(J66*(1-'🎛️ Assumptions'!$C$38)+K63*'🎛️ Assumptions'!$C$35,0)</f>
        <v>884</v>
      </c>
      <c r="L66" s="15">
        <f>ROUND(K66*(1-'🎛️ Assumptions'!$C$38)+L63*'🎛️ Assumptions'!$C$35,0)</f>
        <v>962</v>
      </c>
      <c r="M66" s="15">
        <f>ROUND(L66*(1-'🎛️ Assumptions'!$C$38)+M63*'🎛️ Assumptions'!$C$35,0)</f>
        <v>1038</v>
      </c>
      <c r="N66" s="15">
        <f>ROUND(M66*(1-'🎛️ Assumptions'!$C$38)+N63*'🎛️ Assumptions'!$C$35,0)</f>
        <v>1127</v>
      </c>
      <c r="O66" s="15">
        <f>ROUND(N66*(1-'🎛️ Assumptions'!$C$38)+O63*'🎛️ Assumptions'!$C$35,0)</f>
        <v>1213</v>
      </c>
      <c r="P66" s="15">
        <f>ROUND(O66*(1-'🎛️ Assumptions'!$C$38)+P63*'🎛️ Assumptions'!$C$35,0)</f>
        <v>1297</v>
      </c>
      <c r="Q66" s="15">
        <f>ROUND(P66*(1-'🎛️ Assumptions'!$C$38)+Q63*'🎛️ Assumptions'!$C$35,0)</f>
        <v>1378</v>
      </c>
      <c r="R66" s="15">
        <f>ROUND(Q66*(1-'🎛️ Assumptions'!$C$38)+R63*'🎛️ Assumptions'!$C$35,0)</f>
        <v>1457</v>
      </c>
      <c r="S66" s="15">
        <f>ROUND(R66*(1-'🎛️ Assumptions'!$C$38)+S63*'🎛️ Assumptions'!$C$35,0)</f>
        <v>1533</v>
      </c>
      <c r="T66" s="15">
        <f>ROUND(S66*(1-'🎛️ Assumptions'!$C$38)+T63*'🎛️ Assumptions'!$C$35,0)</f>
        <v>1607</v>
      </c>
      <c r="U66" s="15">
        <f>ROUND(T66*(1-'🎛️ Assumptions'!$C$38)+U63*'🎛️ Assumptions'!$C$35,0)</f>
        <v>1679</v>
      </c>
      <c r="V66" s="15">
        <f>ROUND(U66*(1-'🎛️ Assumptions'!$C$38)+V63*'🎛️ Assumptions'!$C$35,0)</f>
        <v>1749</v>
      </c>
      <c r="W66" s="15">
        <f>ROUND(V66*(1-'🎛️ Assumptions'!$C$38)+W63*'🎛️ Assumptions'!$C$35,0)</f>
        <v>1817</v>
      </c>
      <c r="X66" s="15">
        <f>ROUND(W66*(1-'🎛️ Assumptions'!$C$38)+X63*'🎛️ Assumptions'!$C$35,0)</f>
        <v>1882</v>
      </c>
      <c r="Y66" s="15">
        <f>ROUND(X66*(1-'🎛️ Assumptions'!$C$38)+Y63*'🎛️ Assumptions'!$C$35,0)</f>
        <v>1946</v>
      </c>
      <c r="Z66" s="15"/>
    </row>
    <row r="67" spans="1:26" hidden="1" outlineLevel="2" x14ac:dyDescent="0.2">
      <c r="A67" s="216" t="s">
        <v>649</v>
      </c>
      <c r="B67" s="15">
        <f t="shared" ref="B67:Y67" si="2">SUM(B64:B66)</f>
        <v>500</v>
      </c>
      <c r="C67" s="36">
        <f t="shared" si="2"/>
        <v>1345</v>
      </c>
      <c r="D67" s="36">
        <f t="shared" si="2"/>
        <v>2140</v>
      </c>
      <c r="E67" s="36">
        <f t="shared" si="2"/>
        <v>2888</v>
      </c>
      <c r="F67" s="36">
        <f t="shared" si="2"/>
        <v>3591</v>
      </c>
      <c r="G67" s="36">
        <f t="shared" si="2"/>
        <v>4253</v>
      </c>
      <c r="H67" s="36">
        <f t="shared" si="2"/>
        <v>4877</v>
      </c>
      <c r="I67" s="36">
        <f t="shared" si="2"/>
        <v>5464</v>
      </c>
      <c r="J67" s="36">
        <f t="shared" si="2"/>
        <v>6016</v>
      </c>
      <c r="K67" s="36">
        <f t="shared" si="2"/>
        <v>6537</v>
      </c>
      <c r="L67" s="36">
        <f t="shared" si="2"/>
        <v>7027</v>
      </c>
      <c r="M67" s="36">
        <f t="shared" si="2"/>
        <v>7490</v>
      </c>
      <c r="N67" s="36">
        <f t="shared" si="2"/>
        <v>8051</v>
      </c>
      <c r="O67" s="36">
        <f t="shared" si="2"/>
        <v>8580</v>
      </c>
      <c r="P67" s="36">
        <f t="shared" si="2"/>
        <v>9079</v>
      </c>
      <c r="Q67" s="36">
        <f t="shared" si="2"/>
        <v>9549</v>
      </c>
      <c r="R67" s="36">
        <f t="shared" si="2"/>
        <v>9993</v>
      </c>
      <c r="S67" s="36">
        <f t="shared" si="2"/>
        <v>10411</v>
      </c>
      <c r="T67" s="36">
        <f t="shared" si="2"/>
        <v>10805</v>
      </c>
      <c r="U67" s="36">
        <f t="shared" si="2"/>
        <v>11178</v>
      </c>
      <c r="V67" s="36">
        <f t="shared" si="2"/>
        <v>11530</v>
      </c>
      <c r="W67" s="36">
        <f t="shared" si="2"/>
        <v>11862</v>
      </c>
      <c r="X67" s="36">
        <f t="shared" si="2"/>
        <v>12175</v>
      </c>
      <c r="Y67" s="36">
        <f t="shared" si="2"/>
        <v>12472</v>
      </c>
      <c r="Z67" s="15"/>
    </row>
    <row r="68" spans="1:26" hidden="1" outlineLevel="2" x14ac:dyDescent="0.2">
      <c r="A68" s="216" t="s">
        <v>47</v>
      </c>
      <c r="B68" s="15">
        <f>B64*('🎛️ Assumptions'!$C$5+'🎛️ Assumptions'!$C$8)+B65*'🎛️ Assumptions'!$C$6+B66*'🎛️ Assumptions'!$C$7</f>
        <v>28150</v>
      </c>
      <c r="C68" s="15">
        <f>C64*('🎛️ Assumptions'!$C$5+'🎛️ Assumptions'!$C$8)+C65*'🎛️ Assumptions'!$C$6+C66*'🎛️ Assumptions'!$C$7</f>
        <v>75785.5</v>
      </c>
      <c r="D68" s="15">
        <f>D64*('🎛️ Assumptions'!$C$5+'🎛️ Assumptions'!$C$8)+D65*'🎛️ Assumptions'!$C$6+D66*'🎛️ Assumptions'!$C$7</f>
        <v>120715.99999999999</v>
      </c>
      <c r="E68" s="15">
        <f>E64*('🎛️ Assumptions'!$C$5+'🎛️ Assumptions'!$C$8)+E65*'🎛️ Assumptions'!$C$6+E66*'🎛️ Assumptions'!$C$7</f>
        <v>163101.19999999998</v>
      </c>
      <c r="F68" s="15">
        <f>F64*('🎛️ Assumptions'!$C$5+'🎛️ Assumptions'!$C$8)+F65*'🎛️ Assumptions'!$C$6+F66*'🎛️ Assumptions'!$C$7</f>
        <v>203040.9</v>
      </c>
      <c r="G68" s="15">
        <f>G64*('🎛️ Assumptions'!$C$5+'🎛️ Assumptions'!$C$8)+G65*'🎛️ Assumptions'!$C$6+G66*'🎛️ Assumptions'!$C$7</f>
        <v>240744.7</v>
      </c>
      <c r="H68" s="15">
        <f>H64*('🎛️ Assumptions'!$C$5+'🎛️ Assumptions'!$C$8)+H65*'🎛️ Assumptions'!$C$6+H66*'🎛️ Assumptions'!$C$7</f>
        <v>276392.3</v>
      </c>
      <c r="I68" s="15">
        <f>I64*('🎛️ Assumptions'!$C$5+'🎛️ Assumptions'!$C$8)+I65*'🎛️ Assumptions'!$C$6+I66*'🎛️ Assumptions'!$C$7</f>
        <v>310013.59999999998</v>
      </c>
      <c r="J68" s="15">
        <f>J64*('🎛️ Assumptions'!$C$5+'🎛️ Assumptions'!$C$8)+J65*'🎛️ Assumptions'!$C$6+J66*'🎛️ Assumptions'!$C$7</f>
        <v>341708.4</v>
      </c>
      <c r="K68" s="15">
        <f>K64*('🎛️ Assumptions'!$C$5+'🎛️ Assumptions'!$C$8)+K65*'🎛️ Assumptions'!$C$6+K66*'🎛️ Assumptions'!$C$7</f>
        <v>371716.29999999993</v>
      </c>
      <c r="L68" s="15">
        <f>L64*('🎛️ Assumptions'!$C$5+'🎛️ Assumptions'!$C$8)+L65*'🎛️ Assumptions'!$C$6+L66*'🎛️ Assumptions'!$C$7</f>
        <v>400007.3</v>
      </c>
      <c r="M68" s="15">
        <f>M64*('🎛️ Assumptions'!$C$5+'🎛️ Assumptions'!$C$8)+M65*'🎛️ Assumptions'!$C$6+M66*'🎛️ Assumptions'!$C$7</f>
        <v>426821</v>
      </c>
      <c r="N68" s="15">
        <f>N64*('🎛️ Assumptions'!$C$5+'🎛️ Assumptions'!$C$8)+N65*'🎛️ Assumptions'!$C$6+N66*'🎛️ Assumptions'!$C$7</f>
        <v>459184.89999999997</v>
      </c>
      <c r="O68" s="15">
        <f>O64*('🎛️ Assumptions'!$C$5+'🎛️ Assumptions'!$C$8)+O65*'🎛️ Assumptions'!$C$6+O66*'🎛️ Assumptions'!$C$7</f>
        <v>489782</v>
      </c>
      <c r="P68" s="15">
        <f>P64*('🎛️ Assumptions'!$C$5+'🎛️ Assumptions'!$C$8)+P65*'🎛️ Assumptions'!$C$6+P66*'🎛️ Assumptions'!$C$7</f>
        <v>518742.1</v>
      </c>
      <c r="Q68" s="15">
        <f>Q64*('🎛️ Assumptions'!$C$5+'🎛️ Assumptions'!$C$8)+Q65*'🎛️ Assumptions'!$C$6+Q66*'🎛️ Assumptions'!$C$7</f>
        <v>546085.1</v>
      </c>
      <c r="R68" s="15">
        <f>R64*('🎛️ Assumptions'!$C$5+'🎛️ Assumptions'!$C$8)+R65*'🎛️ Assumptions'!$C$6+R66*'🎛️ Assumptions'!$C$7</f>
        <v>572000.70000000007</v>
      </c>
      <c r="S68" s="15">
        <f>S64*('🎛️ Assumptions'!$C$5+'🎛️ Assumptions'!$C$8)+S65*'🎛️ Assumptions'!$C$6+S66*'🎛️ Assumptions'!$C$7</f>
        <v>596458.89999999991</v>
      </c>
      <c r="T68" s="15">
        <f>T64*('🎛️ Assumptions'!$C$5+'🎛️ Assumptions'!$C$8)+T65*'🎛️ Assumptions'!$C$6+T66*'🎛️ Assumptions'!$C$7</f>
        <v>619589.5</v>
      </c>
      <c r="U68" s="15">
        <f>U64*('🎛️ Assumptions'!$C$5+'🎛️ Assumptions'!$C$8)+U65*'🎛️ Assumptions'!$C$6+U66*'🎛️ Assumptions'!$C$7</f>
        <v>641552.19999999995</v>
      </c>
      <c r="V68" s="15">
        <f>V64*('🎛️ Assumptions'!$C$5+'🎛️ Assumptions'!$C$8)+V65*'🎛️ Assumptions'!$C$6+V66*'🎛️ Assumptions'!$C$7</f>
        <v>662347</v>
      </c>
      <c r="W68" s="15">
        <f>W64*('🎛️ Assumptions'!$C$5+'🎛️ Assumptions'!$C$8)+W65*'🎛️ Assumptions'!$C$6+W66*'🎛️ Assumptions'!$C$7</f>
        <v>682023.8</v>
      </c>
      <c r="X68" s="15">
        <f>X64*('🎛️ Assumptions'!$C$5+'🎛️ Assumptions'!$C$8)+X65*'🎛️ Assumptions'!$C$6+X66*'🎛️ Assumptions'!$C$7</f>
        <v>700612.5</v>
      </c>
      <c r="Y68" s="15">
        <f>Y64*('🎛️ Assumptions'!$C$5+'🎛️ Assumptions'!$C$8)+Y65*'🎛️ Assumptions'!$C$6+Y66*'🎛️ Assumptions'!$C$7</f>
        <v>718322.8</v>
      </c>
      <c r="Z68" s="15"/>
    </row>
    <row r="69" spans="1:26" hidden="1" outlineLevel="2" x14ac:dyDescent="0.2">
      <c r="A69" s="216" t="s">
        <v>220</v>
      </c>
      <c r="B69" s="15">
        <f>B63*('🎛️ Assumptions'!$C$17*('🎛️ Assumptions'!$C$18*('🎛️ Assumptions'!$G$10/1000000)+'🎛️ Assumptions'!$C$19*('🎛️ Assumptions'!$G$13/1000000))*(1-'🎛️ Assumptions'!$C$15)*'🎛️ Assumptions'!$C$10*'🎛️ Assumptions'!$C$20)+B64*('🎛️ Assumptions'!$C$21*('🎛️ Assumptions'!$C$22*('🎛️ Assumptions'!$C$13/1000000)+'🎛️ Assumptions'!$C$23*('🎛️ Assumptions'!$C$14/1000000))*(1-'🎛️ Assumptions'!$C$15)*'🎛️ Assumptions'!$C$10)+B65*(('🎛️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Assumptions'!$C$10))+B66*(('🎛️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4542.9480000000003</v>
      </c>
      <c r="C69" s="15">
        <f>C63*('🎛️ Assumptions'!$C$17*('🎛️ Assumptions'!$C$18*('🎛️ Assumptions'!$G$10/1000000)+'🎛️ Assumptions'!$C$19*('🎛️ Assumptions'!$G$13/1000000))*(1-'🎛️ Assumptions'!$C$15)*'🎛️ Assumptions'!$C$10*'🎛️ Assumptions'!$C$20)+C64*('🎛️ Assumptions'!$C$21*('🎛️ Assumptions'!$C$22*('🎛️ Assumptions'!$C$13/1000000)+'🎛️ Assumptions'!$C$23*('🎛️ Assumptions'!$C$14/1000000))*(1-'🎛️ Assumptions'!$C$15)*'🎛️ Assumptions'!$C$10)+C65*(('🎛️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Assumptions'!$C$10))+C66*(('🎛️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12242.3958</v>
      </c>
      <c r="D69" s="15">
        <f>D63*('🎛️ Assumptions'!$C$17*('🎛️ Assumptions'!$C$18*('🎛️ Assumptions'!$G$10/1000000)+'🎛️ Assumptions'!$C$19*('🎛️ Assumptions'!$G$13/1000000))*(1-'🎛️ Assumptions'!$C$15)*'🎛️ Assumptions'!$C$10*'🎛️ Assumptions'!$C$20)+D64*('🎛️ Assumptions'!$C$21*('🎛️ Assumptions'!$C$22*('🎛️ Assumptions'!$C$13/1000000)+'🎛️ Assumptions'!$C$23*('🎛️ Assumptions'!$C$14/1000000))*(1-'🎛️ Assumptions'!$C$15)*'🎛️ Assumptions'!$C$10)+D65*(('🎛️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Assumptions'!$C$10))+D66*(('🎛️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19525.3272</v>
      </c>
      <c r="E69" s="15">
        <f>E63*('🎛️ Assumptions'!$C$17*('🎛️ Assumptions'!$C$18*('🎛️ Assumptions'!$G$10/1000000)+'🎛️ Assumptions'!$C$19*('🎛️ Assumptions'!$G$13/1000000))*(1-'🎛️ Assumptions'!$C$15)*'🎛️ Assumptions'!$C$10*'🎛️ Assumptions'!$C$20)+E64*('🎛️ Assumptions'!$C$21*('🎛️ Assumptions'!$C$22*('🎛️ Assumptions'!$C$13/1000000)+'🎛️ Assumptions'!$C$23*('🎛️ Assumptions'!$C$14/1000000))*(1-'🎛️ Assumptions'!$C$15)*'🎛️ Assumptions'!$C$10)+E65*(('🎛️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Assumptions'!$C$10))+E66*(('🎛️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26416.527120000002</v>
      </c>
      <c r="F69" s="15">
        <f>F63*('🎛️ Assumptions'!$C$17*('🎛️ Assumptions'!$C$18*('🎛️ Assumptions'!$G$10/1000000)+'🎛️ Assumptions'!$C$19*('🎛️ Assumptions'!$G$13/1000000))*(1-'🎛️ Assumptions'!$C$15)*'🎛️ Assumptions'!$C$10*'🎛️ Assumptions'!$C$20)+F64*('🎛️ Assumptions'!$C$21*('🎛️ Assumptions'!$C$22*('🎛️ Assumptions'!$C$13/1000000)+'🎛️ Assumptions'!$C$23*('🎛️ Assumptions'!$C$14/1000000))*(1-'🎛️ Assumptions'!$C$15)*'🎛️ Assumptions'!$C$10)+F65*(('🎛️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Assumptions'!$C$10))+F66*(('🎛️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32929.084439999999</v>
      </c>
      <c r="G69" s="15">
        <f>G63*('🎛️ Assumptions'!$C$17*('🎛️ Assumptions'!$C$18*('🎛️ Assumptions'!$G$10/1000000)+'🎛️ Assumptions'!$C$19*('🎛️ Assumptions'!$G$13/1000000))*(1-'🎛️ Assumptions'!$C$15)*'🎛️ Assumptions'!$C$10*'🎛️ Assumptions'!$C$20)+G64*('🎛️ Assumptions'!$C$21*('🎛️ Assumptions'!$C$22*('🎛️ Assumptions'!$C$13/1000000)+'🎛️ Assumptions'!$C$23*('🎛️ Assumptions'!$C$14/1000000))*(1-'🎛️ Assumptions'!$C$15)*'🎛️ Assumptions'!$C$10)+G65*(('🎛️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Assumptions'!$C$10))+G66*(('🎛️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39094.328520000003</v>
      </c>
      <c r="H69" s="15">
        <f>H63*('🎛️ Assumptions'!$C$17*('🎛️ Assumptions'!$C$18*('🎛️ Assumptions'!$G$10/1000000)+'🎛️ Assumptions'!$C$19*('🎛️ Assumptions'!$G$13/1000000))*(1-'🎛️ Assumptions'!$C$15)*'🎛️ Assumptions'!$C$10*'🎛️ Assumptions'!$C$20)+H64*('🎛️ Assumptions'!$C$21*('🎛️ Assumptions'!$C$22*('🎛️ Assumptions'!$C$13/1000000)+'🎛️ Assumptions'!$C$23*('🎛️ Assumptions'!$C$14/1000000))*(1-'🎛️ Assumptions'!$C$15)*'🎛️ Assumptions'!$C$10)+H65*(('🎛️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Assumptions'!$C$10))+H66*(('🎛️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44941.051079999997</v>
      </c>
      <c r="I69" s="15">
        <f>I63*('🎛️ Assumptions'!$C$17*('🎛️ Assumptions'!$C$18*('🎛️ Assumptions'!$G$10/1000000)+'🎛️ Assumptions'!$C$19*('🎛️ Assumptions'!$G$13/1000000))*(1-'🎛️ Assumptions'!$C$15)*'🎛️ Assumptions'!$C$10*'🎛️ Assumptions'!$C$20)+I64*('🎛️ Assumptions'!$C$21*('🎛️ Assumptions'!$C$22*('🎛️ Assumptions'!$C$13/1000000)+'🎛️ Assumptions'!$C$23*('🎛️ Assumptions'!$C$14/1000000))*(1-'🎛️ Assumptions'!$C$15)*'🎛️ Assumptions'!$C$10)+I65*(('🎛️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Assumptions'!$C$10))+I66*(('🎛️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50471.789760000007</v>
      </c>
      <c r="J69" s="15">
        <f>J63*('🎛️ Assumptions'!$C$17*('🎛️ Assumptions'!$C$18*('🎛️ Assumptions'!$G$10/1000000)+'🎛️ Assumptions'!$C$19*('🎛️ Assumptions'!$G$13/1000000))*(1-'🎛️ Assumptions'!$C$15)*'🎛️ Assumptions'!$C$10*'🎛️ Assumptions'!$C$20)+J64*('🎛️ Assumptions'!$C$21*('🎛️ Assumptions'!$C$22*('🎛️ Assumptions'!$C$13/1000000)+'🎛️ Assumptions'!$C$23*('🎛️ Assumptions'!$C$14/1000000))*(1-'🎛️ Assumptions'!$C$15)*'🎛️ Assumptions'!$C$10)+J65*(('🎛️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Assumptions'!$C$10))+J66*(('🎛️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55699.633440000005</v>
      </c>
      <c r="K69" s="15">
        <f>K63*('🎛️ Assumptions'!$C$17*('🎛️ Assumptions'!$C$18*('🎛️ Assumptions'!$G$10/1000000)+'🎛️ Assumptions'!$C$19*('🎛️ Assumptions'!$G$13/1000000))*(1-'🎛️ Assumptions'!$C$15)*'🎛️ Assumptions'!$C$10*'🎛️ Assumptions'!$C$20)+K64*('🎛️ Assumptions'!$C$21*('🎛️ Assumptions'!$C$22*('🎛️ Assumptions'!$C$13/1000000)+'🎛️ Assumptions'!$C$23*('🎛️ Assumptions'!$C$14/1000000))*(1-'🎛️ Assumptions'!$C$15)*'🎛️ Assumptions'!$C$10)+K65*(('🎛️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Assumptions'!$C$10))+K66*(('🎛️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60665.069879999995</v>
      </c>
      <c r="L69" s="15">
        <f>L63*('🎛️ Assumptions'!$C$17*('🎛️ Assumptions'!$C$18*('🎛️ Assumptions'!$G$10/1000000)+'🎛️ Assumptions'!$C$19*('🎛️ Assumptions'!$G$13/1000000))*(1-'🎛️ Assumptions'!$C$15)*'🎛️ Assumptions'!$C$10*'🎛️ Assumptions'!$C$20)+L64*('🎛️ Assumptions'!$C$21*('🎛️ Assumptions'!$C$22*('🎛️ Assumptions'!$C$13/1000000)+'🎛️ Assumptions'!$C$23*('🎛️ Assumptions'!$C$14/1000000))*(1-'🎛️ Assumptions'!$C$15)*'🎛️ Assumptions'!$C$10)+L65*(('🎛️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Assumptions'!$C$10))+L66*(('🎛️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65358.940680000007</v>
      </c>
      <c r="M69" s="15">
        <f>M63*('🎛️ Assumptions'!$C$17*('🎛️ Assumptions'!$C$18*('🎛️ Assumptions'!$G$10/1000000)+'🎛️ Assumptions'!$C$19*('🎛️ Assumptions'!$G$13/1000000))*(1-'🎛️ Assumptions'!$C$15)*'🎛️ Assumptions'!$C$10*'🎛️ Assumptions'!$C$20)+M64*('🎛️ Assumptions'!$C$21*('🎛️ Assumptions'!$C$22*('🎛️ Assumptions'!$C$13/1000000)+'🎛️ Assumptions'!$C$23*('🎛️ Assumptions'!$C$14/1000000))*(1-'🎛️ Assumptions'!$C$15)*'🎛️ Assumptions'!$C$10)+M65*(('🎛️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Assumptions'!$C$10))+M66*(('🎛️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69821.733600000007</v>
      </c>
      <c r="N69" s="15">
        <f>N63*('🎛️ Assumptions'!$C$17*('🎛️ Assumptions'!$C$18*('🎛️ Assumptions'!$G$10/1000000)+'🎛️ Assumptions'!$C$19*('🎛️ Assumptions'!$G$13/1000000))*(1-'🎛️ Assumptions'!$C$15)*'🎛️ Assumptions'!$C$10*'🎛️ Assumptions'!$C$20)+N64*('🎛️ Assumptions'!$C$21*('🎛️ Assumptions'!$C$22*('🎛️ Assumptions'!$C$13/1000000)+'🎛️ Assumptions'!$C$23*('🎛️ Assumptions'!$C$14/1000000))*(1-'🎛️ Assumptions'!$C$15)*'🎛️ Assumptions'!$C$10)+N65*(('🎛️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Assumptions'!$C$10))+N66*(('🎛️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75184.034039999999</v>
      </c>
      <c r="O69" s="15">
        <f>O63*('🎛️ Assumptions'!$C$17*('🎛️ Assumptions'!$C$18*('🎛️ Assumptions'!$G$10/1000000)+'🎛️ Assumptions'!$C$19*('🎛️ Assumptions'!$G$13/1000000))*(1-'🎛️ Assumptions'!$C$15)*'🎛️ Assumptions'!$C$10*'🎛️ Assumptions'!$C$20)+O64*('🎛️ Assumptions'!$C$21*('🎛️ Assumptions'!$C$22*('🎛️ Assumptions'!$C$13/1000000)+'🎛️ Assumptions'!$C$23*('🎛️ Assumptions'!$C$14/1000000))*(1-'🎛️ Assumptions'!$C$15)*'🎛️ Assumptions'!$C$10)+O65*(('🎛️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Assumptions'!$C$10))+O66*(('🎛️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80268.224400000006</v>
      </c>
      <c r="P69" s="15">
        <f>P63*('🎛️ Assumptions'!$C$17*('🎛️ Assumptions'!$C$18*('🎛️ Assumptions'!$G$10/1000000)+'🎛️ Assumptions'!$C$19*('🎛️ Assumptions'!$G$13/1000000))*(1-'🎛️ Assumptions'!$C$15)*'🎛️ Assumptions'!$C$10*'🎛️ Assumptions'!$C$20)+P64*('🎛️ Assumptions'!$C$21*('🎛️ Assumptions'!$C$22*('🎛️ Assumptions'!$C$13/1000000)+'🎛️ Assumptions'!$C$23*('🎛️ Assumptions'!$C$14/1000000))*(1-'🎛️ Assumptions'!$C$15)*'🎛️ Assumptions'!$C$10)+P65*(('🎛️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Assumptions'!$C$10))+P66*(('🎛️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85096.551959999997</v>
      </c>
      <c r="Q69" s="15">
        <f>Q63*('🎛️ Assumptions'!$C$17*('🎛️ Assumptions'!$C$18*('🎛️ Assumptions'!$G$10/1000000)+'🎛️ Assumptions'!$C$19*('🎛️ Assumptions'!$G$13/1000000))*(1-'🎛️ Assumptions'!$C$15)*'🎛️ Assumptions'!$C$10*'🎛️ Assumptions'!$C$20)+Q64*('🎛️ Assumptions'!$C$21*('🎛️ Assumptions'!$C$22*('🎛️ Assumptions'!$C$13/1000000)+'🎛️ Assumptions'!$C$23*('🎛️ Assumptions'!$C$14/1000000))*(1-'🎛️ Assumptions'!$C$15)*'🎛️ Assumptions'!$C$10)+Q65*(('🎛️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Assumptions'!$C$10))+Q66*(('🎛️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89666.402760000012</v>
      </c>
      <c r="R69" s="15">
        <f>R63*('🎛️ Assumptions'!$C$17*('🎛️ Assumptions'!$C$18*('🎛️ Assumptions'!$G$10/1000000)+'🎛️ Assumptions'!$C$19*('🎛️ Assumptions'!$G$13/1000000))*(1-'🎛️ Assumptions'!$C$15)*'🎛️ Assumptions'!$C$10*'🎛️ Assumptions'!$C$20)+R64*('🎛️ Assumptions'!$C$21*('🎛️ Assumptions'!$C$22*('🎛️ Assumptions'!$C$13/1000000)+'🎛️ Assumptions'!$C$23*('🎛️ Assumptions'!$C$14/1000000))*(1-'🎛️ Assumptions'!$C$15)*'🎛️ Assumptions'!$C$10)+R65*(('🎛️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Assumptions'!$C$10))+R66*(('🎛️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94011.720119999998</v>
      </c>
      <c r="S69" s="15">
        <f>S63*('🎛️ Assumptions'!$C$17*('🎛️ Assumptions'!$C$18*('🎛️ Assumptions'!$G$10/1000000)+'🎛️ Assumptions'!$C$19*('🎛️ Assumptions'!$G$13/1000000))*(1-'🎛️ Assumptions'!$C$15)*'🎛️ Assumptions'!$C$10*'🎛️ Assumptions'!$C$20)+S64*('🎛️ Assumptions'!$C$21*('🎛️ Assumptions'!$C$22*('🎛️ Assumptions'!$C$13/1000000)+'🎛️ Assumptions'!$C$23*('🎛️ Assumptions'!$C$14/1000000))*(1-'🎛️ Assumptions'!$C$15)*'🎛️ Assumptions'!$C$10)+S65*(('🎛️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Assumptions'!$C$10))+S66*(('🎛️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98123.34564</v>
      </c>
      <c r="T69" s="15">
        <f>T63*('🎛️ Assumptions'!$C$17*('🎛️ Assumptions'!$C$18*('🎛️ Assumptions'!$G$10/1000000)+'🎛️ Assumptions'!$C$19*('🎛️ Assumptions'!$G$13/1000000))*(1-'🎛️ Assumptions'!$C$15)*'🎛️ Assumptions'!$C$10*'🎛️ Assumptions'!$C$20)+T64*('🎛️ Assumptions'!$C$21*('🎛️ Assumptions'!$C$22*('🎛️ Assumptions'!$C$13/1000000)+'🎛️ Assumptions'!$C$23*('🎛️ Assumptions'!$C$14/1000000))*(1-'🎛️ Assumptions'!$C$15)*'🎛️ Assumptions'!$C$10)+T65*(('🎛️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Assumptions'!$C$10))+T66*(('🎛️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102023.52660000001</v>
      </c>
      <c r="U69" s="15">
        <f>U63*('🎛️ Assumptions'!$C$17*('🎛️ Assumptions'!$C$18*('🎛️ Assumptions'!$G$10/1000000)+'🎛️ Assumptions'!$C$19*('🎛️ Assumptions'!$G$13/1000000))*(1-'🎛️ Assumptions'!$C$15)*'🎛️ Assumptions'!$C$10*'🎛️ Assumptions'!$C$20)+U64*('🎛️ Assumptions'!$C$21*('🎛️ Assumptions'!$C$22*('🎛️ Assumptions'!$C$13/1000000)+'🎛️ Assumptions'!$C$23*('🎛️ Assumptions'!$C$14/1000000))*(1-'🎛️ Assumptions'!$C$15)*'🎛️ Assumptions'!$C$10)+U65*(('🎛️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Assumptions'!$C$10))+U66*(('🎛️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105737.04792000001</v>
      </c>
      <c r="V69" s="15">
        <f>V63*('🎛️ Assumptions'!$C$17*('🎛️ Assumptions'!$C$18*('🎛️ Assumptions'!$G$10/1000000)+'🎛️ Assumptions'!$C$19*('🎛️ Assumptions'!$G$13/1000000))*(1-'🎛️ Assumptions'!$C$15)*'🎛️ Assumptions'!$C$10*'🎛️ Assumptions'!$C$20)+V64*('🎛️ Assumptions'!$C$21*('🎛️ Assumptions'!$C$22*('🎛️ Assumptions'!$C$13/1000000)+'🎛️ Assumptions'!$C$23*('🎛️ Assumptions'!$C$14/1000000))*(1-'🎛️ Assumptions'!$C$15)*'🎛️ Assumptions'!$C$10)+V65*(('🎛️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Assumptions'!$C$10))+V66*(('🎛️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109263.9096</v>
      </c>
      <c r="W69" s="15">
        <f>W63*('🎛️ Assumptions'!$C$17*('🎛️ Assumptions'!$C$18*('🎛️ Assumptions'!$G$10/1000000)+'🎛️ Assumptions'!$C$19*('🎛️ Assumptions'!$G$13/1000000))*(1-'🎛️ Assumptions'!$C$15)*'🎛️ Assumptions'!$C$10*'🎛️ Assumptions'!$C$20)+W64*('🎛️ Assumptions'!$C$21*('🎛️ Assumptions'!$C$22*('🎛️ Assumptions'!$C$13/1000000)+'🎛️ Assumptions'!$C$23*('🎛️ Assumptions'!$C$14/1000000))*(1-'🎛️ Assumptions'!$C$15)*'🎛️ Assumptions'!$C$10)+W65*(('🎛️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Assumptions'!$C$10))+W66*(('🎛️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112610.65608000002</v>
      </c>
      <c r="X69" s="15">
        <f>X63*('🎛️ Assumptions'!$C$17*('🎛️ Assumptions'!$C$18*('🎛️ Assumptions'!$G$10/1000000)+'🎛️ Assumptions'!$C$19*('🎛️ Assumptions'!$G$13/1000000))*(1-'🎛️ Assumptions'!$C$15)*'🎛️ Assumptions'!$C$10*'🎛️ Assumptions'!$C$20)+X64*('🎛️ Assumptions'!$C$21*('🎛️ Assumptions'!$C$22*('🎛️ Assumptions'!$C$13/1000000)+'🎛️ Assumptions'!$C$23*('🎛️ Assumptions'!$C$14/1000000))*(1-'🎛️ Assumptions'!$C$15)*'🎛️ Assumptions'!$C$10)+X65*(('🎛️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Assumptions'!$C$10))+X66*(('🎛️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115779.825</v>
      </c>
      <c r="Y69" s="15">
        <f>Y63*('🎛️ Assumptions'!$C$17*('🎛️ Assumptions'!$C$18*('🎛️ Assumptions'!$G$10/1000000)+'🎛️ Assumptions'!$C$19*('🎛️ Assumptions'!$G$13/1000000))*(1-'🎛️ Assumptions'!$C$15)*'🎛️ Assumptions'!$C$10*'🎛️ Assumptions'!$C$20)+Y64*('🎛️ Assumptions'!$C$21*('🎛️ Assumptions'!$C$22*('🎛️ Assumptions'!$C$13/1000000)+'🎛️ Assumptions'!$C$23*('🎛️ Assumptions'!$C$14/1000000))*(1-'🎛️ Assumptions'!$C$15)*'🎛️ Assumptions'!$C$10)+Y65*(('🎛️ Assumptions'!$C$24*('🎛️ Assumptions'!$C$22*('🎛️ Assumptions'!$C$13/1000000)+'🎛️ Assumptions'!$C$23*('🎛️ Assumptions'!$C$14/1000000))*(1-'🎛️ Assumptions'!$C$15)*'🎛️ Assumptions'!$C$10)+('🎛️ Assumptions'!$C$25*('🎛️ Assumptions'!$C$26*('🎛️ Assumptions'!$C$13/1000000)+'🎛️ Assumptions'!$C$27*('🎛️ Assumptions'!$C$14/1000000))*(1-'🎛️ Assumptions'!$C$15)*'🎛️ Assumptions'!$C$10))+Y66*(('🎛️ Assumptions'!$C$28*('🎛️ Assumptions'!$C$22*('🎛️ Assumptions'!$C$13/1000000)+'🎛️ Assumptions'!$C$23*('🎛️ Assumptions'!$C$14/1000000))*(1-'🎛️ Assumptions'!$C$15)*'🎛️ Assumptions'!$C$10)+('🎛️ Assumptions'!$C$29*('🎛️ Assumptions'!$C$26*('🎛️ Assumptions'!$C$13/1000000)+'🎛️ Assumptions'!$C$27*('🎛️ Assumptions'!$C$14/1000000))*(1-'🎛️ Assumptions'!$C$15)*'🎛️ Assumptions'!$C$10))</f>
        <v>118809.36648000003</v>
      </c>
      <c r="Z69" s="15"/>
    </row>
    <row r="70" spans="1:26" hidden="1" outlineLevel="2" x14ac:dyDescent="0.2">
      <c r="A70" s="216" t="s">
        <v>221</v>
      </c>
      <c r="B70" s="15">
        <f>'🎛️ Assumptions'!$C$40+'🎛️ Assumptions'!$C$42+'🎛️ Assumptions'!$C$44+'🎛️ Assumptions'!$C$46</f>
        <v>63000</v>
      </c>
      <c r="C70" s="15">
        <f>'🎛️ Assumptions'!$C$40+'🎛️ Assumptions'!$C$42+'🎛️ Assumptions'!$C$44+'🎛️ Assumptions'!$C$46</f>
        <v>63000</v>
      </c>
      <c r="D70" s="15">
        <f>'🎛️ Assumptions'!$C$40+'🎛️ Assumptions'!$C$42+'🎛️ Assumptions'!$C$44+'🎛️ Assumptions'!$C$46</f>
        <v>63000</v>
      </c>
      <c r="E70" s="15">
        <f>'🎛️ Assumptions'!$C$40+'🎛️ Assumptions'!$C$42+'🎛️ Assumptions'!$C$44+'🎛️ Assumptions'!$C$46</f>
        <v>63000</v>
      </c>
      <c r="F70" s="15">
        <f>'🎛️ Assumptions'!$C$40+'🎛️ Assumptions'!$C$42+'🎛️ Assumptions'!$C$44+'🎛️ Assumptions'!$C$46</f>
        <v>63000</v>
      </c>
      <c r="G70" s="15">
        <f>'🎛️ Assumptions'!$C$40+'🎛️ Assumptions'!$C$42+'🎛️ Assumptions'!$C$44+'🎛️ Assumptions'!$C$46</f>
        <v>63000</v>
      </c>
      <c r="H70" s="15">
        <f>'🎛️ Assumptions'!$C$40+'🎛️ Assumptions'!$C$42+'🎛️ Assumptions'!$C$44+'🎛️ Assumptions'!$C$46</f>
        <v>63000</v>
      </c>
      <c r="I70" s="15">
        <f>'🎛️ Assumptions'!$C$40+'🎛️ Assumptions'!$C$42+'🎛️ Assumptions'!$C$44+'🎛️ Assumptions'!$C$46</f>
        <v>63000</v>
      </c>
      <c r="J70" s="15">
        <f>'🎛️ Assumptions'!$C$40+'🎛️ Assumptions'!$C$42+'🎛️ Assumptions'!$C$44+'🎛️ Assumptions'!$C$46</f>
        <v>63000</v>
      </c>
      <c r="K70" s="15">
        <f>'🎛️ Assumptions'!$C$40+'🎛️ Assumptions'!$C$42+'🎛️ Assumptions'!$C$44+'🎛️ Assumptions'!$C$46</f>
        <v>63000</v>
      </c>
      <c r="L70" s="15">
        <f>'🎛️ Assumptions'!$C$40+'🎛️ Assumptions'!$C$42+'🎛️ Assumptions'!$C$44+'🎛️ Assumptions'!$C$46</f>
        <v>63000</v>
      </c>
      <c r="M70" s="15">
        <f>'🎛️ Assumptions'!$C$40+'🎛️ Assumptions'!$C$42+'🎛️ Assumptions'!$C$44+'🎛️ Assumptions'!$C$46</f>
        <v>63000</v>
      </c>
      <c r="N70" s="15">
        <f>'🎛️ Assumptions'!$C$41+'🎛️ Assumptions'!$C$43+'🎛️ Assumptions'!$C$45+'🎛️ Assumptions'!$C$46</f>
        <v>84000</v>
      </c>
      <c r="O70" s="15">
        <f>'🎛️ Assumptions'!$C$41+'🎛️ Assumptions'!$C$43+'🎛️ Assumptions'!$C$45+'🎛️ Assumptions'!$C$46</f>
        <v>84000</v>
      </c>
      <c r="P70" s="15">
        <f>'🎛️ Assumptions'!$C$41+'🎛️ Assumptions'!$C$43+'🎛️ Assumptions'!$C$45+'🎛️ Assumptions'!$C$46</f>
        <v>84000</v>
      </c>
      <c r="Q70" s="15">
        <f>'🎛️ Assumptions'!$C$41+'🎛️ Assumptions'!$C$43+'🎛️ Assumptions'!$C$45+'🎛️ Assumptions'!$C$46</f>
        <v>84000</v>
      </c>
      <c r="R70" s="15">
        <f>'🎛️ Assumptions'!$C$41+'🎛️ Assumptions'!$C$43+'🎛️ Assumptions'!$C$45+'🎛️ Assumptions'!$C$46</f>
        <v>84000</v>
      </c>
      <c r="S70" s="15">
        <f>'🎛️ Assumptions'!$C$41+'🎛️ Assumptions'!$C$43+'🎛️ Assumptions'!$C$45+'🎛️ Assumptions'!$C$46</f>
        <v>84000</v>
      </c>
      <c r="T70" s="15">
        <f>'🎛️ Assumptions'!$C$41+'🎛️ Assumptions'!$C$43+'🎛️ Assumptions'!$C$45+'🎛️ Assumptions'!$C$46</f>
        <v>84000</v>
      </c>
      <c r="U70" s="15">
        <f>'🎛️ Assumptions'!$C$41+'🎛️ Assumptions'!$C$43+'🎛️ Assumptions'!$C$45+'🎛️ Assumptions'!$C$46</f>
        <v>84000</v>
      </c>
      <c r="V70" s="15">
        <f>'🎛️ Assumptions'!$C$41+'🎛️ Assumptions'!$C$43+'🎛️ Assumptions'!$C$45+'🎛️ Assumptions'!$C$46</f>
        <v>84000</v>
      </c>
      <c r="W70" s="15">
        <f>'🎛️ Assumptions'!$C$41+'🎛️ Assumptions'!$C$43+'🎛️ Assumptions'!$C$45+'🎛️ Assumptions'!$C$46</f>
        <v>84000</v>
      </c>
      <c r="X70" s="15">
        <f>'🎛️ Assumptions'!$C$41+'🎛️ Assumptions'!$C$43+'🎛️ Assumptions'!$C$45+'🎛️ Assumptions'!$C$46</f>
        <v>84000</v>
      </c>
      <c r="Y70" s="15">
        <f>'🎛️ Assumptions'!$C$41+'🎛️ Assumptions'!$C$43+'🎛️ Assumptions'!$C$45+'🎛️ Assumptions'!$C$46</f>
        <v>84000</v>
      </c>
      <c r="Z70" s="15"/>
    </row>
    <row r="71" spans="1:26" hidden="1" outlineLevel="2" x14ac:dyDescent="0.2">
      <c r="A71" s="216" t="s">
        <v>650</v>
      </c>
      <c r="B71" s="15">
        <f>B68*'🎛️ Assumptions'!$C$70</f>
        <v>3659.5</v>
      </c>
      <c r="C71" s="15">
        <f>C68*'🎛️ Assumptions'!$C$70</f>
        <v>9852.1149999999998</v>
      </c>
      <c r="D71" s="15">
        <f>D68*'🎛️ Assumptions'!$C$70</f>
        <v>15693.079999999998</v>
      </c>
      <c r="E71" s="15">
        <f>E68*'🎛️ Assumptions'!$C$70</f>
        <v>21203.155999999999</v>
      </c>
      <c r="F71" s="15">
        <f>F68*'🎛️ Assumptions'!$C$70</f>
        <v>26395.316999999999</v>
      </c>
      <c r="G71" s="15">
        <f>G68*'🎛️ Assumptions'!$C$70</f>
        <v>31296.811000000002</v>
      </c>
      <c r="H71" s="15">
        <f>H68*'🎛️ Assumptions'!$C$70</f>
        <v>35930.998999999996</v>
      </c>
      <c r="I71" s="15">
        <f>I68*'🎛️ Assumptions'!$C$70</f>
        <v>40301.767999999996</v>
      </c>
      <c r="J71" s="15">
        <f>J68*'🎛️ Assumptions'!$C$70</f>
        <v>44422.092000000004</v>
      </c>
      <c r="K71" s="15">
        <f>K68*'🎛️ Assumptions'!$C$70</f>
        <v>48323.118999999992</v>
      </c>
      <c r="L71" s="15">
        <f>L68*'🎛️ Assumptions'!$C$70</f>
        <v>52000.949000000001</v>
      </c>
      <c r="M71" s="15">
        <f>M68*'🎛️ Assumptions'!$C$70</f>
        <v>55486.73</v>
      </c>
      <c r="N71" s="15">
        <f>N68*'🎛️ Assumptions'!$C$70</f>
        <v>59694.036999999997</v>
      </c>
      <c r="O71" s="15">
        <f>O68*'🎛️ Assumptions'!$C$70</f>
        <v>63671.66</v>
      </c>
      <c r="P71" s="15">
        <f>P68*'🎛️ Assumptions'!$C$70</f>
        <v>67436.472999999998</v>
      </c>
      <c r="Q71" s="15">
        <f>Q68*'🎛️ Assumptions'!$C$70</f>
        <v>70991.062999999995</v>
      </c>
      <c r="R71" s="15">
        <f>R68*'🎛️ Assumptions'!$C$70</f>
        <v>74360.091000000015</v>
      </c>
      <c r="S71" s="15">
        <f>S68*'🎛️ Assumptions'!$C$70</f>
        <v>77539.656999999992</v>
      </c>
      <c r="T71" s="15">
        <f>T68*'🎛️ Assumptions'!$C$70</f>
        <v>80546.635000000009</v>
      </c>
      <c r="U71" s="15">
        <f>U68*'🎛️ Assumptions'!$C$70</f>
        <v>83401.785999999993</v>
      </c>
      <c r="V71" s="15">
        <f>V68*'🎛️ Assumptions'!$C$70</f>
        <v>86105.11</v>
      </c>
      <c r="W71" s="15">
        <f>W68*'🎛️ Assumptions'!$C$70</f>
        <v>88663.094000000012</v>
      </c>
      <c r="X71" s="15">
        <f>X68*'🎛️ Assumptions'!$C$70</f>
        <v>91079.625</v>
      </c>
      <c r="Y71" s="15">
        <f>Y68*'🎛️ Assumptions'!$C$70</f>
        <v>93381.964000000007</v>
      </c>
      <c r="Z71" s="15"/>
    </row>
    <row r="72" spans="1:26" hidden="1" outlineLevel="2" x14ac:dyDescent="0.2">
      <c r="A72" s="216" t="s">
        <v>651</v>
      </c>
      <c r="B72" s="15">
        <f t="shared" ref="B72:Y72" si="3">B68-B69-B70-B71</f>
        <v>-43052.448000000004</v>
      </c>
      <c r="C72" s="36">
        <f t="shared" si="3"/>
        <v>-9309.0107999999982</v>
      </c>
      <c r="D72" s="36">
        <f t="shared" si="3"/>
        <v>22497.592799999988</v>
      </c>
      <c r="E72" s="36">
        <f t="shared" si="3"/>
        <v>52481.516879999966</v>
      </c>
      <c r="F72" s="36">
        <f t="shared" si="3"/>
        <v>80716.498559999993</v>
      </c>
      <c r="G72" s="36">
        <f t="shared" si="3"/>
        <v>107353.56048</v>
      </c>
      <c r="H72" s="36">
        <f t="shared" si="3"/>
        <v>132520.24991999997</v>
      </c>
      <c r="I72" s="36">
        <f t="shared" si="3"/>
        <v>156240.04223999998</v>
      </c>
      <c r="J72" s="36">
        <f t="shared" si="3"/>
        <v>178586.67456000001</v>
      </c>
      <c r="K72" s="36">
        <f t="shared" si="3"/>
        <v>199728.11111999996</v>
      </c>
      <c r="L72" s="36">
        <f t="shared" si="3"/>
        <v>219647.41032</v>
      </c>
      <c r="M72" s="36">
        <f t="shared" si="3"/>
        <v>238512.53639999995</v>
      </c>
      <c r="N72" s="36">
        <f t="shared" si="3"/>
        <v>240306.82895999996</v>
      </c>
      <c r="O72" s="36">
        <f t="shared" si="3"/>
        <v>261842.11559999999</v>
      </c>
      <c r="P72" s="36">
        <f t="shared" si="3"/>
        <v>282209.07503999997</v>
      </c>
      <c r="Q72" s="36">
        <f t="shared" si="3"/>
        <v>301427.63423999993</v>
      </c>
      <c r="R72" s="36">
        <f t="shared" si="3"/>
        <v>319628.88888000004</v>
      </c>
      <c r="S72" s="36">
        <f t="shared" si="3"/>
        <v>336795.89735999989</v>
      </c>
      <c r="T72" s="36">
        <f t="shared" si="3"/>
        <v>353019.33840000001</v>
      </c>
      <c r="U72" s="36">
        <f t="shared" si="3"/>
        <v>368413.36607999995</v>
      </c>
      <c r="V72" s="36">
        <f t="shared" si="3"/>
        <v>382977.9804</v>
      </c>
      <c r="W72" s="36">
        <f t="shared" si="3"/>
        <v>396750.04992000002</v>
      </c>
      <c r="X72" s="36">
        <f t="shared" si="3"/>
        <v>409753.05000000005</v>
      </c>
      <c r="Y72" s="36">
        <f t="shared" si="3"/>
        <v>422131.46951999993</v>
      </c>
      <c r="Z72" s="15"/>
    </row>
    <row r="73" spans="1:26" hidden="1" outlineLevel="1" collapsed="1" x14ac:dyDescent="0.2">
      <c r="A73" s="216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idden="1" outlineLevel="1" x14ac:dyDescent="0.2">
      <c r="A74" s="216" t="s">
        <v>652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idden="1" outlineLevel="1" x14ac:dyDescent="0.2">
      <c r="A75" s="216" t="s">
        <v>648</v>
      </c>
      <c r="B75" s="15">
        <f>'🎛️ Assumptions'!$B$64</f>
        <v>2000</v>
      </c>
      <c r="C75" s="36">
        <f>'🎛️ Assumptions'!$D$31</f>
        <v>4000</v>
      </c>
      <c r="D75" s="36">
        <f>'🎛️ Assumptions'!$D$31</f>
        <v>4000</v>
      </c>
      <c r="E75" s="36">
        <f>'🎛️ Assumptions'!$D$31</f>
        <v>4000</v>
      </c>
      <c r="F75" s="36">
        <f>'🎛️ Assumptions'!$D$31</f>
        <v>4000</v>
      </c>
      <c r="G75" s="36">
        <f>'🎛️ Assumptions'!$D$31</f>
        <v>4000</v>
      </c>
      <c r="H75" s="36">
        <f>'🎛️ Assumptions'!$D$31</f>
        <v>4000</v>
      </c>
      <c r="I75" s="36">
        <f>'🎛️ Assumptions'!$D$31</f>
        <v>4000</v>
      </c>
      <c r="J75" s="36">
        <f>'🎛️ Assumptions'!$D$31</f>
        <v>4000</v>
      </c>
      <c r="K75" s="36">
        <f>'🎛️ Assumptions'!$D$31</f>
        <v>4000</v>
      </c>
      <c r="L75" s="36">
        <f>'🎛️ Assumptions'!$D$31</f>
        <v>4000</v>
      </c>
      <c r="M75" s="36">
        <f>'🎛️ Assumptions'!$D$31</f>
        <v>4000</v>
      </c>
      <c r="N75" s="36">
        <f>'🎛️ Assumptions'!$D$32</f>
        <v>4500</v>
      </c>
      <c r="O75" s="36">
        <f>'🎛️ Assumptions'!$D$32</f>
        <v>4500</v>
      </c>
      <c r="P75" s="36">
        <f>'🎛️ Assumptions'!$D$32</f>
        <v>4500</v>
      </c>
      <c r="Q75" s="36">
        <f>'🎛️ Assumptions'!$D$32</f>
        <v>4500</v>
      </c>
      <c r="R75" s="36">
        <f>'🎛️ Assumptions'!$D$32</f>
        <v>4500</v>
      </c>
      <c r="S75" s="36">
        <f>'🎛️ Assumptions'!$D$32</f>
        <v>4500</v>
      </c>
      <c r="T75" s="36">
        <f>'🎛️ Assumptions'!$D$32</f>
        <v>4500</v>
      </c>
      <c r="U75" s="36">
        <f>'🎛️ Assumptions'!$D$32</f>
        <v>4500</v>
      </c>
      <c r="V75" s="36">
        <f>'🎛️ Assumptions'!$D$32</f>
        <v>4500</v>
      </c>
      <c r="W75" s="36">
        <f>'🎛️ Assumptions'!$D$32</f>
        <v>4500</v>
      </c>
      <c r="X75" s="36">
        <f>'🎛️ Assumptions'!$D$32</f>
        <v>4500</v>
      </c>
      <c r="Y75" s="36">
        <f>'🎛️ Assumptions'!$D$32</f>
        <v>4500</v>
      </c>
      <c r="Z75" s="15"/>
    </row>
    <row r="76" spans="1:26" hidden="1" outlineLevel="1" x14ac:dyDescent="0.2">
      <c r="A76" s="216" t="s">
        <v>49</v>
      </c>
      <c r="B76" s="15">
        <f>ROUND(B75*'🎛️ Assumptions'!$D$33,0)</f>
        <v>400</v>
      </c>
      <c r="C76" s="15">
        <f>ROUND(B76*(1-'🎛️ Assumptions'!$D$36)+C75*'🎛️ Assumptions'!$D$33,0)</f>
        <v>1180</v>
      </c>
      <c r="D76" s="15">
        <f>ROUND(C76*(1-'🎛️ Assumptions'!$D$36)+D75*'🎛️ Assumptions'!$D$33,0)</f>
        <v>1921</v>
      </c>
      <c r="E76" s="15">
        <f>ROUND(D76*(1-'🎛️ Assumptions'!$D$36)+E75*'🎛️ Assumptions'!$D$33,0)</f>
        <v>2625</v>
      </c>
      <c r="F76" s="15">
        <f>ROUND(E76*(1-'🎛️ Assumptions'!$D$36)+F75*'🎛️ Assumptions'!$D$33,0)</f>
        <v>3294</v>
      </c>
      <c r="G76" s="15">
        <f>ROUND(F76*(1-'🎛️ Assumptions'!$D$36)+G75*'🎛️ Assumptions'!$D$33,0)</f>
        <v>3929</v>
      </c>
      <c r="H76" s="15">
        <f>ROUND(G76*(1-'🎛️ Assumptions'!$D$36)+H75*'🎛️ Assumptions'!$D$33,0)</f>
        <v>4533</v>
      </c>
      <c r="I76" s="15">
        <f>ROUND(H76*(1-'🎛️ Assumptions'!$D$36)+I75*'🎛️ Assumptions'!$D$33,0)</f>
        <v>5106</v>
      </c>
      <c r="J76" s="15">
        <f>ROUND(I76*(1-'🎛️ Assumptions'!$D$36)+J75*'🎛️ Assumptions'!$D$33,0)</f>
        <v>5651</v>
      </c>
      <c r="K76" s="15">
        <f>ROUND(J76*(1-'🎛️ Assumptions'!$D$36)+K75*'🎛️ Assumptions'!$D$33,0)</f>
        <v>6168</v>
      </c>
      <c r="L76" s="15">
        <f>ROUND(K76*(1-'🎛️ Assumptions'!$D$36)+L75*'🎛️ Assumptions'!$D$33,0)</f>
        <v>6660</v>
      </c>
      <c r="M76" s="15">
        <f>ROUND(L76*(1-'🎛️ Assumptions'!$D$36)+M75*'🎛️ Assumptions'!$D$33,0)</f>
        <v>7127</v>
      </c>
      <c r="N76" s="15">
        <f>ROUND(M76*(1-'🎛️ Assumptions'!$D$36)+N75*'🎛️ Assumptions'!$D$33,0)</f>
        <v>7671</v>
      </c>
      <c r="O76" s="15">
        <f>ROUND(N76*(1-'🎛️ Assumptions'!$D$36)+O75*'🎛️ Assumptions'!$D$33,0)</f>
        <v>8187</v>
      </c>
      <c r="P76" s="15">
        <f>ROUND(O76*(1-'🎛️ Assumptions'!$D$36)+P75*'🎛️ Assumptions'!$D$33,0)</f>
        <v>8678</v>
      </c>
      <c r="Q76" s="15">
        <f>ROUND(P76*(1-'🎛️ Assumptions'!$D$36)+Q75*'🎛️ Assumptions'!$D$33,0)</f>
        <v>9144</v>
      </c>
      <c r="R76" s="15">
        <f>ROUND(Q76*(1-'🎛️ Assumptions'!$D$36)+R75*'🎛️ Assumptions'!$D$33,0)</f>
        <v>9587</v>
      </c>
      <c r="S76" s="15">
        <f>ROUND(R76*(1-'🎛️ Assumptions'!$D$36)+S75*'🎛️ Assumptions'!$D$33,0)</f>
        <v>10008</v>
      </c>
      <c r="T76" s="15">
        <f>ROUND(S76*(1-'🎛️ Assumptions'!$D$36)+T75*'🎛️ Assumptions'!$D$33,0)</f>
        <v>10408</v>
      </c>
      <c r="U76" s="15">
        <f>ROUND(T76*(1-'🎛️ Assumptions'!$D$36)+U75*'🎛️ Assumptions'!$D$33,0)</f>
        <v>10788</v>
      </c>
      <c r="V76" s="15">
        <f>ROUND(U76*(1-'🎛️ Assumptions'!$D$36)+V75*'🎛️ Assumptions'!$D$33,0)</f>
        <v>11149</v>
      </c>
      <c r="W76" s="15">
        <f>ROUND(V76*(1-'🎛️ Assumptions'!$D$36)+W75*'🎛️ Assumptions'!$D$33,0)</f>
        <v>11492</v>
      </c>
      <c r="X76" s="15">
        <f>ROUND(W76*(1-'🎛️ Assumptions'!$D$36)+X75*'🎛️ Assumptions'!$D$33,0)</f>
        <v>11817</v>
      </c>
      <c r="Y76" s="15">
        <f>ROUND(X76*(1-'🎛️ Assumptions'!$D$36)+Y75*'🎛️ Assumptions'!$D$33,0)</f>
        <v>12126</v>
      </c>
      <c r="Z76" s="15"/>
    </row>
    <row r="77" spans="1:26" hidden="1" outlineLevel="1" x14ac:dyDescent="0.2">
      <c r="A77" s="216" t="s">
        <v>50</v>
      </c>
      <c r="B77" s="15">
        <f>ROUND(B75*'🎛️ Assumptions'!$D$34,0)</f>
        <v>140</v>
      </c>
      <c r="C77" s="15">
        <f>ROUND(B77*(1-'🎛️ Assumptions'!$D$37)+C75*'🎛️ Assumptions'!$D$34,0)</f>
        <v>412</v>
      </c>
      <c r="D77" s="15">
        <f>ROUND(C77*(1-'🎛️ Assumptions'!$D$37)+D75*'🎛️ Assumptions'!$D$34,0)</f>
        <v>667</v>
      </c>
      <c r="E77" s="15">
        <f>ROUND(D77*(1-'🎛️ Assumptions'!$D$37)+E75*'🎛️ Assumptions'!$D$34,0)</f>
        <v>907</v>
      </c>
      <c r="F77" s="15">
        <f>ROUND(E77*(1-'🎛️ Assumptions'!$D$37)+F75*'🎛️ Assumptions'!$D$34,0)</f>
        <v>1133</v>
      </c>
      <c r="G77" s="15">
        <f>ROUND(F77*(1-'🎛️ Assumptions'!$D$37)+G75*'🎛️ Assumptions'!$D$34,0)</f>
        <v>1345</v>
      </c>
      <c r="H77" s="15">
        <f>ROUND(G77*(1-'🎛️ Assumptions'!$D$37)+H75*'🎛️ Assumptions'!$D$34,0)</f>
        <v>1544</v>
      </c>
      <c r="I77" s="15">
        <f>ROUND(H77*(1-'🎛️ Assumptions'!$D$37)+I75*'🎛️ Assumptions'!$D$34,0)</f>
        <v>1731</v>
      </c>
      <c r="J77" s="15">
        <f>ROUND(I77*(1-'🎛️ Assumptions'!$D$37)+J75*'🎛️ Assumptions'!$D$34,0)</f>
        <v>1907</v>
      </c>
      <c r="K77" s="15">
        <f>ROUND(J77*(1-'🎛️ Assumptions'!$D$37)+K75*'🎛️ Assumptions'!$D$34,0)</f>
        <v>2073</v>
      </c>
      <c r="L77" s="15">
        <f>ROUND(K77*(1-'🎛️ Assumptions'!$D$37)+L75*'🎛️ Assumptions'!$D$34,0)</f>
        <v>2229</v>
      </c>
      <c r="M77" s="15">
        <f>ROUND(L77*(1-'🎛️ Assumptions'!$D$37)+M75*'🎛️ Assumptions'!$D$34,0)</f>
        <v>2375</v>
      </c>
      <c r="N77" s="15">
        <f>ROUND(M77*(1-'🎛️ Assumptions'!$D$37)+N75*'🎛️ Assumptions'!$D$34,0)</f>
        <v>2548</v>
      </c>
      <c r="O77" s="15">
        <f>ROUND(N77*(1-'🎛️ Assumptions'!$D$37)+O75*'🎛️ Assumptions'!$D$34,0)</f>
        <v>2710</v>
      </c>
      <c r="P77" s="15">
        <f>ROUND(O77*(1-'🎛️ Assumptions'!$D$37)+P75*'🎛️ Assumptions'!$D$34,0)</f>
        <v>2862</v>
      </c>
      <c r="Q77" s="15">
        <f>ROUND(P77*(1-'🎛️ Assumptions'!$D$37)+Q75*'🎛️ Assumptions'!$D$34,0)</f>
        <v>3005</v>
      </c>
      <c r="R77" s="15">
        <f>ROUND(Q77*(1-'🎛️ Assumptions'!$D$37)+R75*'🎛️ Assumptions'!$D$34,0)</f>
        <v>3140</v>
      </c>
      <c r="S77" s="15">
        <f>ROUND(R77*(1-'🎛️ Assumptions'!$D$37)+S75*'🎛️ Assumptions'!$D$34,0)</f>
        <v>3267</v>
      </c>
      <c r="T77" s="15">
        <f>ROUND(S77*(1-'🎛️ Assumptions'!$D$37)+T75*'🎛️ Assumptions'!$D$34,0)</f>
        <v>3386</v>
      </c>
      <c r="U77" s="15">
        <f>ROUND(T77*(1-'🎛️ Assumptions'!$D$37)+U75*'🎛️ Assumptions'!$D$34,0)</f>
        <v>3498</v>
      </c>
      <c r="V77" s="15">
        <f>ROUND(U77*(1-'🎛️ Assumptions'!$D$37)+V75*'🎛️ Assumptions'!$D$34,0)</f>
        <v>3603</v>
      </c>
      <c r="W77" s="15">
        <f>ROUND(V77*(1-'🎛️ Assumptions'!$D$37)+W75*'🎛️ Assumptions'!$D$34,0)</f>
        <v>3702</v>
      </c>
      <c r="X77" s="15">
        <f>ROUND(W77*(1-'🎛️ Assumptions'!$D$37)+X75*'🎛️ Assumptions'!$D$34,0)</f>
        <v>3795</v>
      </c>
      <c r="Y77" s="15">
        <f>ROUND(X77*(1-'🎛️ Assumptions'!$D$37)+Y75*'🎛️ Assumptions'!$D$34,0)</f>
        <v>3882</v>
      </c>
      <c r="Z77" s="15"/>
    </row>
    <row r="78" spans="1:26" hidden="1" outlineLevel="1" x14ac:dyDescent="0.2">
      <c r="A78" s="216" t="s">
        <v>51</v>
      </c>
      <c r="B78" s="15">
        <f>ROUND(B75*'🎛️ Assumptions'!$D$35,0)</f>
        <v>60</v>
      </c>
      <c r="C78" s="15">
        <f>ROUND(B78*(1-'🎛️ Assumptions'!$D$38)+C75*'🎛️ Assumptions'!$D$35,0)</f>
        <v>179</v>
      </c>
      <c r="D78" s="15">
        <f>ROUND(C78*(1-'🎛️ Assumptions'!$D$38)+D75*'🎛️ Assumptions'!$D$35,0)</f>
        <v>295</v>
      </c>
      <c r="E78" s="15">
        <f>ROUND(D78*(1-'🎛️ Assumptions'!$D$38)+E75*'🎛️ Assumptions'!$D$35,0)</f>
        <v>409</v>
      </c>
      <c r="F78" s="15">
        <f>ROUND(E78*(1-'🎛️ Assumptions'!$D$38)+F75*'🎛️ Assumptions'!$D$35,0)</f>
        <v>521</v>
      </c>
      <c r="G78" s="15">
        <f>ROUND(F78*(1-'🎛️ Assumptions'!$D$38)+G75*'🎛️ Assumptions'!$D$35,0)</f>
        <v>631</v>
      </c>
      <c r="H78" s="15">
        <f>ROUND(G78*(1-'🎛️ Assumptions'!$D$38)+H75*'🎛️ Assumptions'!$D$35,0)</f>
        <v>738</v>
      </c>
      <c r="I78" s="15">
        <f>ROUND(H78*(1-'🎛️ Assumptions'!$D$38)+I75*'🎛️ Assumptions'!$D$35,0)</f>
        <v>843</v>
      </c>
      <c r="J78" s="15">
        <f>ROUND(I78*(1-'🎛️ Assumptions'!$D$38)+J75*'🎛️ Assumptions'!$D$35,0)</f>
        <v>946</v>
      </c>
      <c r="K78" s="15">
        <f>ROUND(J78*(1-'🎛️ Assumptions'!$D$38)+K75*'🎛️ Assumptions'!$D$35,0)</f>
        <v>1047</v>
      </c>
      <c r="L78" s="15">
        <f>ROUND(K78*(1-'🎛️ Assumptions'!$D$38)+L75*'🎛️ Assumptions'!$D$35,0)</f>
        <v>1146</v>
      </c>
      <c r="M78" s="15">
        <f>ROUND(L78*(1-'🎛️ Assumptions'!$D$38)+M75*'🎛️ Assumptions'!$D$35,0)</f>
        <v>1243</v>
      </c>
      <c r="N78" s="15">
        <f>ROUND(M78*(1-'🎛️ Assumptions'!$D$38)+N75*'🎛️ Assumptions'!$D$35,0)</f>
        <v>1353</v>
      </c>
      <c r="O78" s="15">
        <f>ROUND(N78*(1-'🎛️ Assumptions'!$D$38)+O75*'🎛️ Assumptions'!$D$35,0)</f>
        <v>1461</v>
      </c>
      <c r="P78" s="15">
        <f>ROUND(O78*(1-'🎛️ Assumptions'!$D$38)+P75*'🎛️ Assumptions'!$D$35,0)</f>
        <v>1567</v>
      </c>
      <c r="Q78" s="15">
        <f>ROUND(P78*(1-'🎛️ Assumptions'!$D$38)+Q75*'🎛️ Assumptions'!$D$35,0)</f>
        <v>1671</v>
      </c>
      <c r="R78" s="15">
        <f>ROUND(Q78*(1-'🎛️ Assumptions'!$D$38)+R75*'🎛️ Assumptions'!$D$35,0)</f>
        <v>1773</v>
      </c>
      <c r="S78" s="15">
        <f>ROUND(R78*(1-'🎛️ Assumptions'!$D$38)+S75*'🎛️ Assumptions'!$D$35,0)</f>
        <v>1873</v>
      </c>
      <c r="T78" s="15">
        <f>ROUND(S78*(1-'🎛️ Assumptions'!$D$38)+T75*'🎛️ Assumptions'!$D$35,0)</f>
        <v>1971</v>
      </c>
      <c r="U78" s="15">
        <f>ROUND(T78*(1-'🎛️ Assumptions'!$D$38)+U75*'🎛️ Assumptions'!$D$35,0)</f>
        <v>2067</v>
      </c>
      <c r="V78" s="15">
        <f>ROUND(U78*(1-'🎛️ Assumptions'!$D$38)+V75*'🎛️ Assumptions'!$D$35,0)</f>
        <v>2161</v>
      </c>
      <c r="W78" s="15">
        <f>ROUND(V78*(1-'🎛️ Assumptions'!$D$38)+W75*'🎛️ Assumptions'!$D$35,0)</f>
        <v>2253</v>
      </c>
      <c r="X78" s="15">
        <f>ROUND(W78*(1-'🎛️ Assumptions'!$D$38)+X75*'🎛️ Assumptions'!$D$35,0)</f>
        <v>2343</v>
      </c>
      <c r="Y78" s="15">
        <f>ROUND(X78*(1-'🎛️ Assumptions'!$D$38)+Y75*'🎛️ Assumptions'!$D$35,0)</f>
        <v>2431</v>
      </c>
      <c r="Z78" s="15"/>
    </row>
    <row r="79" spans="1:26" hidden="1" outlineLevel="1" x14ac:dyDescent="0.2">
      <c r="A79" s="216" t="s">
        <v>649</v>
      </c>
      <c r="B79" s="15">
        <f t="shared" ref="B79:Y79" si="4">SUM(B76:B78)</f>
        <v>600</v>
      </c>
      <c r="C79" s="15">
        <f t="shared" si="4"/>
        <v>1771</v>
      </c>
      <c r="D79" s="15">
        <f t="shared" si="4"/>
        <v>2883</v>
      </c>
      <c r="E79" s="15">
        <f t="shared" si="4"/>
        <v>3941</v>
      </c>
      <c r="F79" s="15">
        <f t="shared" si="4"/>
        <v>4948</v>
      </c>
      <c r="G79" s="15">
        <f t="shared" si="4"/>
        <v>5905</v>
      </c>
      <c r="H79" s="15">
        <f t="shared" si="4"/>
        <v>6815</v>
      </c>
      <c r="I79" s="15">
        <f t="shared" si="4"/>
        <v>7680</v>
      </c>
      <c r="J79" s="15">
        <f t="shared" si="4"/>
        <v>8504</v>
      </c>
      <c r="K79" s="15">
        <f t="shared" si="4"/>
        <v>9288</v>
      </c>
      <c r="L79" s="15">
        <f t="shared" si="4"/>
        <v>10035</v>
      </c>
      <c r="M79" s="15">
        <f t="shared" si="4"/>
        <v>10745</v>
      </c>
      <c r="N79" s="15">
        <f t="shared" si="4"/>
        <v>11572</v>
      </c>
      <c r="O79" s="15">
        <f t="shared" si="4"/>
        <v>12358</v>
      </c>
      <c r="P79" s="15">
        <f t="shared" si="4"/>
        <v>13107</v>
      </c>
      <c r="Q79" s="15">
        <f t="shared" si="4"/>
        <v>13820</v>
      </c>
      <c r="R79" s="15">
        <f t="shared" si="4"/>
        <v>14500</v>
      </c>
      <c r="S79" s="15">
        <f t="shared" si="4"/>
        <v>15148</v>
      </c>
      <c r="T79" s="15">
        <f t="shared" si="4"/>
        <v>15765</v>
      </c>
      <c r="U79" s="15">
        <f t="shared" si="4"/>
        <v>16353</v>
      </c>
      <c r="V79" s="15">
        <f t="shared" si="4"/>
        <v>16913</v>
      </c>
      <c r="W79" s="15">
        <f t="shared" si="4"/>
        <v>17447</v>
      </c>
      <c r="X79" s="15">
        <f t="shared" si="4"/>
        <v>17955</v>
      </c>
      <c r="Y79" s="15">
        <f t="shared" si="4"/>
        <v>18439</v>
      </c>
      <c r="Z79" s="15"/>
    </row>
    <row r="80" spans="1:26" hidden="1" outlineLevel="1" x14ac:dyDescent="0.2">
      <c r="A80" s="216" t="s">
        <v>47</v>
      </c>
      <c r="B80" s="15">
        <f>B76*('🎛️ Assumptions'!$D$5+'🎛️ Assumptions'!$D$8)+B77*'🎛️ Assumptions'!$D$6+B78*'🎛️ Assumptions'!$D$7</f>
        <v>33560</v>
      </c>
      <c r="C80" s="15">
        <f>C76*('🎛️ Assumptions'!$D$5+'🎛️ Assumptions'!$D$8)+C77*'🎛️ Assumptions'!$D$6+C78*'🎛️ Assumptions'!$D$7</f>
        <v>99098.900000000009</v>
      </c>
      <c r="D80" s="15">
        <f>D76*('🎛️ Assumptions'!$D$5+'🎛️ Assumptions'!$D$8)+D77*'🎛️ Assumptions'!$D$6+D78*'🎛️ Assumptions'!$D$7</f>
        <v>161382.69999999998</v>
      </c>
      <c r="E80" s="15">
        <f>E76*('🎛️ Assumptions'!$D$5+'🎛️ Assumptions'!$D$8)+E77*'🎛️ Assumptions'!$D$6+E78*'🎛️ Assumptions'!$D$7</f>
        <v>220716.9</v>
      </c>
      <c r="F80" s="15">
        <f>F76*('🎛️ Assumptions'!$D$5+'🎛️ Assumptions'!$D$8)+F77*'🎛️ Assumptions'!$D$6+F78*'🎛️ Assumptions'!$D$7</f>
        <v>277264.2</v>
      </c>
      <c r="G80" s="15">
        <f>G76*('🎛️ Assumptions'!$D$5+'🎛️ Assumptions'!$D$8)+G77*'🎛️ Assumptions'!$D$6+G78*'🎛️ Assumptions'!$D$7</f>
        <v>331074.5</v>
      </c>
      <c r="H80" s="15">
        <f>H76*('🎛️ Assumptions'!$D$5+'🎛️ Assumptions'!$D$8)+H77*'🎛️ Assumptions'!$D$6+H78*'🎛️ Assumptions'!$D$7</f>
        <v>382280.5</v>
      </c>
      <c r="I80" s="15">
        <f>I76*('🎛️ Assumptions'!$D$5+'🎛️ Assumptions'!$D$8)+I77*'🎛️ Assumptions'!$D$6+I78*'🎛️ Assumptions'!$D$7</f>
        <v>431025</v>
      </c>
      <c r="J80" s="15">
        <f>J76*('🎛️ Assumptions'!$D$5+'🎛️ Assumptions'!$D$8)+J77*'🎛️ Assumptions'!$D$6+J78*'🎛️ Assumptions'!$D$7</f>
        <v>477520.6</v>
      </c>
      <c r="K80" s="15">
        <f>K76*('🎛️ Assumptions'!$D$5+'🎛️ Assumptions'!$D$8)+K77*'🎛️ Assumptions'!$D$6+K78*'🎛️ Assumptions'!$D$7</f>
        <v>521830.2</v>
      </c>
      <c r="L80" s="15">
        <f>L76*('🎛️ Assumptions'!$D$5+'🎛️ Assumptions'!$D$8)+L77*'🎛️ Assumptions'!$D$6+L78*'🎛️ Assumptions'!$D$7</f>
        <v>564103.5</v>
      </c>
      <c r="M80" s="15">
        <f>M76*('🎛️ Assumptions'!$D$5+'🎛️ Assumptions'!$D$8)+M77*'🎛️ Assumptions'!$D$6+M78*'🎛️ Assumptions'!$D$7</f>
        <v>604340.5</v>
      </c>
      <c r="N80" s="15">
        <f>N76*('🎛️ Assumptions'!$D$5+'🎛️ Assumptions'!$D$8)+N77*'🎛️ Assumptions'!$D$6+N78*'🎛️ Assumptions'!$D$7</f>
        <v>651156.80000000005</v>
      </c>
      <c r="O80" s="15">
        <f>O76*('🎛️ Assumptions'!$D$5+'🎛️ Assumptions'!$D$8)+O77*'🎛️ Assumptions'!$D$6+O78*'🎛️ Assumptions'!$D$7</f>
        <v>695724.20000000007</v>
      </c>
      <c r="P80" s="15">
        <f>P76*('🎛️ Assumptions'!$D$5+'🎛️ Assumptions'!$D$8)+P77*'🎛️ Assumptions'!$D$6+P78*'🎛️ Assumptions'!$D$7</f>
        <v>738255.3</v>
      </c>
      <c r="Q80" s="15">
        <f>Q76*('🎛️ Assumptions'!$D$5+'🎛️ Assumptions'!$D$8)+Q77*'🎛️ Assumptions'!$D$6+Q78*'🎛️ Assumptions'!$D$7</f>
        <v>778813</v>
      </c>
      <c r="R80" s="15">
        <f>R76*('🎛️ Assumptions'!$D$5+'🎛️ Assumptions'!$D$8)+R77*'🎛️ Assumptions'!$D$6+R78*'🎛️ Assumptions'!$D$7</f>
        <v>817560</v>
      </c>
      <c r="S80" s="15">
        <f>S76*('🎛️ Assumptions'!$D$5+'🎛️ Assumptions'!$D$8)+S77*'🎛️ Assumptions'!$D$6+S78*'🎛️ Assumptions'!$D$7</f>
        <v>854546.2</v>
      </c>
      <c r="T80" s="15">
        <f>T76*('🎛️ Assumptions'!$D$5+'🎛️ Assumptions'!$D$8)+T77*'🎛️ Assumptions'!$D$6+T78*'🎛️ Assumptions'!$D$7</f>
        <v>889821.5</v>
      </c>
      <c r="U80" s="15">
        <f>U76*('🎛️ Assumptions'!$D$5+'🎛️ Assumptions'!$D$8)+U77*'🎛️ Assumptions'!$D$6+U78*'🎛️ Assumptions'!$D$7</f>
        <v>923498.7</v>
      </c>
      <c r="V80" s="15">
        <f>V76*('🎛️ Assumptions'!$D$5+'🎛️ Assumptions'!$D$8)+V77*'🎛️ Assumptions'!$D$6+V78*'🎛️ Assumptions'!$D$7</f>
        <v>955627.7</v>
      </c>
      <c r="W80" s="15">
        <f>W76*('🎛️ Assumptions'!$D$5+'🎛️ Assumptions'!$D$8)+W77*'🎛️ Assumptions'!$D$6+W78*'🎛️ Assumptions'!$D$7</f>
        <v>986321.29999999981</v>
      </c>
      <c r="X80" s="15">
        <f>X76*('🎛️ Assumptions'!$D$5+'🎛️ Assumptions'!$D$8)+X77*'🎛️ Assumptions'!$D$6+X78*'🎛️ Assumptions'!$D$7</f>
        <v>1015579.5</v>
      </c>
      <c r="Y80" s="15">
        <f>Y76*('🎛️ Assumptions'!$D$5+'🎛️ Assumptions'!$D$8)+Y77*'🎛️ Assumptions'!$D$6+Y78*'🎛️ Assumptions'!$D$7</f>
        <v>1043502.1</v>
      </c>
      <c r="Z80" s="15"/>
    </row>
    <row r="81" spans="1:26" hidden="1" outlineLevel="1" x14ac:dyDescent="0.2">
      <c r="A81" s="216" t="s">
        <v>220</v>
      </c>
      <c r="B81" s="15">
        <f>B75*('🎛️ Assumptions'!$D$17*('🎛️ Assumptions'!$D$18*('🎛️ Assumptions'!$G$10/1000000)+'🎛️ Assumptions'!$D$19*('🎛️ Assumptions'!$G$13/1000000))*(1-'🎛️ Assumptions'!$D$15)*'🎛️ Assumptions'!$D$10*'🎛️ Assumptions'!$D$20)+B76*('🎛️ Assumptions'!$D$21*('🎛️ Assumptions'!$D$22*('🎛️ Assumptions'!$D$13/1000000)+'🎛️ Assumptions'!$D$23*('🎛️ Assumptions'!$D$14/1000000))*(1-'🎛️ Assumptions'!$D$15)*'🎛️ Assumptions'!$D$10)+B77*(('🎛️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Assumptions'!$D$10))+B78*(('🎛️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6145.9860000000017</v>
      </c>
      <c r="C81" s="15">
        <f>C75*('🎛️ Assumptions'!$D$17*('🎛️ Assumptions'!$D$18*('🎛️ Assumptions'!$G$10/1000000)+'🎛️ Assumptions'!$D$19*('🎛️ Assumptions'!$G$13/1000000))*(1-'🎛️ Assumptions'!$D$15)*'🎛️ Assumptions'!$D$10*'🎛️ Assumptions'!$D$20)+C76*('🎛️ Assumptions'!$D$21*('🎛️ Assumptions'!$D$22*('🎛️ Assumptions'!$D$13/1000000)+'🎛️ Assumptions'!$D$23*('🎛️ Assumptions'!$D$14/1000000))*(1-'🎛️ Assumptions'!$D$15)*'🎛️ Assumptions'!$D$10)+C77*(('🎛️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Assumptions'!$D$10))+C78*(('🎛️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18151.839090000001</v>
      </c>
      <c r="D81" s="15">
        <f>D75*('🎛️ Assumptions'!$D$17*('🎛️ Assumptions'!$D$18*('🎛️ Assumptions'!$G$10/1000000)+'🎛️ Assumptions'!$D$19*('🎛️ Assumptions'!$G$13/1000000))*(1-'🎛️ Assumptions'!$D$15)*'🎛️ Assumptions'!$D$10*'🎛️ Assumptions'!$D$20)+D76*('🎛️ Assumptions'!$D$21*('🎛️ Assumptions'!$D$22*('🎛️ Assumptions'!$D$13/1000000)+'🎛️ Assumptions'!$D$23*('🎛️ Assumptions'!$D$14/1000000))*(1-'🎛️ Assumptions'!$D$15)*'🎛️ Assumptions'!$D$10)+D77*(('🎛️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Assumptions'!$D$10))+D78*(('🎛️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29564.029110000007</v>
      </c>
      <c r="E81" s="15">
        <f>E75*('🎛️ Assumptions'!$D$17*('🎛️ Assumptions'!$D$18*('🎛️ Assumptions'!$G$10/1000000)+'🎛️ Assumptions'!$D$19*('🎛️ Assumptions'!$G$13/1000000))*(1-'🎛️ Assumptions'!$D$15)*'🎛️ Assumptions'!$D$10*'🎛️ Assumptions'!$D$20)+E76*('🎛️ Assumptions'!$D$21*('🎛️ Assumptions'!$D$22*('🎛️ Assumptions'!$D$13/1000000)+'🎛️ Assumptions'!$D$23*('🎛️ Assumptions'!$D$14/1000000))*(1-'🎛️ Assumptions'!$D$15)*'🎛️ Assumptions'!$D$10)+E77*(('🎛️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Assumptions'!$D$10))+E78*(('🎛️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40441.79469000001</v>
      </c>
      <c r="F81" s="15">
        <f>F75*('🎛️ Assumptions'!$D$17*('🎛️ Assumptions'!$D$18*('🎛️ Assumptions'!$G$10/1000000)+'🎛️ Assumptions'!$D$19*('🎛️ Assumptions'!$G$13/1000000))*(1-'🎛️ Assumptions'!$D$15)*'🎛️ Assumptions'!$D$10*'🎛️ Assumptions'!$D$20)+F76*('🎛️ Assumptions'!$D$21*('🎛️ Assumptions'!$D$22*('🎛️ Assumptions'!$D$13/1000000)+'🎛️ Assumptions'!$D$23*('🎛️ Assumptions'!$D$14/1000000))*(1-'🎛️ Assumptions'!$D$15)*'🎛️ Assumptions'!$D$10)+F77*(('🎛️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Assumptions'!$D$10))+F78*(('🎛️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50814.606480000002</v>
      </c>
      <c r="G81" s="15">
        <f>G75*('🎛️ Assumptions'!$D$17*('🎛️ Assumptions'!$D$18*('🎛️ Assumptions'!$G$10/1000000)+'🎛️ Assumptions'!$D$19*('🎛️ Assumptions'!$G$13/1000000))*(1-'🎛️ Assumptions'!$D$15)*'🎛️ Assumptions'!$D$10*'🎛️ Assumptions'!$D$20)+G76*('🎛️ Assumptions'!$D$21*('🎛️ Assumptions'!$D$22*('🎛️ Assumptions'!$D$13/1000000)+'🎛️ Assumptions'!$D$23*('🎛️ Assumptions'!$D$14/1000000))*(1-'🎛️ Assumptions'!$D$15)*'🎛️ Assumptions'!$D$10)+G77*(('🎛️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Assumptions'!$D$10))+G78*(('🎛️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60690.807210000014</v>
      </c>
      <c r="H81" s="15">
        <f>H75*('🎛️ Assumptions'!$D$17*('🎛️ Assumptions'!$D$18*('🎛️ Assumptions'!$G$10/1000000)+'🎛️ Assumptions'!$D$19*('🎛️ Assumptions'!$G$13/1000000))*(1-'🎛️ Assumptions'!$D$15)*'🎛️ Assumptions'!$D$10*'🎛️ Assumptions'!$D$20)+H76*('🎛️ Assumptions'!$D$21*('🎛️ Assumptions'!$D$22*('🎛️ Assumptions'!$D$13/1000000)+'🎛️ Assumptions'!$D$23*('🎛️ Assumptions'!$D$14/1000000))*(1-'🎛️ Assumptions'!$D$15)*'🎛️ Assumptions'!$D$10)+H77*(('🎛️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Assumptions'!$D$10))+H78*(('🎛️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70091.227470000013</v>
      </c>
      <c r="I81" s="15">
        <f>I75*('🎛️ Assumptions'!$D$17*('🎛️ Assumptions'!$D$18*('🎛️ Assumptions'!$G$10/1000000)+'🎛️ Assumptions'!$D$19*('🎛️ Assumptions'!$G$13/1000000))*(1-'🎛️ Assumptions'!$D$15)*'🎛️ Assumptions'!$D$10*'🎛️ Assumptions'!$D$20)+I76*('🎛️ Assumptions'!$D$21*('🎛️ Assumptions'!$D$22*('🎛️ Assumptions'!$D$13/1000000)+'🎛️ Assumptions'!$D$23*('🎛️ Assumptions'!$D$14/1000000))*(1-'🎛️ Assumptions'!$D$15)*'🎛️ Assumptions'!$D$10)+I77*(('🎛️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Assumptions'!$D$10))+I78*(('🎛️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79045.635240000003</v>
      </c>
      <c r="J81" s="15">
        <f>J75*('🎛️ Assumptions'!$D$17*('🎛️ Assumptions'!$D$18*('🎛️ Assumptions'!$G$10/1000000)+'🎛️ Assumptions'!$D$19*('🎛️ Assumptions'!$G$13/1000000))*(1-'🎛️ Assumptions'!$D$15)*'🎛️ Assumptions'!$D$10*'🎛️ Assumptions'!$D$20)+J76*('🎛️ Assumptions'!$D$21*('🎛️ Assumptions'!$D$22*('🎛️ Assumptions'!$D$13/1000000)+'🎛️ Assumptions'!$D$23*('🎛️ Assumptions'!$D$14/1000000))*(1-'🎛️ Assumptions'!$D$15)*'🎛️ Assumptions'!$D$10)+J77*(('🎛️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Assumptions'!$D$10))+J78*(('🎛️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87591.843900000007</v>
      </c>
      <c r="K81" s="15">
        <f>K75*('🎛️ Assumptions'!$D$17*('🎛️ Assumptions'!$D$18*('🎛️ Assumptions'!$G$10/1000000)+'🎛️ Assumptions'!$D$19*('🎛️ Assumptions'!$G$13/1000000))*(1-'🎛️ Assumptions'!$D$15)*'🎛️ Assumptions'!$D$10*'🎛️ Assumptions'!$D$20)+K76*('🎛️ Assumptions'!$D$21*('🎛️ Assumptions'!$D$22*('🎛️ Assumptions'!$D$13/1000000)+'🎛️ Assumptions'!$D$23*('🎛️ Assumptions'!$D$14/1000000))*(1-'🎛️ Assumptions'!$D$15)*'🎛️ Assumptions'!$D$10)+K77*(('🎛️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Assumptions'!$D$10))+K78*(('🎛️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95742.638640000019</v>
      </c>
      <c r="L81" s="15">
        <f>L75*('🎛️ Assumptions'!$D$17*('🎛️ Assumptions'!$D$18*('🎛️ Assumptions'!$G$10/1000000)+'🎛️ Assumptions'!$D$19*('🎛️ Assumptions'!$G$13/1000000))*(1-'🎛️ Assumptions'!$D$15)*'🎛️ Assumptions'!$D$10*'🎛️ Assumptions'!$D$20)+L76*('🎛️ Assumptions'!$D$21*('🎛️ Assumptions'!$D$22*('🎛️ Assumptions'!$D$13/1000000)+'🎛️ Assumptions'!$D$23*('🎛️ Assumptions'!$D$14/1000000))*(1-'🎛️ Assumptions'!$D$15)*'🎛️ Assumptions'!$D$10)+L77*(('🎛️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Assumptions'!$D$10))+L78*(('🎛️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103523.04765000001</v>
      </c>
      <c r="M81" s="15">
        <f>M75*('🎛️ Assumptions'!$D$17*('🎛️ Assumptions'!$D$18*('🎛️ Assumptions'!$G$10/1000000)+'🎛️ Assumptions'!$D$19*('🎛️ Assumptions'!$G$13/1000000))*(1-'🎛️ Assumptions'!$D$15)*'🎛️ Assumptions'!$D$10*'🎛️ Assumptions'!$D$20)+M76*('🎛️ Assumptions'!$D$21*('🎛️ Assumptions'!$D$22*('🎛️ Assumptions'!$D$13/1000000)+'🎛️ Assumptions'!$D$23*('🎛️ Assumptions'!$D$14/1000000))*(1-'🎛️ Assumptions'!$D$15)*'🎛️ Assumptions'!$D$10)+M77*(('🎛️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Assumptions'!$D$10))+M78*(('🎛️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110933.07093</v>
      </c>
      <c r="N81" s="15">
        <f>N75*('🎛️ Assumptions'!$D$17*('🎛️ Assumptions'!$D$18*('🎛️ Assumptions'!$G$10/1000000)+'🎛️ Assumptions'!$D$19*('🎛️ Assumptions'!$G$13/1000000))*(1-'🎛️ Assumptions'!$D$15)*'🎛️ Assumptions'!$D$10*'🎛️ Assumptions'!$D$20)+N76*('🎛️ Assumptions'!$D$21*('🎛️ Assumptions'!$D$22*('🎛️ Assumptions'!$D$13/1000000)+'🎛️ Assumptions'!$D$23*('🎛️ Assumptions'!$D$14/1000000))*(1-'🎛️ Assumptions'!$D$15)*'🎛️ Assumptions'!$D$10)+N77*(('🎛️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Assumptions'!$D$10))+N78*(('🎛️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119551.46082000001</v>
      </c>
      <c r="O81" s="15">
        <f>O75*('🎛️ Assumptions'!$D$17*('🎛️ Assumptions'!$D$18*('🎛️ Assumptions'!$G$10/1000000)+'🎛️ Assumptions'!$D$19*('🎛️ Assumptions'!$G$13/1000000))*(1-'🎛️ Assumptions'!$D$15)*'🎛️ Assumptions'!$D$10*'🎛️ Assumptions'!$D$20)+O76*('🎛️ Assumptions'!$D$21*('🎛️ Assumptions'!$D$22*('🎛️ Assumptions'!$D$13/1000000)+'🎛️ Assumptions'!$D$23*('🎛️ Assumptions'!$D$14/1000000))*(1-'🎛️ Assumptions'!$D$15)*'🎛️ Assumptions'!$D$10)+O77*(('🎛️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Assumptions'!$D$10))+O78*(('🎛️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127761.65160000003</v>
      </c>
      <c r="P81" s="15">
        <f>P75*('🎛️ Assumptions'!$D$17*('🎛️ Assumptions'!$D$18*('🎛️ Assumptions'!$G$10/1000000)+'🎛️ Assumptions'!$D$19*('🎛️ Assumptions'!$G$13/1000000))*(1-'🎛️ Assumptions'!$D$15)*'🎛️ Assumptions'!$D$10*'🎛️ Assumptions'!$D$20)+P76*('🎛️ Assumptions'!$D$21*('🎛️ Assumptions'!$D$22*('🎛️ Assumptions'!$D$13/1000000)+'🎛️ Assumptions'!$D$23*('🎛️ Assumptions'!$D$14/1000000))*(1-'🎛️ Assumptions'!$D$15)*'🎛️ Assumptions'!$D$10)+P77*(('🎛️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Assumptions'!$D$10))+P78*(('🎛️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135601.45665000001</v>
      </c>
      <c r="Q81" s="15">
        <f>Q75*('🎛️ Assumptions'!$D$17*('🎛️ Assumptions'!$D$18*('🎛️ Assumptions'!$G$10/1000000)+'🎛️ Assumptions'!$D$19*('🎛️ Assumptions'!$G$13/1000000))*(1-'🎛️ Assumptions'!$D$15)*'🎛️ Assumptions'!$D$10*'🎛️ Assumptions'!$D$20)+Q76*('🎛️ Assumptions'!$D$21*('🎛️ Assumptions'!$D$22*('🎛️ Assumptions'!$D$13/1000000)+'🎛️ Assumptions'!$D$23*('🎛️ Assumptions'!$D$14/1000000))*(1-'🎛️ Assumptions'!$D$15)*'🎛️ Assumptions'!$D$10)+Q77*(('🎛️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Assumptions'!$D$10))+Q78*(('🎛️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143083.66116000002</v>
      </c>
      <c r="R81" s="15">
        <f>R75*('🎛️ Assumptions'!$D$17*('🎛️ Assumptions'!$D$18*('🎛️ Assumptions'!$G$10/1000000)+'🎛️ Assumptions'!$D$19*('🎛️ Assumptions'!$G$13/1000000))*(1-'🎛️ Assumptions'!$D$15)*'🎛️ Assumptions'!$D$10*'🎛️ Assumptions'!$D$20)+R76*('🎛️ Assumptions'!$D$21*('🎛️ Assumptions'!$D$22*('🎛️ Assumptions'!$D$13/1000000)+'🎛️ Assumptions'!$D$23*('🎛️ Assumptions'!$D$14/1000000))*(1-'🎛️ Assumptions'!$D$15)*'🎛️ Assumptions'!$D$10)+R77*(('🎛️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Assumptions'!$D$10))+R78*(('🎛️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150237.73578000002</v>
      </c>
      <c r="S81" s="15">
        <f>S75*('🎛️ Assumptions'!$D$17*('🎛️ Assumptions'!$D$18*('🎛️ Assumptions'!$G$10/1000000)+'🎛️ Assumptions'!$D$19*('🎛️ Assumptions'!$G$13/1000000))*(1-'🎛️ Assumptions'!$D$15)*'🎛️ Assumptions'!$D$10*'🎛️ Assumptions'!$D$20)+S76*('🎛️ Assumptions'!$D$21*('🎛️ Assumptions'!$D$22*('🎛️ Assumptions'!$D$13/1000000)+'🎛️ Assumptions'!$D$23*('🎛️ Assumptions'!$D$14/1000000))*(1-'🎛️ Assumptions'!$D$15)*'🎛️ Assumptions'!$D$10)+S77*(('🎛️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Assumptions'!$D$10))+S78*(('🎛️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157072.02324000001</v>
      </c>
      <c r="T81" s="15">
        <f>T75*('🎛️ Assumptions'!$D$17*('🎛️ Assumptions'!$D$18*('🎛️ Assumptions'!$G$10/1000000)+'🎛️ Assumptions'!$D$19*('🎛️ Assumptions'!$G$13/1000000))*(1-'🎛️ Assumptions'!$D$15)*'🎛️ Assumptions'!$D$10*'🎛️ Assumptions'!$D$20)+T76*('🎛️ Assumptions'!$D$21*('🎛️ Assumptions'!$D$22*('🎛️ Assumptions'!$D$13/1000000)+'🎛️ Assumptions'!$D$23*('🎛️ Assumptions'!$D$14/1000000))*(1-'🎛️ Assumptions'!$D$15)*'🎛️ Assumptions'!$D$10)+T77*(('🎛️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Assumptions'!$D$10))+T78*(('🎛️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163594.86627</v>
      </c>
      <c r="U81" s="15">
        <f>U75*('🎛️ Assumptions'!$D$17*('🎛️ Assumptions'!$D$18*('🎛️ Assumptions'!$G$10/1000000)+'🎛️ Assumptions'!$D$19*('🎛️ Assumptions'!$G$13/1000000))*(1-'🎛️ Assumptions'!$D$15)*'🎛️ Assumptions'!$D$10*'🎛️ Assumptions'!$D$20)+U76*('🎛️ Assumptions'!$D$21*('🎛️ Assumptions'!$D$22*('🎛️ Assumptions'!$D$13/1000000)+'🎛️ Assumptions'!$D$23*('🎛️ Assumptions'!$D$14/1000000))*(1-'🎛️ Assumptions'!$D$15)*'🎛️ Assumptions'!$D$10)+U77*(('🎛️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Assumptions'!$D$10))+U78*(('🎛️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169827.39279000001</v>
      </c>
      <c r="V81" s="15">
        <f>V75*('🎛️ Assumptions'!$D$17*('🎛️ Assumptions'!$D$18*('🎛️ Assumptions'!$G$10/1000000)+'🎛️ Assumptions'!$D$19*('🎛️ Assumptions'!$G$13/1000000))*(1-'🎛️ Assumptions'!$D$15)*'🎛️ Assumptions'!$D$10*'🎛️ Assumptions'!$D$20)+V76*('🎛️ Assumptions'!$D$21*('🎛️ Assumptions'!$D$22*('🎛️ Assumptions'!$D$13/1000000)+'🎛️ Assumptions'!$D$23*('🎛️ Assumptions'!$D$14/1000000))*(1-'🎛️ Assumptions'!$D$15)*'🎛️ Assumptions'!$D$10)+V77*(('🎛️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Assumptions'!$D$10))+V78*(('🎛️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175777.94553000003</v>
      </c>
      <c r="W81" s="15">
        <f>W75*('🎛️ Assumptions'!$D$17*('🎛️ Assumptions'!$D$18*('🎛️ Assumptions'!$G$10/1000000)+'🎛️ Assumptions'!$D$19*('🎛️ Assumptions'!$G$13/1000000))*(1-'🎛️ Assumptions'!$D$15)*'🎛️ Assumptions'!$D$10*'🎛️ Assumptions'!$D$20)+W76*('🎛️ Assumptions'!$D$21*('🎛️ Assumptions'!$D$22*('🎛️ Assumptions'!$D$13/1000000)+'🎛️ Assumptions'!$D$23*('🎛️ Assumptions'!$D$14/1000000))*(1-'🎛️ Assumptions'!$D$15)*'🎛️ Assumptions'!$D$10)+W77*(('🎛️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Assumptions'!$D$10))+W78*(('🎛️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181467.65241000001</v>
      </c>
      <c r="X81" s="15">
        <f>X75*('🎛️ Assumptions'!$D$17*('🎛️ Assumptions'!$D$18*('🎛️ Assumptions'!$G$10/1000000)+'🎛️ Assumptions'!$D$19*('🎛️ Assumptions'!$G$13/1000000))*(1-'🎛️ Assumptions'!$D$15)*'🎛️ Assumptions'!$D$10*'🎛️ Assumptions'!$D$20)+X76*('🎛️ Assumptions'!$D$21*('🎛️ Assumptions'!$D$22*('🎛️ Assumptions'!$D$13/1000000)+'🎛️ Assumptions'!$D$23*('🎛️ Assumptions'!$D$14/1000000))*(1-'🎛️ Assumptions'!$D$15)*'🎛️ Assumptions'!$D$10)+X77*(('🎛️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Assumptions'!$D$10))+X78*(('🎛️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186896.51343000002</v>
      </c>
      <c r="Y81" s="15">
        <f>Y75*('🎛️ Assumptions'!$D$17*('🎛️ Assumptions'!$D$18*('🎛️ Assumptions'!$G$10/1000000)+'🎛️ Assumptions'!$D$19*('🎛️ Assumptions'!$G$13/1000000))*(1-'🎛️ Assumptions'!$D$15)*'🎛️ Assumptions'!$D$10*'🎛️ Assumptions'!$D$20)+Y76*('🎛️ Assumptions'!$D$21*('🎛️ Assumptions'!$D$22*('🎛️ Assumptions'!$D$13/1000000)+'🎛️ Assumptions'!$D$23*('🎛️ Assumptions'!$D$14/1000000))*(1-'🎛️ Assumptions'!$D$15)*'🎛️ Assumptions'!$D$10)+Y77*(('🎛️ Assumptions'!$D$24*('🎛️ Assumptions'!$D$22*('🎛️ Assumptions'!$D$13/1000000)+'🎛️ Assumptions'!$D$23*('🎛️ Assumptions'!$D$14/1000000))*(1-'🎛️ Assumptions'!$D$15)*'🎛️ Assumptions'!$D$10)+('🎛️ Assumptions'!$D$25*('🎛️ Assumptions'!$D$26*('🎛️ Assumptions'!$D$13/1000000)+'🎛️ Assumptions'!$D$27*('🎛️ Assumptions'!$D$14/1000000))*(1-'🎛️ Assumptions'!$D$15)*'🎛️ Assumptions'!$D$10))+Y78*(('🎛️ Assumptions'!$D$28*('🎛️ Assumptions'!$D$22*('🎛️ Assumptions'!$D$13/1000000)+'🎛️ Assumptions'!$D$23*('🎛️ Assumptions'!$D$14/1000000))*(1-'🎛️ Assumptions'!$D$15)*'🎛️ Assumptions'!$D$10)+('🎛️ Assumptions'!$D$29*('🎛️ Assumptions'!$D$26*('🎛️ Assumptions'!$D$13/1000000)+'🎛️ Assumptions'!$D$27*('🎛️ Assumptions'!$D$14/1000000))*(1-'🎛️ Assumptions'!$D$15)*'🎛️ Assumptions'!$D$10))</f>
        <v>192081.21405000001</v>
      </c>
      <c r="Z81" s="15"/>
    </row>
    <row r="82" spans="1:26" hidden="1" outlineLevel="1" x14ac:dyDescent="0.2">
      <c r="A82" s="216" t="s">
        <v>221</v>
      </c>
      <c r="B82" s="15">
        <f>'🎛️ Assumptions'!$D$40+'🎛️ Assumptions'!$D$42+'🎛️ Assumptions'!$D$44+'🎛️ Assumptions'!$D$46</f>
        <v>74000</v>
      </c>
      <c r="C82" s="15">
        <f>'🎛️ Assumptions'!$D$40+'🎛️ Assumptions'!$D$42+'🎛️ Assumptions'!$D$44+'🎛️ Assumptions'!$D$46</f>
        <v>74000</v>
      </c>
      <c r="D82" s="15">
        <f>'🎛️ Assumptions'!$D$40+'🎛️ Assumptions'!$D$42+'🎛️ Assumptions'!$D$44+'🎛️ Assumptions'!$D$46</f>
        <v>74000</v>
      </c>
      <c r="E82" s="15">
        <f>'🎛️ Assumptions'!$D$40+'🎛️ Assumptions'!$D$42+'🎛️ Assumptions'!$D$44+'🎛️ Assumptions'!$D$46</f>
        <v>74000</v>
      </c>
      <c r="F82" s="15">
        <f>'🎛️ Assumptions'!$D$40+'🎛️ Assumptions'!$D$42+'🎛️ Assumptions'!$D$44+'🎛️ Assumptions'!$D$46</f>
        <v>74000</v>
      </c>
      <c r="G82" s="15">
        <f>'🎛️ Assumptions'!$D$40+'🎛️ Assumptions'!$D$42+'🎛️ Assumptions'!$D$44+'🎛️ Assumptions'!$D$46</f>
        <v>74000</v>
      </c>
      <c r="H82" s="15">
        <f>'🎛️ Assumptions'!$D$40+'🎛️ Assumptions'!$D$42+'🎛️ Assumptions'!$D$44+'🎛️ Assumptions'!$D$46</f>
        <v>74000</v>
      </c>
      <c r="I82" s="15">
        <f>'🎛️ Assumptions'!$D$40+'🎛️ Assumptions'!$D$42+'🎛️ Assumptions'!$D$44+'🎛️ Assumptions'!$D$46</f>
        <v>74000</v>
      </c>
      <c r="J82" s="15">
        <f>'🎛️ Assumptions'!$D$40+'🎛️ Assumptions'!$D$42+'🎛️ Assumptions'!$D$44+'🎛️ Assumptions'!$D$46</f>
        <v>74000</v>
      </c>
      <c r="K82" s="15">
        <f>'🎛️ Assumptions'!$D$40+'🎛️ Assumptions'!$D$42+'🎛️ Assumptions'!$D$44+'🎛️ Assumptions'!$D$46</f>
        <v>74000</v>
      </c>
      <c r="L82" s="15">
        <f>'🎛️ Assumptions'!$D$40+'🎛️ Assumptions'!$D$42+'🎛️ Assumptions'!$D$44+'🎛️ Assumptions'!$D$46</f>
        <v>74000</v>
      </c>
      <c r="M82" s="15">
        <f>'🎛️ Assumptions'!$D$40+'🎛️ Assumptions'!$D$42+'🎛️ Assumptions'!$D$44+'🎛️ Assumptions'!$D$46</f>
        <v>74000</v>
      </c>
      <c r="N82" s="15">
        <f>'🎛️ Assumptions'!$D$41+'🎛️ Assumptions'!$D$43+'🎛️ Assumptions'!$D$45+'🎛️ Assumptions'!$D$46</f>
        <v>103000</v>
      </c>
      <c r="O82" s="15">
        <f>'🎛️ Assumptions'!$D$41+'🎛️ Assumptions'!$D$43+'🎛️ Assumptions'!$D$45+'🎛️ Assumptions'!$D$46</f>
        <v>103000</v>
      </c>
      <c r="P82" s="15">
        <f>'🎛️ Assumptions'!$D$41+'🎛️ Assumptions'!$D$43+'🎛️ Assumptions'!$D$45+'🎛️ Assumptions'!$D$46</f>
        <v>103000</v>
      </c>
      <c r="Q82" s="15">
        <f>'🎛️ Assumptions'!$D$41+'🎛️ Assumptions'!$D$43+'🎛️ Assumptions'!$D$45+'🎛️ Assumptions'!$D$46</f>
        <v>103000</v>
      </c>
      <c r="R82" s="15">
        <f>'🎛️ Assumptions'!$D$41+'🎛️ Assumptions'!$D$43+'🎛️ Assumptions'!$D$45+'🎛️ Assumptions'!$D$46</f>
        <v>103000</v>
      </c>
      <c r="S82" s="15">
        <f>'🎛️ Assumptions'!$D$41+'🎛️ Assumptions'!$D$43+'🎛️ Assumptions'!$D$45+'🎛️ Assumptions'!$D$46</f>
        <v>103000</v>
      </c>
      <c r="T82" s="15">
        <f>'🎛️ Assumptions'!$D$41+'🎛️ Assumptions'!$D$43+'🎛️ Assumptions'!$D$45+'🎛️ Assumptions'!$D$46</f>
        <v>103000</v>
      </c>
      <c r="U82" s="15">
        <f>'🎛️ Assumptions'!$D$41+'🎛️ Assumptions'!$D$43+'🎛️ Assumptions'!$D$45+'🎛️ Assumptions'!$D$46</f>
        <v>103000</v>
      </c>
      <c r="V82" s="15">
        <f>'🎛️ Assumptions'!$D$41+'🎛️ Assumptions'!$D$43+'🎛️ Assumptions'!$D$45+'🎛️ Assumptions'!$D$46</f>
        <v>103000</v>
      </c>
      <c r="W82" s="15">
        <f>'🎛️ Assumptions'!$D$41+'🎛️ Assumptions'!$D$43+'🎛️ Assumptions'!$D$45+'🎛️ Assumptions'!$D$46</f>
        <v>103000</v>
      </c>
      <c r="X82" s="15">
        <f>'🎛️ Assumptions'!$D$41+'🎛️ Assumptions'!$D$43+'🎛️ Assumptions'!$D$45+'🎛️ Assumptions'!$D$46</f>
        <v>103000</v>
      </c>
      <c r="Y82" s="15">
        <f>'🎛️ Assumptions'!$D$41+'🎛️ Assumptions'!$D$43+'🎛️ Assumptions'!$D$45+'🎛️ Assumptions'!$D$46</f>
        <v>103000</v>
      </c>
      <c r="Z82" s="15"/>
    </row>
    <row r="83" spans="1:26" hidden="1" outlineLevel="1" x14ac:dyDescent="0.2">
      <c r="A83" s="216" t="s">
        <v>650</v>
      </c>
      <c r="B83" s="15">
        <f>B80*'🎛️ Assumptions'!$D$70</f>
        <v>5034</v>
      </c>
      <c r="C83" s="15">
        <f>C80*'🎛️ Assumptions'!$D$70</f>
        <v>14864.835000000001</v>
      </c>
      <c r="D83" s="15">
        <f>D80*'🎛️ Assumptions'!$D$70</f>
        <v>24207.404999999995</v>
      </c>
      <c r="E83" s="15">
        <f>E80*'🎛️ Assumptions'!$D$70</f>
        <v>33107.534999999996</v>
      </c>
      <c r="F83" s="15">
        <f>F80*'🎛️ Assumptions'!$D$70</f>
        <v>41589.629999999997</v>
      </c>
      <c r="G83" s="15">
        <f>G80*'🎛️ Assumptions'!$D$70</f>
        <v>49661.174999999996</v>
      </c>
      <c r="H83" s="15">
        <f>H80*'🎛️ Assumptions'!$D$70</f>
        <v>57342.074999999997</v>
      </c>
      <c r="I83" s="15">
        <f>I80*'🎛️ Assumptions'!$D$70</f>
        <v>64653.75</v>
      </c>
      <c r="J83" s="15">
        <f>J80*'🎛️ Assumptions'!$D$70</f>
        <v>71628.09</v>
      </c>
      <c r="K83" s="15">
        <f>K80*'🎛️ Assumptions'!$D$70</f>
        <v>78274.53</v>
      </c>
      <c r="L83" s="15">
        <f>L80*'🎛️ Assumptions'!$D$70</f>
        <v>84615.524999999994</v>
      </c>
      <c r="M83" s="15">
        <f>M80*'🎛️ Assumptions'!$D$70</f>
        <v>90651.074999999997</v>
      </c>
      <c r="N83" s="15">
        <f>N80*'🎛️ Assumptions'!$D$70</f>
        <v>97673.52</v>
      </c>
      <c r="O83" s="15">
        <f>O80*'🎛️ Assumptions'!$D$70</f>
        <v>104358.63</v>
      </c>
      <c r="P83" s="15">
        <f>P80*'🎛️ Assumptions'!$D$70</f>
        <v>110738.295</v>
      </c>
      <c r="Q83" s="15">
        <f>Q80*'🎛️ Assumptions'!$D$70</f>
        <v>116821.95</v>
      </c>
      <c r="R83" s="15">
        <f>R80*'🎛️ Assumptions'!$D$70</f>
        <v>122634</v>
      </c>
      <c r="S83" s="15">
        <f>S80*'🎛️ Assumptions'!$D$70</f>
        <v>128181.93</v>
      </c>
      <c r="T83" s="15">
        <f>T80*'🎛️ Assumptions'!$D$70</f>
        <v>133473.22500000001</v>
      </c>
      <c r="U83" s="15">
        <f>U80*'🎛️ Assumptions'!$D$70</f>
        <v>138524.80499999999</v>
      </c>
      <c r="V83" s="15">
        <f>V80*'🎛️ Assumptions'!$D$70</f>
        <v>143344.155</v>
      </c>
      <c r="W83" s="15">
        <f>W80*'🎛️ Assumptions'!$D$70</f>
        <v>147948.19499999998</v>
      </c>
      <c r="X83" s="15">
        <f>X80*'🎛️ Assumptions'!$D$70</f>
        <v>152336.92499999999</v>
      </c>
      <c r="Y83" s="15">
        <f>Y80*'🎛️ Assumptions'!$D$70</f>
        <v>156525.315</v>
      </c>
      <c r="Z83" s="15"/>
    </row>
    <row r="84" spans="1:26" hidden="1" outlineLevel="1" x14ac:dyDescent="0.2">
      <c r="A84" s="216" t="s">
        <v>651</v>
      </c>
      <c r="B84" s="15">
        <f t="shared" ref="B84:Y84" si="5">B80-B81-B82-B83</f>
        <v>-51619.986000000004</v>
      </c>
      <c r="C84" s="15">
        <f t="shared" si="5"/>
        <v>-7917.7740900000008</v>
      </c>
      <c r="D84" s="15">
        <f t="shared" si="5"/>
        <v>33611.265889999981</v>
      </c>
      <c r="E84" s="15">
        <f t="shared" si="5"/>
        <v>73167.570309999981</v>
      </c>
      <c r="F84" s="15">
        <f t="shared" si="5"/>
        <v>110859.96351999999</v>
      </c>
      <c r="G84" s="15">
        <f t="shared" si="5"/>
        <v>146722.51779000001</v>
      </c>
      <c r="H84" s="15">
        <f t="shared" si="5"/>
        <v>180847.19752999995</v>
      </c>
      <c r="I84" s="15">
        <f t="shared" si="5"/>
        <v>213325.61476000003</v>
      </c>
      <c r="J84" s="15">
        <f t="shared" si="5"/>
        <v>244300.6661</v>
      </c>
      <c r="K84" s="15">
        <f t="shared" si="5"/>
        <v>273813.03136000002</v>
      </c>
      <c r="L84" s="15">
        <f t="shared" si="5"/>
        <v>301964.92735000001</v>
      </c>
      <c r="M84" s="15">
        <f t="shared" si="5"/>
        <v>328756.35407</v>
      </c>
      <c r="N84" s="15">
        <f t="shared" si="5"/>
        <v>330931.81917999999</v>
      </c>
      <c r="O84" s="15">
        <f t="shared" si="5"/>
        <v>360603.91840000008</v>
      </c>
      <c r="P84" s="15">
        <f t="shared" si="5"/>
        <v>388915.54835</v>
      </c>
      <c r="Q84" s="15">
        <f t="shared" si="5"/>
        <v>415907.38883999997</v>
      </c>
      <c r="R84" s="15">
        <f t="shared" si="5"/>
        <v>441688.26422000001</v>
      </c>
      <c r="S84" s="15">
        <f t="shared" si="5"/>
        <v>466292.24675999995</v>
      </c>
      <c r="T84" s="15">
        <f t="shared" si="5"/>
        <v>489753.40873000002</v>
      </c>
      <c r="U84" s="15">
        <f t="shared" si="5"/>
        <v>512146.50221000001</v>
      </c>
      <c r="V84" s="15">
        <f t="shared" si="5"/>
        <v>533505.5994699999</v>
      </c>
      <c r="W84" s="15">
        <f t="shared" si="5"/>
        <v>553905.45258999988</v>
      </c>
      <c r="X84" s="15">
        <f t="shared" si="5"/>
        <v>573346.0615699999</v>
      </c>
      <c r="Y84" s="15">
        <f t="shared" si="5"/>
        <v>591895.57095000008</v>
      </c>
      <c r="Z84" s="15"/>
    </row>
    <row r="85" spans="1:26" collapsed="1" x14ac:dyDescent="0.2">
      <c r="A85" s="2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idden="1" outlineLevel="1" x14ac:dyDescent="0.2">
      <c r="A86" s="216" t="s">
        <v>653</v>
      </c>
      <c r="B86" s="15">
        <f>-'🎛️ Assumptions'!$B$58</f>
        <v>-1000000</v>
      </c>
      <c r="C86" s="15">
        <f t="shared" ref="C86:Z86" si="6">B60</f>
        <v>-39536.271399999998</v>
      </c>
      <c r="D86" s="15">
        <f t="shared" si="6"/>
        <v>-17284.09792</v>
      </c>
      <c r="E86" s="15">
        <f t="shared" si="6"/>
        <v>3583.3807399999951</v>
      </c>
      <c r="F86" s="15">
        <f t="shared" si="6"/>
        <v>23141.332699999999</v>
      </c>
      <c r="G86" s="15">
        <f t="shared" si="6"/>
        <v>41561.169320000001</v>
      </c>
      <c r="H86" s="15">
        <f t="shared" si="6"/>
        <v>58862.787349999999</v>
      </c>
      <c r="I86" s="15">
        <f t="shared" si="6"/>
        <v>75087.158659999986</v>
      </c>
      <c r="J86" s="15">
        <f t="shared" si="6"/>
        <v>90364.722739999997</v>
      </c>
      <c r="K86" s="15">
        <f t="shared" si="6"/>
        <v>104774.03552000003</v>
      </c>
      <c r="L86" s="15">
        <f t="shared" si="6"/>
        <v>118334.99374999997</v>
      </c>
      <c r="M86" s="15">
        <f t="shared" si="6"/>
        <v>131102.8688</v>
      </c>
      <c r="N86" s="15">
        <f t="shared" si="6"/>
        <v>143100.94522999995</v>
      </c>
      <c r="O86" s="15">
        <f t="shared" si="6"/>
        <v>143284.62280999997</v>
      </c>
      <c r="P86" s="15">
        <f t="shared" si="6"/>
        <v>157600.04909000004</v>
      </c>
      <c r="Q86" s="15">
        <f t="shared" si="6"/>
        <v>171067.12081999995</v>
      </c>
      <c r="R86" s="15">
        <f t="shared" si="6"/>
        <v>183778.69343000001</v>
      </c>
      <c r="S86" s="15">
        <f t="shared" si="6"/>
        <v>195758.05147999994</v>
      </c>
      <c r="T86" s="15">
        <f t="shared" si="6"/>
        <v>207057.07853000003</v>
      </c>
      <c r="U86" s="15">
        <f t="shared" si="6"/>
        <v>217702.44695000001</v>
      </c>
      <c r="V86" s="15">
        <f t="shared" si="6"/>
        <v>227746.04030000005</v>
      </c>
      <c r="W86" s="15">
        <f t="shared" si="6"/>
        <v>237266.41451</v>
      </c>
      <c r="X86" s="15">
        <f t="shared" si="6"/>
        <v>246263.56958000001</v>
      </c>
      <c r="Y86" s="15">
        <f t="shared" si="6"/>
        <v>254719.81820000004</v>
      </c>
      <c r="Z86" s="15">
        <f t="shared" si="6"/>
        <v>262768.98767</v>
      </c>
    </row>
    <row r="87" spans="1:26" hidden="1" outlineLevel="1" x14ac:dyDescent="0.2">
      <c r="A87" s="216" t="s">
        <v>654</v>
      </c>
      <c r="B87" s="15">
        <f>-'🎛️ Assumptions'!$B$58</f>
        <v>-1000000</v>
      </c>
      <c r="C87" s="15">
        <f t="shared" ref="C87:Z87" si="7">B72</f>
        <v>-43052.448000000004</v>
      </c>
      <c r="D87" s="15">
        <f t="shared" si="7"/>
        <v>-9309.0107999999982</v>
      </c>
      <c r="E87" s="15">
        <f t="shared" si="7"/>
        <v>22497.592799999988</v>
      </c>
      <c r="F87" s="15">
        <f t="shared" si="7"/>
        <v>52481.516879999966</v>
      </c>
      <c r="G87" s="15">
        <f t="shared" si="7"/>
        <v>80716.498559999993</v>
      </c>
      <c r="H87" s="15">
        <f t="shared" si="7"/>
        <v>107353.56048</v>
      </c>
      <c r="I87" s="15">
        <f t="shared" si="7"/>
        <v>132520.24991999997</v>
      </c>
      <c r="J87" s="15">
        <f t="shared" si="7"/>
        <v>156240.04223999998</v>
      </c>
      <c r="K87" s="15">
        <f t="shared" si="7"/>
        <v>178586.67456000001</v>
      </c>
      <c r="L87" s="15">
        <f t="shared" si="7"/>
        <v>199728.11111999996</v>
      </c>
      <c r="M87" s="15">
        <f t="shared" si="7"/>
        <v>219647.41032</v>
      </c>
      <c r="N87" s="15">
        <f t="shared" si="7"/>
        <v>238512.53639999995</v>
      </c>
      <c r="O87" s="15">
        <f t="shared" si="7"/>
        <v>240306.82895999996</v>
      </c>
      <c r="P87" s="15">
        <f t="shared" si="7"/>
        <v>261842.11559999999</v>
      </c>
      <c r="Q87" s="15">
        <f t="shared" si="7"/>
        <v>282209.07503999997</v>
      </c>
      <c r="R87" s="15">
        <f t="shared" si="7"/>
        <v>301427.63423999993</v>
      </c>
      <c r="S87" s="15">
        <f t="shared" si="7"/>
        <v>319628.88888000004</v>
      </c>
      <c r="T87" s="15">
        <f t="shared" si="7"/>
        <v>336795.89735999989</v>
      </c>
      <c r="U87" s="15">
        <f t="shared" si="7"/>
        <v>353019.33840000001</v>
      </c>
      <c r="V87" s="15">
        <f t="shared" si="7"/>
        <v>368413.36607999995</v>
      </c>
      <c r="W87" s="15">
        <f t="shared" si="7"/>
        <v>382977.9804</v>
      </c>
      <c r="X87" s="15">
        <f t="shared" si="7"/>
        <v>396750.04992000002</v>
      </c>
      <c r="Y87" s="15">
        <f t="shared" si="7"/>
        <v>409753.05000000005</v>
      </c>
      <c r="Z87" s="15">
        <f t="shared" si="7"/>
        <v>422131.46951999993</v>
      </c>
    </row>
    <row r="88" spans="1:26" hidden="1" outlineLevel="1" x14ac:dyDescent="0.2">
      <c r="A88" s="216" t="s">
        <v>655</v>
      </c>
      <c r="B88" s="15">
        <f>-'🎛️ Assumptions'!$B$58</f>
        <v>-1000000</v>
      </c>
      <c r="C88" s="15">
        <f t="shared" ref="C88:Z88" si="8">B84</f>
        <v>-51619.986000000004</v>
      </c>
      <c r="D88" s="15">
        <f t="shared" si="8"/>
        <v>-7917.7740900000008</v>
      </c>
      <c r="E88" s="15">
        <f t="shared" si="8"/>
        <v>33611.265889999981</v>
      </c>
      <c r="F88" s="15">
        <f t="shared" si="8"/>
        <v>73167.570309999981</v>
      </c>
      <c r="G88" s="15">
        <f t="shared" si="8"/>
        <v>110859.96351999999</v>
      </c>
      <c r="H88" s="15">
        <f t="shared" si="8"/>
        <v>146722.51779000001</v>
      </c>
      <c r="I88" s="15">
        <f t="shared" si="8"/>
        <v>180847.19752999995</v>
      </c>
      <c r="J88" s="15">
        <f t="shared" si="8"/>
        <v>213325.61476000003</v>
      </c>
      <c r="K88" s="15">
        <f t="shared" si="8"/>
        <v>244300.6661</v>
      </c>
      <c r="L88" s="15">
        <f t="shared" si="8"/>
        <v>273813.03136000002</v>
      </c>
      <c r="M88" s="15">
        <f t="shared" si="8"/>
        <v>301964.92735000001</v>
      </c>
      <c r="N88" s="15">
        <f t="shared" si="8"/>
        <v>328756.35407</v>
      </c>
      <c r="O88" s="15">
        <f t="shared" si="8"/>
        <v>330931.81917999999</v>
      </c>
      <c r="P88" s="15">
        <f t="shared" si="8"/>
        <v>360603.91840000008</v>
      </c>
      <c r="Q88" s="15">
        <f t="shared" si="8"/>
        <v>388915.54835</v>
      </c>
      <c r="R88" s="15">
        <f t="shared" si="8"/>
        <v>415907.38883999997</v>
      </c>
      <c r="S88" s="15">
        <f t="shared" si="8"/>
        <v>441688.26422000001</v>
      </c>
      <c r="T88" s="15">
        <f t="shared" si="8"/>
        <v>466292.24675999995</v>
      </c>
      <c r="U88" s="15">
        <f t="shared" si="8"/>
        <v>489753.40873000002</v>
      </c>
      <c r="V88" s="15">
        <f t="shared" si="8"/>
        <v>512146.50221000001</v>
      </c>
      <c r="W88" s="15">
        <f t="shared" si="8"/>
        <v>533505.5994699999</v>
      </c>
      <c r="X88" s="15">
        <f t="shared" si="8"/>
        <v>553905.45258999988</v>
      </c>
      <c r="Y88" s="15">
        <f t="shared" si="8"/>
        <v>573346.0615699999</v>
      </c>
      <c r="Z88" s="15">
        <f t="shared" si="8"/>
        <v>591895.57095000008</v>
      </c>
    </row>
    <row r="89" spans="1:26" collapsed="1" x14ac:dyDescent="0.2">
      <c r="A89" s="216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</sheetData>
  <mergeCells count="9">
    <mergeCell ref="A37:E38"/>
    <mergeCell ref="A24:E24"/>
    <mergeCell ref="A29:E29"/>
    <mergeCell ref="A34:E34"/>
    <mergeCell ref="A1:E1"/>
    <mergeCell ref="A2:E2"/>
    <mergeCell ref="A4:E4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🚀 Investor Dashboard</vt:lpstr>
      <vt:lpstr>📋 Executive Summary</vt:lpstr>
      <vt:lpstr>🌎 Market &amp; GTM</vt:lpstr>
      <vt:lpstr>💎 Angel Summary</vt:lpstr>
      <vt:lpstr>📈 Annual P&amp;L</vt:lpstr>
      <vt:lpstr>💰 Cash &amp; Runway</vt:lpstr>
      <vt:lpstr>⚠️ Risks &amp; Roadmap</vt:lpstr>
      <vt:lpstr>🔧 Active Scenario</vt:lpstr>
      <vt:lpstr>🎛️ Assumptions</vt:lpstr>
      <vt:lpstr>📊 Monthly Base</vt:lpstr>
      <vt:lpstr>📊 Scenario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Claudio Angulski de Souza</cp:lastModifiedBy>
  <cp:revision>4</cp:revision>
  <dcterms:created xsi:type="dcterms:W3CDTF">2026-04-15T14:12:42Z</dcterms:created>
  <dcterms:modified xsi:type="dcterms:W3CDTF">2026-06-12T14:27:28Z</dcterms:modified>
  <dc:language>en-US</dc:language>
</cp:coreProperties>
</file>
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adu 1/AUTONOMA/autonoma_investidor/autonoma/"/>
    </mc:Choice>
  </mc:AlternateContent>
  <xr:revisionPtr revIDLastSave="0" documentId="13_ncr:2001_{797CBEA3-CB8D-4145-9208-44A468D68893}" xr6:coauthVersionLast="47" xr6:coauthVersionMax="47" xr10:uidLastSave="{00000000-0000-0000-0000-000000000000}"/>
  <bookViews>
    <workbookView xWindow="0" yWindow="500" windowWidth="33600" windowHeight="20500" tabRatio="500" firstSheet="3" activeTab="10" xr2:uid="{00000000-000D-0000-FFFF-FFFF00000000}"/>
  </bookViews>
  <sheets>
    <sheet name="🚀 Dashboard Investidor" sheetId="1" r:id="rId1"/>
    <sheet name="📋 Sumário Executivo" sheetId="7" r:id="rId2"/>
    <sheet name="🌎 Mercado &amp; GTM" sheetId="8" r:id="rId3"/>
    <sheet name="💎 Resumo Anjo" sheetId="6" r:id="rId4"/>
    <sheet name="📈 DRE Anual" sheetId="9" r:id="rId5"/>
    <sheet name="💰 Caixa &amp; Runway" sheetId="10" r:id="rId6"/>
    <sheet name="⚠️ Riscos &amp; Roadmap" sheetId="11" r:id="rId7"/>
    <sheet name="🔧 Cenário Ativo" sheetId="2" r:id="rId8"/>
    <sheet name="🎛️ Premissas" sheetId="3" r:id="rId9"/>
    <sheet name="📊 Base Mensal" sheetId="4" r:id="rId10"/>
    <sheet name="📊 Resumo Cenários" sheetId="5" r:id="rId11"/>
  </sheets>
  <definedNames>
    <definedName name="_xlchart.v1.0" hidden="1">'🚀 Dashboard Investidor'!$L$77:$L$100</definedName>
    <definedName name="_xlchart.v1.1" hidden="1">'🚀 Dashboard Investidor'!$M$77:$M$100</definedName>
    <definedName name="_xlchart.v1.10" hidden="1">'🚀 Dashboard Investidor'!$M$77:$M$100</definedName>
    <definedName name="_xlchart.v1.11" hidden="1">'🚀 Dashboard Investidor'!$N$77:$N$100</definedName>
    <definedName name="_xlchart.v1.12" hidden="1">'🚀 Dashboard Investidor'!$L$77:$L$100</definedName>
    <definedName name="_xlchart.v1.13" hidden="1">'🚀 Dashboard Investidor'!$M$77:$M$100</definedName>
    <definedName name="_xlchart.v1.14" hidden="1">'🚀 Dashboard Investidor'!$N$77:$N$100</definedName>
    <definedName name="_xlchart.v1.15" hidden="1">'🚀 Dashboard Investidor'!$L$77:$L$100</definedName>
    <definedName name="_xlchart.v1.16" hidden="1">'🚀 Dashboard Investidor'!$M$77:$M$100</definedName>
    <definedName name="_xlchart.v1.17" hidden="1">'🚀 Dashboard Investidor'!$N$77:$N$100</definedName>
    <definedName name="_xlchart.v1.18" hidden="1">'🚀 Dashboard Investidor'!$L$77:$L$100</definedName>
    <definedName name="_xlchart.v1.19" hidden="1">'🚀 Dashboard Investidor'!$M$77:$M$100</definedName>
    <definedName name="_xlchart.v1.2" hidden="1">'🚀 Dashboard Investidor'!$N$77:$N$100</definedName>
    <definedName name="_xlchart.v1.20" hidden="1">'🚀 Dashboard Investidor'!$N$77:$N$100</definedName>
    <definedName name="_xlchart.v1.21" hidden="1">'🚀 Dashboard Investidor'!$L$77:$L$100</definedName>
    <definedName name="_xlchart.v1.22" hidden="1">'🚀 Dashboard Investidor'!$M$77:$M$100</definedName>
    <definedName name="_xlchart.v1.23" hidden="1">'🚀 Dashboard Investidor'!$N$77:$N$100</definedName>
    <definedName name="_xlchart.v1.3" hidden="1">'🚀 Dashboard Investidor'!$L$77:$L$100</definedName>
    <definedName name="_xlchart.v1.4" hidden="1">'🚀 Dashboard Investidor'!$M$77:$M$100</definedName>
    <definedName name="_xlchart.v1.5" hidden="1">'🚀 Dashboard Investidor'!$N$77:$N$100</definedName>
    <definedName name="_xlchart.v1.6" hidden="1">'🚀 Dashboard Investidor'!$L$77:$L$100</definedName>
    <definedName name="_xlchart.v1.7" hidden="1">'🚀 Dashboard Investidor'!$M$77:$M$100</definedName>
    <definedName name="_xlchart.v1.8" hidden="1">'🚀 Dashboard Investidor'!$N$77:$N$100</definedName>
    <definedName name="_xlchart.v1.9" hidden="1">'🚀 Dashboard Investidor'!$L$77:$L$100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9" l="1"/>
  <c r="B15" i="2"/>
  <c r="B14" i="2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D13" i="5"/>
  <c r="C13" i="5"/>
  <c r="B13" i="5"/>
  <c r="B9" i="2"/>
  <c r="O75" i="5"/>
  <c r="P75" i="5"/>
  <c r="Q75" i="5"/>
  <c r="R75" i="5"/>
  <c r="S75" i="5"/>
  <c r="T75" i="5"/>
  <c r="U75" i="5"/>
  <c r="V75" i="5"/>
  <c r="W75" i="5"/>
  <c r="X75" i="5"/>
  <c r="Y75" i="5"/>
  <c r="N75" i="5"/>
  <c r="D75" i="5"/>
  <c r="E75" i="5"/>
  <c r="F75" i="5"/>
  <c r="G75" i="5"/>
  <c r="H75" i="5"/>
  <c r="I75" i="5"/>
  <c r="J75" i="5"/>
  <c r="K75" i="5"/>
  <c r="L75" i="5"/>
  <c r="M75" i="5"/>
  <c r="C75" i="5"/>
  <c r="O63" i="5"/>
  <c r="P63" i="5"/>
  <c r="Q63" i="5"/>
  <c r="R63" i="5"/>
  <c r="S63" i="5"/>
  <c r="T63" i="5"/>
  <c r="U63" i="5"/>
  <c r="V63" i="5"/>
  <c r="W63" i="5"/>
  <c r="X63" i="5"/>
  <c r="Y63" i="5"/>
  <c r="N63" i="5"/>
  <c r="D63" i="5"/>
  <c r="E63" i="5"/>
  <c r="F63" i="5"/>
  <c r="G63" i="5"/>
  <c r="H63" i="5"/>
  <c r="I63" i="5"/>
  <c r="J63" i="5"/>
  <c r="K63" i="5"/>
  <c r="L63" i="5"/>
  <c r="M63" i="5"/>
  <c r="C63" i="5"/>
  <c r="O51" i="5"/>
  <c r="P51" i="5"/>
  <c r="Q51" i="5"/>
  <c r="R51" i="5"/>
  <c r="S51" i="5"/>
  <c r="T51" i="5"/>
  <c r="U51" i="5"/>
  <c r="V51" i="5"/>
  <c r="W51" i="5"/>
  <c r="X51" i="5"/>
  <c r="Y51" i="5"/>
  <c r="N51" i="5"/>
  <c r="D51" i="5"/>
  <c r="E51" i="5"/>
  <c r="F51" i="5"/>
  <c r="G51" i="5"/>
  <c r="H51" i="5"/>
  <c r="I51" i="5"/>
  <c r="J51" i="5"/>
  <c r="K51" i="5"/>
  <c r="L51" i="5"/>
  <c r="M51" i="5"/>
  <c r="C51" i="5"/>
  <c r="O82" i="5"/>
  <c r="P82" i="5"/>
  <c r="Q82" i="5"/>
  <c r="R82" i="5"/>
  <c r="S82" i="5"/>
  <c r="T82" i="5"/>
  <c r="U82" i="5"/>
  <c r="V82" i="5"/>
  <c r="W82" i="5"/>
  <c r="X82" i="5"/>
  <c r="Y82" i="5"/>
  <c r="N82" i="5"/>
  <c r="O70" i="5"/>
  <c r="P70" i="5"/>
  <c r="Q70" i="5"/>
  <c r="R70" i="5"/>
  <c r="S70" i="5"/>
  <c r="T70" i="5"/>
  <c r="U70" i="5"/>
  <c r="V70" i="5"/>
  <c r="W70" i="5"/>
  <c r="X70" i="5"/>
  <c r="Y70" i="5"/>
  <c r="N70" i="5"/>
  <c r="O58" i="5"/>
  <c r="P58" i="5"/>
  <c r="Q58" i="5"/>
  <c r="R58" i="5"/>
  <c r="S58" i="5"/>
  <c r="T58" i="5"/>
  <c r="U58" i="5"/>
  <c r="V58" i="5"/>
  <c r="W58" i="5"/>
  <c r="X58" i="5"/>
  <c r="Y58" i="5"/>
  <c r="N58" i="5"/>
  <c r="F16" i="1"/>
  <c r="B5" i="1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3" i="10"/>
  <c r="B3" i="9"/>
  <c r="E9" i="8"/>
  <c r="C27" i="7"/>
  <c r="C22" i="7"/>
  <c r="C21" i="7"/>
  <c r="C50" i="6"/>
  <c r="C49" i="6"/>
  <c r="C48" i="6"/>
  <c r="C47" i="6"/>
  <c r="C46" i="6"/>
  <c r="C45" i="6"/>
  <c r="C44" i="6"/>
  <c r="C30" i="6"/>
  <c r="D29" i="6"/>
  <c r="D28" i="6"/>
  <c r="D27" i="6"/>
  <c r="D26" i="6"/>
  <c r="C7" i="6"/>
  <c r="C6" i="6"/>
  <c r="D14" i="5"/>
  <c r="D15" i="5" s="1"/>
  <c r="C14" i="5"/>
  <c r="B14" i="5"/>
  <c r="O102" i="1"/>
  <c r="B88" i="5"/>
  <c r="B87" i="5"/>
  <c r="B86" i="5"/>
  <c r="M82" i="5"/>
  <c r="L82" i="5"/>
  <c r="K82" i="5"/>
  <c r="J82" i="5"/>
  <c r="I82" i="5"/>
  <c r="H82" i="5"/>
  <c r="G82" i="5"/>
  <c r="F82" i="5"/>
  <c r="E82" i="5"/>
  <c r="D82" i="5"/>
  <c r="C82" i="5"/>
  <c r="B82" i="5"/>
  <c r="B75" i="5"/>
  <c r="M70" i="5"/>
  <c r="L70" i="5"/>
  <c r="K70" i="5"/>
  <c r="J70" i="5"/>
  <c r="I70" i="5"/>
  <c r="H70" i="5"/>
  <c r="G70" i="5"/>
  <c r="F70" i="5"/>
  <c r="E70" i="5"/>
  <c r="D70" i="5"/>
  <c r="C70" i="5"/>
  <c r="B70" i="5"/>
  <c r="B63" i="5"/>
  <c r="B66" i="5" s="1"/>
  <c r="C66" i="5" s="1"/>
  <c r="D66" i="5" s="1"/>
  <c r="E66" i="5" s="1"/>
  <c r="F66" i="5" s="1"/>
  <c r="G66" i="5" s="1"/>
  <c r="H66" i="5" s="1"/>
  <c r="I66" i="5" s="1"/>
  <c r="M58" i="5"/>
  <c r="L58" i="5"/>
  <c r="K58" i="5"/>
  <c r="J58" i="5"/>
  <c r="I58" i="5"/>
  <c r="H58" i="5"/>
  <c r="G58" i="5"/>
  <c r="F58" i="5"/>
  <c r="E58" i="5"/>
  <c r="D58" i="5"/>
  <c r="C58" i="5"/>
  <c r="B58" i="5"/>
  <c r="B51" i="5"/>
  <c r="B54" i="5" s="1"/>
  <c r="C54" i="5" s="1"/>
  <c r="B59" i="2"/>
  <c r="F8" i="9" s="1"/>
  <c r="D20" i="5"/>
  <c r="C20" i="5"/>
  <c r="B20" i="5"/>
  <c r="B61" i="3"/>
  <c r="C8" i="6" s="1"/>
  <c r="C5" i="4"/>
  <c r="O77" i="1" s="1"/>
  <c r="C69" i="3"/>
  <c r="M105" i="1"/>
  <c r="M104" i="1"/>
  <c r="M103" i="1"/>
  <c r="B50" i="2"/>
  <c r="A10" i="1" s="1"/>
  <c r="B48" i="2"/>
  <c r="C23" i="8" s="1"/>
  <c r="B8" i="5"/>
  <c r="C8" i="5"/>
  <c r="D8" i="5"/>
  <c r="D12" i="5"/>
  <c r="C12" i="5"/>
  <c r="B12" i="5"/>
  <c r="D10" i="5"/>
  <c r="C10" i="5"/>
  <c r="B10" i="5"/>
  <c r="D9" i="5"/>
  <c r="C9" i="5"/>
  <c r="B9" i="5"/>
  <c r="D7" i="5"/>
  <c r="C7" i="5"/>
  <c r="B7" i="5"/>
  <c r="D6" i="5"/>
  <c r="C6" i="5"/>
  <c r="B6" i="5"/>
  <c r="D5" i="5"/>
  <c r="C5" i="5"/>
  <c r="B5" i="5"/>
  <c r="C2" i="4"/>
  <c r="B47" i="2"/>
  <c r="C22" i="8" s="1"/>
  <c r="B45" i="2"/>
  <c r="D17" i="9" s="1"/>
  <c r="B44" i="2"/>
  <c r="D16" i="9" s="1"/>
  <c r="B43" i="2"/>
  <c r="C16" i="9" s="1"/>
  <c r="B42" i="2"/>
  <c r="D15" i="9" s="1"/>
  <c r="B41" i="2"/>
  <c r="C15" i="9" s="1"/>
  <c r="B40" i="2"/>
  <c r="D14" i="9" s="1"/>
  <c r="B39" i="2"/>
  <c r="C14" i="9" s="1"/>
  <c r="B37" i="2"/>
  <c r="B36" i="2"/>
  <c r="B35" i="2"/>
  <c r="B34" i="2"/>
  <c r="C20" i="8" s="1"/>
  <c r="B33" i="2"/>
  <c r="C19" i="8" s="1"/>
  <c r="B32" i="2"/>
  <c r="C18" i="8" s="1"/>
  <c r="B31" i="2"/>
  <c r="T5" i="4" s="1"/>
  <c r="B30" i="2"/>
  <c r="B28" i="2"/>
  <c r="B27" i="2"/>
  <c r="B26" i="2"/>
  <c r="B25" i="2"/>
  <c r="B24" i="2"/>
  <c r="B23" i="2"/>
  <c r="B22" i="2"/>
  <c r="B21" i="2"/>
  <c r="B20" i="2"/>
  <c r="B19" i="2"/>
  <c r="B18" i="2"/>
  <c r="B16" i="2"/>
  <c r="B13" i="2"/>
  <c r="B12" i="2"/>
  <c r="B11" i="2"/>
  <c r="B8" i="2"/>
  <c r="C17" i="7" s="1"/>
  <c r="B7" i="2"/>
  <c r="C16" i="7" s="1"/>
  <c r="B6" i="2"/>
  <c r="D9" i="8" s="1"/>
  <c r="B3" i="2"/>
  <c r="C14" i="4" l="1"/>
  <c r="T14" i="4"/>
  <c r="E15" i="9"/>
  <c r="J66" i="5"/>
  <c r="K66" i="5" s="1"/>
  <c r="L66" i="5" s="1"/>
  <c r="M66" i="5" s="1"/>
  <c r="N66" i="5" s="1"/>
  <c r="O66" i="5" s="1"/>
  <c r="P66" i="5" s="1"/>
  <c r="Q66" i="5" s="1"/>
  <c r="R66" i="5" s="1"/>
  <c r="S66" i="5" s="1"/>
  <c r="T66" i="5" s="1"/>
  <c r="U66" i="5" s="1"/>
  <c r="V66" i="5" s="1"/>
  <c r="W66" i="5" s="1"/>
  <c r="X66" i="5" s="1"/>
  <c r="Y66" i="5" s="1"/>
  <c r="C24" i="7"/>
  <c r="D54" i="5"/>
  <c r="E54" i="5" s="1"/>
  <c r="F54" i="5" s="1"/>
  <c r="G54" i="5" s="1"/>
  <c r="H54" i="5" s="1"/>
  <c r="I54" i="5" s="1"/>
  <c r="J54" i="5" s="1"/>
  <c r="K54" i="5" s="1"/>
  <c r="L54" i="5" s="1"/>
  <c r="M54" i="5" s="1"/>
  <c r="N54" i="5" s="1"/>
  <c r="O54" i="5" s="1"/>
  <c r="P54" i="5" s="1"/>
  <c r="Q54" i="5" s="1"/>
  <c r="R54" i="5" s="1"/>
  <c r="S54" i="5" s="1"/>
  <c r="T54" i="5" s="1"/>
  <c r="U54" i="5" s="1"/>
  <c r="V54" i="5" s="1"/>
  <c r="W54" i="5" s="1"/>
  <c r="X54" i="5" s="1"/>
  <c r="Y54" i="5" s="1"/>
  <c r="B15" i="5"/>
  <c r="D30" i="6"/>
  <c r="C21" i="8"/>
  <c r="C15" i="5"/>
  <c r="C16" i="5" s="1"/>
  <c r="D47" i="6"/>
  <c r="E47" i="6" s="1"/>
  <c r="F47" i="6" s="1"/>
  <c r="D48" i="6"/>
  <c r="E48" i="6" s="1"/>
  <c r="F48" i="6" s="1"/>
  <c r="D49" i="6"/>
  <c r="E49" i="6" s="1"/>
  <c r="F49" i="6" s="1"/>
  <c r="D44" i="6"/>
  <c r="E44" i="6" s="1"/>
  <c r="F44" i="6" s="1"/>
  <c r="C10" i="8"/>
  <c r="E14" i="9"/>
  <c r="E16" i="9"/>
  <c r="C16" i="8"/>
  <c r="C17" i="9"/>
  <c r="E17" i="9" s="1"/>
  <c r="L5" i="4"/>
  <c r="L14" i="4" s="1"/>
  <c r="O5" i="4"/>
  <c r="O14" i="4" s="1"/>
  <c r="S5" i="4"/>
  <c r="S14" i="4" s="1"/>
  <c r="C17" i="8"/>
  <c r="C36" i="8"/>
  <c r="K5" i="4"/>
  <c r="K14" i="4" s="1"/>
  <c r="Z5" i="4"/>
  <c r="Z14" i="4" s="1"/>
  <c r="R5" i="4"/>
  <c r="R14" i="4" s="1"/>
  <c r="D50" i="6"/>
  <c r="E50" i="6" s="1"/>
  <c r="F50" i="6" s="1"/>
  <c r="J5" i="4"/>
  <c r="J14" i="4" s="1"/>
  <c r="Y5" i="4"/>
  <c r="Y14" i="4" s="1"/>
  <c r="Q5" i="4"/>
  <c r="Q14" i="4" s="1"/>
  <c r="C15" i="7"/>
  <c r="I5" i="4"/>
  <c r="I14" i="4" s="1"/>
  <c r="X5" i="4"/>
  <c r="X14" i="4" s="1"/>
  <c r="P5" i="4"/>
  <c r="P14" i="4" s="1"/>
  <c r="H5" i="4"/>
  <c r="H14" i="4" s="1"/>
  <c r="W5" i="4"/>
  <c r="W14" i="4" s="1"/>
  <c r="D45" i="6"/>
  <c r="E45" i="6" s="1"/>
  <c r="F45" i="6" s="1"/>
  <c r="D8" i="8"/>
  <c r="D5" i="4"/>
  <c r="D14" i="4" s="1"/>
  <c r="G5" i="4"/>
  <c r="G14" i="4" s="1"/>
  <c r="V5" i="4"/>
  <c r="V14" i="4" s="1"/>
  <c r="D46" i="6"/>
  <c r="E46" i="6" s="1"/>
  <c r="F46" i="6" s="1"/>
  <c r="N5" i="4"/>
  <c r="N14" i="4" s="1"/>
  <c r="F5" i="4"/>
  <c r="F14" i="4" s="1"/>
  <c r="U5" i="4"/>
  <c r="U14" i="4" s="1"/>
  <c r="C15" i="1"/>
  <c r="M5" i="4"/>
  <c r="M14" i="4" s="1"/>
  <c r="E5" i="4"/>
  <c r="E14" i="4" s="1"/>
  <c r="B54" i="2"/>
  <c r="B78" i="5"/>
  <c r="C78" i="5" s="1"/>
  <c r="D78" i="5" s="1"/>
  <c r="E78" i="5" s="1"/>
  <c r="F78" i="5" s="1"/>
  <c r="G78" i="5" s="1"/>
  <c r="H78" i="5" s="1"/>
  <c r="I78" i="5" s="1"/>
  <c r="J78" i="5" s="1"/>
  <c r="K78" i="5" s="1"/>
  <c r="L78" i="5" s="1"/>
  <c r="M78" i="5" s="1"/>
  <c r="N78" i="5" s="1"/>
  <c r="O78" i="5" s="1"/>
  <c r="P78" i="5" s="1"/>
  <c r="Q78" i="5" s="1"/>
  <c r="R78" i="5" s="1"/>
  <c r="S78" i="5" s="1"/>
  <c r="T78" i="5" s="1"/>
  <c r="U78" i="5" s="1"/>
  <c r="V78" i="5" s="1"/>
  <c r="W78" i="5" s="1"/>
  <c r="X78" i="5" s="1"/>
  <c r="Y78" i="5" s="1"/>
  <c r="B77" i="5"/>
  <c r="C77" i="5" s="1"/>
  <c r="D77" i="5" s="1"/>
  <c r="E77" i="5" s="1"/>
  <c r="F77" i="5" s="1"/>
  <c r="G77" i="5" s="1"/>
  <c r="H77" i="5" s="1"/>
  <c r="I77" i="5" s="1"/>
  <c r="J77" i="5" s="1"/>
  <c r="K77" i="5" s="1"/>
  <c r="L77" i="5" s="1"/>
  <c r="M77" i="5" s="1"/>
  <c r="N77" i="5" s="1"/>
  <c r="O77" i="5" s="1"/>
  <c r="P77" i="5" s="1"/>
  <c r="Q77" i="5" s="1"/>
  <c r="R77" i="5" s="1"/>
  <c r="S77" i="5" s="1"/>
  <c r="T77" i="5" s="1"/>
  <c r="U77" i="5" s="1"/>
  <c r="V77" i="5" s="1"/>
  <c r="W77" i="5" s="1"/>
  <c r="X77" i="5" s="1"/>
  <c r="Y77" i="5" s="1"/>
  <c r="B76" i="5"/>
  <c r="B52" i="5"/>
  <c r="B56" i="5" s="1"/>
  <c r="B65" i="5"/>
  <c r="C65" i="5" s="1"/>
  <c r="D65" i="5" s="1"/>
  <c r="E65" i="5" s="1"/>
  <c r="F65" i="5" s="1"/>
  <c r="G65" i="5" s="1"/>
  <c r="H65" i="5" s="1"/>
  <c r="I65" i="5" s="1"/>
  <c r="J65" i="5" s="1"/>
  <c r="K65" i="5" s="1"/>
  <c r="L65" i="5" s="1"/>
  <c r="M65" i="5" s="1"/>
  <c r="N65" i="5" s="1"/>
  <c r="O65" i="5" s="1"/>
  <c r="P65" i="5" s="1"/>
  <c r="Q65" i="5" s="1"/>
  <c r="R65" i="5" s="1"/>
  <c r="S65" i="5" s="1"/>
  <c r="T65" i="5" s="1"/>
  <c r="U65" i="5" s="1"/>
  <c r="V65" i="5" s="1"/>
  <c r="W65" i="5" s="1"/>
  <c r="X65" i="5" s="1"/>
  <c r="Y65" i="5" s="1"/>
  <c r="B53" i="5"/>
  <c r="C53" i="5" s="1"/>
  <c r="D53" i="5" s="1"/>
  <c r="E53" i="5" s="1"/>
  <c r="F53" i="5" s="1"/>
  <c r="G53" i="5" s="1"/>
  <c r="H53" i="5" s="1"/>
  <c r="I53" i="5" s="1"/>
  <c r="J53" i="5" s="1"/>
  <c r="K53" i="5" s="1"/>
  <c r="L53" i="5" s="1"/>
  <c r="M53" i="5" s="1"/>
  <c r="N53" i="5" s="1"/>
  <c r="O53" i="5" s="1"/>
  <c r="P53" i="5" s="1"/>
  <c r="Q53" i="5" s="1"/>
  <c r="R53" i="5" s="1"/>
  <c r="S53" i="5" s="1"/>
  <c r="T53" i="5" s="1"/>
  <c r="U53" i="5" s="1"/>
  <c r="V53" i="5" s="1"/>
  <c r="W53" i="5" s="1"/>
  <c r="X53" i="5" s="1"/>
  <c r="Y53" i="5" s="1"/>
  <c r="B64" i="5"/>
  <c r="B60" i="3"/>
  <c r="D16" i="5"/>
  <c r="B16" i="5"/>
  <c r="B17" i="5"/>
  <c r="C17" i="5"/>
  <c r="D17" i="5"/>
  <c r="C7" i="4"/>
  <c r="C6" i="4"/>
  <c r="C8" i="4"/>
  <c r="B52" i="2"/>
  <c r="B53" i="2" s="1"/>
  <c r="M20" i="4"/>
  <c r="V87" i="1" s="1"/>
  <c r="Y20" i="4"/>
  <c r="V99" i="1" s="1"/>
  <c r="E20" i="4"/>
  <c r="V79" i="1" s="1"/>
  <c r="U20" i="4"/>
  <c r="V95" i="1" s="1"/>
  <c r="G20" i="4"/>
  <c r="V81" i="1" s="1"/>
  <c r="W20" i="4"/>
  <c r="V97" i="1" s="1"/>
  <c r="I20" i="4"/>
  <c r="V83" i="1" s="1"/>
  <c r="L20" i="4"/>
  <c r="V86" i="1" s="1"/>
  <c r="N20" i="4"/>
  <c r="V88" i="1" s="1"/>
  <c r="F20" i="4"/>
  <c r="V80" i="1" s="1"/>
  <c r="K20" i="4"/>
  <c r="V85" i="1" s="1"/>
  <c r="C20" i="4"/>
  <c r="J20" i="4"/>
  <c r="V84" i="1" s="1"/>
  <c r="H20" i="4"/>
  <c r="V82" i="1" s="1"/>
  <c r="V20" i="4"/>
  <c r="V96" i="1" s="1"/>
  <c r="S20" i="4"/>
  <c r="V93" i="1" s="1"/>
  <c r="Z20" i="4"/>
  <c r="V100" i="1" s="1"/>
  <c r="R20" i="4"/>
  <c r="V92" i="1" s="1"/>
  <c r="X20" i="4"/>
  <c r="V98" i="1" s="1"/>
  <c r="P20" i="4"/>
  <c r="V90" i="1" s="1"/>
  <c r="O20" i="4"/>
  <c r="Q20" i="4"/>
  <c r="V91" i="1" s="1"/>
  <c r="D20" i="4"/>
  <c r="V78" i="1" s="1"/>
  <c r="T20" i="4"/>
  <c r="V94" i="1" s="1"/>
  <c r="B57" i="2" l="1"/>
  <c r="C11" i="4"/>
  <c r="C76" i="5"/>
  <c r="B80" i="5"/>
  <c r="C64" i="5"/>
  <c r="C69" i="5" s="1"/>
  <c r="B68" i="5"/>
  <c r="B81" i="5"/>
  <c r="C81" i="5"/>
  <c r="S77" i="1"/>
  <c r="D7" i="4"/>
  <c r="E7" i="4" s="1"/>
  <c r="F7" i="4" s="1"/>
  <c r="G7" i="4" s="1"/>
  <c r="H7" i="4" s="1"/>
  <c r="I7" i="4" s="1"/>
  <c r="J7" i="4" s="1"/>
  <c r="K7" i="4" s="1"/>
  <c r="L7" i="4" s="1"/>
  <c r="M7" i="4" s="1"/>
  <c r="N7" i="4" s="1"/>
  <c r="O7" i="4" s="1"/>
  <c r="P7" i="4" s="1"/>
  <c r="Q7" i="4" s="1"/>
  <c r="R7" i="4" s="1"/>
  <c r="S7" i="4" s="1"/>
  <c r="T7" i="4" s="1"/>
  <c r="U7" i="4" s="1"/>
  <c r="V7" i="4" s="1"/>
  <c r="W7" i="4" s="1"/>
  <c r="X7" i="4" s="1"/>
  <c r="Y7" i="4" s="1"/>
  <c r="Z7" i="4" s="1"/>
  <c r="C52" i="5"/>
  <c r="C56" i="5" s="1"/>
  <c r="B57" i="5"/>
  <c r="G15" i="1"/>
  <c r="G14" i="1"/>
  <c r="C28" i="11"/>
  <c r="E28" i="11" s="1"/>
  <c r="F22" i="8"/>
  <c r="B69" i="5"/>
  <c r="V77" i="1"/>
  <c r="C16" i="10"/>
  <c r="C13" i="9"/>
  <c r="T77" i="1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V89" i="1"/>
  <c r="D13" i="9"/>
  <c r="R77" i="1"/>
  <c r="D6" i="4"/>
  <c r="C9" i="6"/>
  <c r="C23" i="7"/>
  <c r="B79" i="5"/>
  <c r="B55" i="5"/>
  <c r="B67" i="5"/>
  <c r="O78" i="1"/>
  <c r="B55" i="2"/>
  <c r="E15" i="1" s="1"/>
  <c r="C15" i="4"/>
  <c r="E13" i="9" l="1"/>
  <c r="S78" i="1"/>
  <c r="D76" i="5"/>
  <c r="C80" i="5"/>
  <c r="E6" i="4"/>
  <c r="D11" i="4"/>
  <c r="R78" i="1"/>
  <c r="D64" i="5"/>
  <c r="C68" i="5"/>
  <c r="T78" i="1"/>
  <c r="D52" i="5"/>
  <c r="C57" i="5"/>
  <c r="O79" i="1"/>
  <c r="B71" i="5"/>
  <c r="B72" i="5" s="1"/>
  <c r="C87" i="5" s="1"/>
  <c r="B59" i="5"/>
  <c r="B60" i="5" s="1"/>
  <c r="C86" i="5" s="1"/>
  <c r="C55" i="5"/>
  <c r="D57" i="5" s="1"/>
  <c r="B83" i="5"/>
  <c r="B84" i="5" s="1"/>
  <c r="C88" i="5" s="1"/>
  <c r="C67" i="5"/>
  <c r="C79" i="5"/>
  <c r="D9" i="4"/>
  <c r="B56" i="2"/>
  <c r="C16" i="4"/>
  <c r="E52" i="5" l="1"/>
  <c r="D56" i="5"/>
  <c r="D69" i="5"/>
  <c r="E76" i="5"/>
  <c r="D80" i="5"/>
  <c r="E64" i="5"/>
  <c r="D68" i="5"/>
  <c r="F6" i="4"/>
  <c r="E11" i="4"/>
  <c r="C27" i="11"/>
  <c r="E27" i="11" s="1"/>
  <c r="E14" i="1"/>
  <c r="C35" i="7"/>
  <c r="E35" i="7" s="1"/>
  <c r="D81" i="5"/>
  <c r="N78" i="1"/>
  <c r="O80" i="1"/>
  <c r="C83" i="5"/>
  <c r="C84" i="5" s="1"/>
  <c r="D88" i="5" s="1"/>
  <c r="C59" i="5"/>
  <c r="C60" i="5" s="1"/>
  <c r="D86" i="5" s="1"/>
  <c r="D67" i="5"/>
  <c r="D55" i="5"/>
  <c r="D79" i="5"/>
  <c r="C71" i="5"/>
  <c r="C72" i="5" s="1"/>
  <c r="D87" i="5" s="1"/>
  <c r="C17" i="4"/>
  <c r="C18" i="4" s="1"/>
  <c r="C9" i="4"/>
  <c r="N77" i="1" s="1"/>
  <c r="F52" i="5" l="1"/>
  <c r="E56" i="5"/>
  <c r="F76" i="5"/>
  <c r="E80" i="5"/>
  <c r="G6" i="4"/>
  <c r="F11" i="4"/>
  <c r="F64" i="5"/>
  <c r="E68" i="5"/>
  <c r="R79" i="1"/>
  <c r="O81" i="1"/>
  <c r="D83" i="5"/>
  <c r="D84" i="5" s="1"/>
  <c r="E88" i="5" s="1"/>
  <c r="D59" i="5"/>
  <c r="D60" i="5" s="1"/>
  <c r="E86" i="5" s="1"/>
  <c r="D71" i="5"/>
  <c r="D72" i="5" s="1"/>
  <c r="E87" i="5" s="1"/>
  <c r="M77" i="1"/>
  <c r="C21" i="4"/>
  <c r="C23" i="4" s="1"/>
  <c r="C24" i="4" s="1"/>
  <c r="U77" i="1"/>
  <c r="C12" i="4"/>
  <c r="C26" i="4"/>
  <c r="W77" i="1" s="1"/>
  <c r="G52" i="5" l="1"/>
  <c r="F56" i="5"/>
  <c r="G76" i="5"/>
  <c r="F80" i="5"/>
  <c r="G64" i="5"/>
  <c r="F68" i="5"/>
  <c r="H6" i="4"/>
  <c r="G11" i="4"/>
  <c r="P77" i="1"/>
  <c r="C9" i="10"/>
  <c r="C10" i="10" s="1"/>
  <c r="E79" i="5"/>
  <c r="E69" i="5"/>
  <c r="E55" i="5"/>
  <c r="E9" i="4"/>
  <c r="F19" i="11" s="1"/>
  <c r="S79" i="1"/>
  <c r="O82" i="1"/>
  <c r="D15" i="4"/>
  <c r="C25" i="4"/>
  <c r="Q77" i="1" s="1"/>
  <c r="H52" i="5" l="1"/>
  <c r="G56" i="5"/>
  <c r="H76" i="5"/>
  <c r="G80" i="5"/>
  <c r="I6" i="4"/>
  <c r="H11" i="4"/>
  <c r="H64" i="5"/>
  <c r="G68" i="5"/>
  <c r="E83" i="5"/>
  <c r="E81" i="5"/>
  <c r="E67" i="5"/>
  <c r="E71" i="5"/>
  <c r="E72" i="5" s="1"/>
  <c r="F87" i="5" s="1"/>
  <c r="E57" i="5"/>
  <c r="F55" i="5"/>
  <c r="E59" i="5"/>
  <c r="N79" i="1"/>
  <c r="R80" i="1"/>
  <c r="T79" i="1"/>
  <c r="O83" i="1"/>
  <c r="D16" i="4"/>
  <c r="I52" i="5" l="1"/>
  <c r="H56" i="5"/>
  <c r="I76" i="5"/>
  <c r="H80" i="5"/>
  <c r="I64" i="5"/>
  <c r="H68" i="5"/>
  <c r="J6" i="4"/>
  <c r="I11" i="4"/>
  <c r="F57" i="5"/>
  <c r="E60" i="5"/>
  <c r="F86" i="5" s="1"/>
  <c r="E84" i="5"/>
  <c r="F88" i="5" s="1"/>
  <c r="F79" i="5"/>
  <c r="F81" i="5"/>
  <c r="F59" i="5"/>
  <c r="S80" i="1"/>
  <c r="O84" i="1"/>
  <c r="D17" i="4"/>
  <c r="D18" i="4" s="1"/>
  <c r="J52" i="5" l="1"/>
  <c r="I56" i="5"/>
  <c r="J76" i="5"/>
  <c r="I80" i="5"/>
  <c r="K6" i="4"/>
  <c r="J11" i="4"/>
  <c r="J64" i="5"/>
  <c r="I68" i="5"/>
  <c r="F60" i="5"/>
  <c r="G86" i="5" s="1"/>
  <c r="F83" i="5"/>
  <c r="F84" i="5" s="1"/>
  <c r="G88" i="5" s="1"/>
  <c r="G59" i="5"/>
  <c r="O85" i="1"/>
  <c r="M78" i="1"/>
  <c r="D21" i="4"/>
  <c r="U78" i="1"/>
  <c r="D26" i="4"/>
  <c r="W78" i="1" s="1"/>
  <c r="D12" i="4"/>
  <c r="K52" i="5" l="1"/>
  <c r="J56" i="5"/>
  <c r="K76" i="5"/>
  <c r="J80" i="5"/>
  <c r="K64" i="5"/>
  <c r="J68" i="5"/>
  <c r="L6" i="4"/>
  <c r="K11" i="4"/>
  <c r="G55" i="5"/>
  <c r="D23" i="4"/>
  <c r="D24" i="4" s="1"/>
  <c r="D25" i="4" s="1"/>
  <c r="G79" i="5"/>
  <c r="G81" i="5"/>
  <c r="F67" i="5"/>
  <c r="F71" i="5"/>
  <c r="F69" i="5"/>
  <c r="G57" i="5"/>
  <c r="G60" i="5" s="1"/>
  <c r="H86" i="5" s="1"/>
  <c r="T80" i="1"/>
  <c r="O87" i="1"/>
  <c r="O86" i="1"/>
  <c r="E15" i="4"/>
  <c r="L52" i="5" l="1"/>
  <c r="K56" i="5"/>
  <c r="L76" i="5"/>
  <c r="K80" i="5"/>
  <c r="M6" i="4"/>
  <c r="L11" i="4"/>
  <c r="L64" i="5"/>
  <c r="K68" i="5"/>
  <c r="Q78" i="1"/>
  <c r="P78" i="1"/>
  <c r="D9" i="10"/>
  <c r="G83" i="5"/>
  <c r="G84" i="5" s="1"/>
  <c r="H88" i="5" s="1"/>
  <c r="F72" i="5"/>
  <c r="G87" i="5" s="1"/>
  <c r="H57" i="5"/>
  <c r="O88" i="1"/>
  <c r="E16" i="4"/>
  <c r="M52" i="5" l="1"/>
  <c r="L56" i="5"/>
  <c r="M76" i="5"/>
  <c r="L80" i="5"/>
  <c r="M64" i="5"/>
  <c r="L68" i="5"/>
  <c r="N6" i="4"/>
  <c r="M11" i="4"/>
  <c r="D10" i="10"/>
  <c r="H79" i="5"/>
  <c r="H83" i="5"/>
  <c r="H81" i="5"/>
  <c r="G67" i="5"/>
  <c r="H59" i="5"/>
  <c r="H60" i="5" s="1"/>
  <c r="I86" i="5" s="1"/>
  <c r="H55" i="5"/>
  <c r="M79" i="1"/>
  <c r="E21" i="4"/>
  <c r="O89" i="1"/>
  <c r="E12" i="4"/>
  <c r="E17" i="4"/>
  <c r="E18" i="4" s="1"/>
  <c r="N52" i="5" l="1"/>
  <c r="M56" i="5"/>
  <c r="N76" i="5"/>
  <c r="M80" i="5"/>
  <c r="O6" i="4"/>
  <c r="N11" i="4"/>
  <c r="N64" i="5"/>
  <c r="M68" i="5"/>
  <c r="G71" i="5"/>
  <c r="H84" i="5"/>
  <c r="I88" i="5" s="1"/>
  <c r="I81" i="5"/>
  <c r="I79" i="5"/>
  <c r="I83" i="5"/>
  <c r="G69" i="5"/>
  <c r="U79" i="1"/>
  <c r="E23" i="4"/>
  <c r="E24" i="4" s="1"/>
  <c r="O90" i="1"/>
  <c r="E26" i="4"/>
  <c r="W79" i="1" s="1"/>
  <c r="O52" i="5" l="1"/>
  <c r="N56" i="5"/>
  <c r="O76" i="5"/>
  <c r="N80" i="5"/>
  <c r="G72" i="5"/>
  <c r="H87" i="5" s="1"/>
  <c r="O64" i="5"/>
  <c r="N68" i="5"/>
  <c r="P6" i="4"/>
  <c r="O11" i="4"/>
  <c r="P79" i="1"/>
  <c r="E9" i="10"/>
  <c r="I84" i="5"/>
  <c r="J88" i="5" s="1"/>
  <c r="H71" i="5"/>
  <c r="I57" i="5"/>
  <c r="O91" i="1"/>
  <c r="F9" i="4"/>
  <c r="F15" i="4"/>
  <c r="E25" i="4"/>
  <c r="P52" i="5" l="1"/>
  <c r="O56" i="5"/>
  <c r="P76" i="5"/>
  <c r="O80" i="5"/>
  <c r="Q6" i="4"/>
  <c r="P11" i="4"/>
  <c r="P64" i="5"/>
  <c r="O68" i="5"/>
  <c r="H67" i="5"/>
  <c r="Q79" i="1"/>
  <c r="E10" i="10"/>
  <c r="J81" i="5"/>
  <c r="H69" i="5"/>
  <c r="H72" i="5" s="1"/>
  <c r="I55" i="5"/>
  <c r="I59" i="5"/>
  <c r="I60" i="5" s="1"/>
  <c r="J86" i="5" s="1"/>
  <c r="N80" i="1"/>
  <c r="O92" i="1"/>
  <c r="F16" i="4"/>
  <c r="Q52" i="5" l="1"/>
  <c r="P56" i="5"/>
  <c r="Q76" i="5"/>
  <c r="P80" i="5"/>
  <c r="Q64" i="5"/>
  <c r="P68" i="5"/>
  <c r="R6" i="4"/>
  <c r="Q11" i="4"/>
  <c r="J79" i="5"/>
  <c r="J83" i="5"/>
  <c r="J84" i="5" s="1"/>
  <c r="I87" i="5"/>
  <c r="I67" i="5"/>
  <c r="I71" i="5"/>
  <c r="I69" i="5"/>
  <c r="R81" i="1"/>
  <c r="O93" i="1"/>
  <c r="F17" i="4"/>
  <c r="F18" i="4" s="1"/>
  <c r="R52" i="5" l="1"/>
  <c r="Q56" i="5"/>
  <c r="R76" i="5"/>
  <c r="Q80" i="5"/>
  <c r="S6" i="4"/>
  <c r="R11" i="4"/>
  <c r="R64" i="5"/>
  <c r="Q68" i="5"/>
  <c r="F12" i="4"/>
  <c r="K88" i="5"/>
  <c r="I72" i="5"/>
  <c r="J57" i="5"/>
  <c r="S81" i="1"/>
  <c r="M80" i="1"/>
  <c r="F21" i="4"/>
  <c r="U80" i="1"/>
  <c r="O94" i="1"/>
  <c r="F26" i="4"/>
  <c r="W80" i="1" s="1"/>
  <c r="S52" i="5" l="1"/>
  <c r="R56" i="5"/>
  <c r="S76" i="5"/>
  <c r="R80" i="5"/>
  <c r="S64" i="5"/>
  <c r="R68" i="5"/>
  <c r="T6" i="4"/>
  <c r="S11" i="4"/>
  <c r="F23" i="4"/>
  <c r="F24" i="4" s="1"/>
  <c r="F25" i="4" s="1"/>
  <c r="K79" i="5"/>
  <c r="K81" i="5"/>
  <c r="J71" i="5"/>
  <c r="J69" i="5"/>
  <c r="J67" i="5"/>
  <c r="J87" i="5"/>
  <c r="J55" i="5"/>
  <c r="J59" i="5"/>
  <c r="J60" i="5" s="1"/>
  <c r="T81" i="1"/>
  <c r="O95" i="1"/>
  <c r="G9" i="4"/>
  <c r="G15" i="4"/>
  <c r="T52" i="5" l="1"/>
  <c r="S56" i="5"/>
  <c r="T76" i="5"/>
  <c r="S80" i="5"/>
  <c r="U6" i="4"/>
  <c r="T11" i="4"/>
  <c r="T64" i="5"/>
  <c r="S68" i="5"/>
  <c r="J72" i="5"/>
  <c r="K87" i="5" s="1"/>
  <c r="Q80" i="1"/>
  <c r="P80" i="1"/>
  <c r="F9" i="10"/>
  <c r="K83" i="5"/>
  <c r="K84" i="5" s="1"/>
  <c r="K86" i="5"/>
  <c r="N81" i="1"/>
  <c r="O96" i="1"/>
  <c r="G16" i="4"/>
  <c r="G12" i="4"/>
  <c r="U52" i="5" l="1"/>
  <c r="T56" i="5"/>
  <c r="U76" i="5"/>
  <c r="T80" i="5"/>
  <c r="U64" i="5"/>
  <c r="T68" i="5"/>
  <c r="V6" i="4"/>
  <c r="U11" i="4"/>
  <c r="F10" i="10"/>
  <c r="L88" i="5"/>
  <c r="L83" i="5"/>
  <c r="K67" i="5"/>
  <c r="K69" i="5"/>
  <c r="K55" i="5"/>
  <c r="R82" i="1"/>
  <c r="M81" i="1"/>
  <c r="G21" i="4"/>
  <c r="O97" i="1"/>
  <c r="G17" i="4"/>
  <c r="G18" i="4" s="1"/>
  <c r="V52" i="5" l="1"/>
  <c r="U56" i="5"/>
  <c r="V76" i="5"/>
  <c r="U80" i="5"/>
  <c r="W6" i="4"/>
  <c r="V11" i="4"/>
  <c r="V64" i="5"/>
  <c r="U68" i="5"/>
  <c r="K57" i="5"/>
  <c r="L79" i="5"/>
  <c r="L81" i="5"/>
  <c r="L84" i="5" s="1"/>
  <c r="K71" i="5"/>
  <c r="K72" i="5" s="1"/>
  <c r="K59" i="5"/>
  <c r="S82" i="1"/>
  <c r="U81" i="1"/>
  <c r="G23" i="4"/>
  <c r="G24" i="4" s="1"/>
  <c r="O98" i="1"/>
  <c r="G26" i="4"/>
  <c r="W81" i="1" s="1"/>
  <c r="W52" i="5" l="1"/>
  <c r="V56" i="5"/>
  <c r="W76" i="5"/>
  <c r="V80" i="5"/>
  <c r="W64" i="5"/>
  <c r="V68" i="5"/>
  <c r="X6" i="4"/>
  <c r="W11" i="4"/>
  <c r="K60" i="5"/>
  <c r="P81" i="1"/>
  <c r="G9" i="10"/>
  <c r="M88" i="5"/>
  <c r="L67" i="5"/>
  <c r="L87" i="5"/>
  <c r="L71" i="5"/>
  <c r="L69" i="5"/>
  <c r="L86" i="5"/>
  <c r="L55" i="5"/>
  <c r="T82" i="1"/>
  <c r="O99" i="1"/>
  <c r="H16" i="4"/>
  <c r="G25" i="4"/>
  <c r="X52" i="5" l="1"/>
  <c r="W56" i="5"/>
  <c r="X76" i="5"/>
  <c r="W80" i="5"/>
  <c r="Y6" i="4"/>
  <c r="X11" i="4"/>
  <c r="X64" i="5"/>
  <c r="W68" i="5"/>
  <c r="Q81" i="1"/>
  <c r="G10" i="10"/>
  <c r="E10" i="8"/>
  <c r="L72" i="5"/>
  <c r="L59" i="5"/>
  <c r="L57" i="5"/>
  <c r="O100" i="1"/>
  <c r="H15" i="4"/>
  <c r="H9" i="4"/>
  <c r="Y52" i="5" l="1"/>
  <c r="Y56" i="5" s="1"/>
  <c r="X56" i="5"/>
  <c r="Y76" i="5"/>
  <c r="Y80" i="5" s="1"/>
  <c r="X80" i="5"/>
  <c r="Y64" i="5"/>
  <c r="Y68" i="5" s="1"/>
  <c r="X68" i="5"/>
  <c r="Z6" i="4"/>
  <c r="Z11" i="4" s="1"/>
  <c r="A14" i="1" s="1"/>
  <c r="Y11" i="4"/>
  <c r="M81" i="5"/>
  <c r="M79" i="5"/>
  <c r="M87" i="5"/>
  <c r="M67" i="5"/>
  <c r="M69" i="5"/>
  <c r="M55" i="5"/>
  <c r="L60" i="5"/>
  <c r="N82" i="1"/>
  <c r="H12" i="4"/>
  <c r="H17" i="4"/>
  <c r="H18" i="4" s="1"/>
  <c r="D28" i="5" l="1"/>
  <c r="M83" i="5"/>
  <c r="M84" i="5" s="1"/>
  <c r="D25" i="5"/>
  <c r="D26" i="5"/>
  <c r="C26" i="5"/>
  <c r="C25" i="5"/>
  <c r="M71" i="5"/>
  <c r="M72" i="5" s="1"/>
  <c r="C28" i="5"/>
  <c r="B28" i="5"/>
  <c r="M86" i="5"/>
  <c r="M57" i="5"/>
  <c r="I9" i="4"/>
  <c r="R83" i="1"/>
  <c r="M82" i="1"/>
  <c r="H21" i="4"/>
  <c r="H23" i="4" s="1"/>
  <c r="H24" i="4" s="1"/>
  <c r="H9" i="10" s="1"/>
  <c r="U82" i="1"/>
  <c r="H26" i="4"/>
  <c r="W82" i="1" s="1"/>
  <c r="I15" i="4"/>
  <c r="H10" i="10" l="1"/>
  <c r="N88" i="5"/>
  <c r="D27" i="5"/>
  <c r="N87" i="5"/>
  <c r="C27" i="5"/>
  <c r="B25" i="5"/>
  <c r="M59" i="5"/>
  <c r="M60" i="5" s="1"/>
  <c r="B26" i="5"/>
  <c r="N83" i="1"/>
  <c r="S83" i="1"/>
  <c r="P82" i="1"/>
  <c r="H25" i="4"/>
  <c r="I16" i="4"/>
  <c r="Q82" i="1" l="1"/>
  <c r="N79" i="5"/>
  <c r="N81" i="5"/>
  <c r="N69" i="5"/>
  <c r="N67" i="5"/>
  <c r="N57" i="5"/>
  <c r="N86" i="5"/>
  <c r="B27" i="5"/>
  <c r="R84" i="1"/>
  <c r="T83" i="1"/>
  <c r="I17" i="4"/>
  <c r="I18" i="4" s="1"/>
  <c r="N59" i="5" l="1"/>
  <c r="N60" i="5" s="1"/>
  <c r="O86" i="5" s="1"/>
  <c r="N83" i="5"/>
  <c r="N84" i="5" s="1"/>
  <c r="O88" i="5" s="1"/>
  <c r="N71" i="5"/>
  <c r="N55" i="5"/>
  <c r="S84" i="1"/>
  <c r="M83" i="1"/>
  <c r="I21" i="4"/>
  <c r="I23" i="4" s="1"/>
  <c r="I24" i="4" s="1"/>
  <c r="I9" i="10" s="1"/>
  <c r="I10" i="10" s="1"/>
  <c r="U83" i="1"/>
  <c r="I26" i="4"/>
  <c r="W83" i="1" s="1"/>
  <c r="I12" i="4"/>
  <c r="O79" i="5" l="1"/>
  <c r="O81" i="5"/>
  <c r="N72" i="5"/>
  <c r="O87" i="5" s="1"/>
  <c r="O69" i="5"/>
  <c r="T84" i="1"/>
  <c r="P83" i="1"/>
  <c r="J9" i="4"/>
  <c r="I25" i="4"/>
  <c r="J15" i="4"/>
  <c r="O67" i="5" l="1"/>
  <c r="O71" i="5"/>
  <c r="O83" i="5"/>
  <c r="O84" i="5" s="1"/>
  <c r="P88" i="5" s="1"/>
  <c r="P81" i="5"/>
  <c r="P79" i="5"/>
  <c r="P83" i="5"/>
  <c r="O55" i="5"/>
  <c r="O57" i="5"/>
  <c r="N84" i="1"/>
  <c r="Q83" i="1"/>
  <c r="J16" i="4"/>
  <c r="O72" i="5" l="1"/>
  <c r="P87" i="5" s="1"/>
  <c r="P84" i="5"/>
  <c r="Q88" i="5" s="1"/>
  <c r="P69" i="5"/>
  <c r="P67" i="5"/>
  <c r="R85" i="1"/>
  <c r="J17" i="4"/>
  <c r="J18" i="4" s="1"/>
  <c r="Q81" i="5" l="1"/>
  <c r="P71" i="5"/>
  <c r="O59" i="5"/>
  <c r="O60" i="5" s="1"/>
  <c r="P86" i="5" s="1"/>
  <c r="S85" i="1"/>
  <c r="M84" i="1"/>
  <c r="J21" i="4"/>
  <c r="J23" i="4" s="1"/>
  <c r="J24" i="4" s="1"/>
  <c r="J9" i="10" s="1"/>
  <c r="J10" i="10" s="1"/>
  <c r="U84" i="1"/>
  <c r="J26" i="4"/>
  <c r="W84" i="1" s="1"/>
  <c r="J12" i="4"/>
  <c r="Q69" i="5" l="1"/>
  <c r="P55" i="5"/>
  <c r="P57" i="5"/>
  <c r="Q79" i="5"/>
  <c r="Q83" i="5"/>
  <c r="Q84" i="5" s="1"/>
  <c r="R88" i="5" s="1"/>
  <c r="Q71" i="5"/>
  <c r="P72" i="5"/>
  <c r="Q87" i="5" s="1"/>
  <c r="Q67" i="5"/>
  <c r="P59" i="5"/>
  <c r="T85" i="1"/>
  <c r="P84" i="1"/>
  <c r="K9" i="4"/>
  <c r="J25" i="4"/>
  <c r="K15" i="4"/>
  <c r="Q72" i="5" l="1"/>
  <c r="R87" i="5" s="1"/>
  <c r="P60" i="5"/>
  <c r="Q86" i="5" s="1"/>
  <c r="Q55" i="5"/>
  <c r="N85" i="1"/>
  <c r="Q84" i="1"/>
  <c r="K16" i="4"/>
  <c r="Q57" i="5" l="1"/>
  <c r="R86" i="1"/>
  <c r="K17" i="4"/>
  <c r="K18" i="4" s="1"/>
  <c r="R79" i="5" l="1"/>
  <c r="R83" i="5"/>
  <c r="R81" i="5"/>
  <c r="R67" i="5"/>
  <c r="R71" i="5"/>
  <c r="R69" i="5"/>
  <c r="R55" i="5"/>
  <c r="Q59" i="5"/>
  <c r="Q60" i="5" s="1"/>
  <c r="R86" i="5" s="1"/>
  <c r="R57" i="5"/>
  <c r="S86" i="1"/>
  <c r="U85" i="1"/>
  <c r="M85" i="1"/>
  <c r="K21" i="4"/>
  <c r="K23" i="4" s="1"/>
  <c r="K24" i="4" s="1"/>
  <c r="K9" i="10" s="1"/>
  <c r="K10" i="10" s="1"/>
  <c r="L9" i="4"/>
  <c r="L15" i="4"/>
  <c r="K26" i="4"/>
  <c r="W85" i="1" s="1"/>
  <c r="K12" i="4"/>
  <c r="R72" i="5" l="1"/>
  <c r="S87" i="5" s="1"/>
  <c r="R84" i="5"/>
  <c r="S88" i="5" s="1"/>
  <c r="R59" i="5"/>
  <c r="R60" i="5" s="1"/>
  <c r="S86" i="5" s="1"/>
  <c r="N86" i="1"/>
  <c r="T86" i="1"/>
  <c r="P85" i="1"/>
  <c r="L16" i="4"/>
  <c r="K25" i="4"/>
  <c r="S83" i="5" l="1"/>
  <c r="S81" i="5"/>
  <c r="S69" i="5"/>
  <c r="S59" i="5"/>
  <c r="S57" i="5"/>
  <c r="S55" i="5"/>
  <c r="R87" i="1"/>
  <c r="Q85" i="1"/>
  <c r="L17" i="4"/>
  <c r="L18" i="4" s="1"/>
  <c r="S60" i="5" l="1"/>
  <c r="T86" i="5" s="1"/>
  <c r="S84" i="5"/>
  <c r="T88" i="5" s="1"/>
  <c r="S79" i="5"/>
  <c r="S71" i="5"/>
  <c r="S72" i="5" s="1"/>
  <c r="T87" i="5" s="1"/>
  <c r="S67" i="5"/>
  <c r="S87" i="1"/>
  <c r="M86" i="1"/>
  <c r="L21" i="4"/>
  <c r="L23" i="4" s="1"/>
  <c r="L24" i="4" s="1"/>
  <c r="L9" i="10" s="1"/>
  <c r="L10" i="10" s="1"/>
  <c r="U86" i="1"/>
  <c r="M15" i="4"/>
  <c r="L26" i="4"/>
  <c r="W86" i="1" s="1"/>
  <c r="L12" i="4"/>
  <c r="T87" i="1" l="1"/>
  <c r="P86" i="1"/>
  <c r="L25" i="4"/>
  <c r="M16" i="4"/>
  <c r="T83" i="5" l="1"/>
  <c r="T81" i="5"/>
  <c r="T79" i="5"/>
  <c r="T69" i="5"/>
  <c r="T67" i="5"/>
  <c r="T59" i="5"/>
  <c r="T55" i="5"/>
  <c r="T57" i="5"/>
  <c r="M87" i="1"/>
  <c r="M21" i="4"/>
  <c r="Q86" i="1"/>
  <c r="M12" i="4"/>
  <c r="M17" i="4"/>
  <c r="M18" i="4" s="1"/>
  <c r="M9" i="4"/>
  <c r="T84" i="5" l="1"/>
  <c r="U88" i="5" s="1"/>
  <c r="T71" i="5"/>
  <c r="T72" i="5" s="1"/>
  <c r="T60" i="5"/>
  <c r="N87" i="1"/>
  <c r="R88" i="1"/>
  <c r="U87" i="1"/>
  <c r="M23" i="4"/>
  <c r="M24" i="4" s="1"/>
  <c r="M9" i="10" s="1"/>
  <c r="M10" i="10" s="1"/>
  <c r="M26" i="4"/>
  <c r="W87" i="1" s="1"/>
  <c r="U67" i="5" l="1"/>
  <c r="U87" i="5"/>
  <c r="U86" i="5"/>
  <c r="U57" i="5"/>
  <c r="P87" i="1"/>
  <c r="N15" i="4"/>
  <c r="M25" i="4"/>
  <c r="U71" i="5" l="1"/>
  <c r="U69" i="5"/>
  <c r="U79" i="5"/>
  <c r="U83" i="5"/>
  <c r="U81" i="5"/>
  <c r="U59" i="5"/>
  <c r="U60" i="5" s="1"/>
  <c r="U55" i="5"/>
  <c r="S88" i="1"/>
  <c r="Q87" i="1"/>
  <c r="N16" i="4"/>
  <c r="U72" i="5" l="1"/>
  <c r="V87" i="5" s="1"/>
  <c r="U84" i="5"/>
  <c r="V88" i="5" s="1"/>
  <c r="V69" i="5"/>
  <c r="V67" i="5"/>
  <c r="V86" i="5"/>
  <c r="T88" i="1"/>
  <c r="N17" i="4"/>
  <c r="N18" i="4" s="1"/>
  <c r="C10" i="9" s="1"/>
  <c r="N9" i="4"/>
  <c r="C14" i="6" l="1"/>
  <c r="C30" i="7"/>
  <c r="C7" i="9"/>
  <c r="R89" i="1"/>
  <c r="C29" i="7"/>
  <c r="F21" i="11"/>
  <c r="V71" i="5"/>
  <c r="V72" i="5" s="1"/>
  <c r="N88" i="1"/>
  <c r="C13" i="6"/>
  <c r="M88" i="1"/>
  <c r="N21" i="4"/>
  <c r="U88" i="1"/>
  <c r="N26" i="4"/>
  <c r="C33" i="7" s="1"/>
  <c r="N12" i="4"/>
  <c r="N23" i="4" l="1"/>
  <c r="N24" i="4" s="1"/>
  <c r="N25" i="4" s="1"/>
  <c r="C21" i="9" s="1"/>
  <c r="C8" i="9"/>
  <c r="C15" i="6"/>
  <c r="C31" i="7"/>
  <c r="S89" i="1"/>
  <c r="V81" i="5"/>
  <c r="V79" i="5"/>
  <c r="W87" i="5"/>
  <c r="W69" i="5"/>
  <c r="V59" i="5"/>
  <c r="V57" i="5"/>
  <c r="V55" i="5"/>
  <c r="W88" i="1"/>
  <c r="C16" i="6"/>
  <c r="O15" i="4"/>
  <c r="P88" i="1" l="1"/>
  <c r="C17" i="6"/>
  <c r="N9" i="10"/>
  <c r="N10" i="10" s="1"/>
  <c r="C32" i="7"/>
  <c r="T89" i="1"/>
  <c r="C9" i="9"/>
  <c r="V83" i="5"/>
  <c r="V84" i="5" s="1"/>
  <c r="W88" i="5" s="1"/>
  <c r="W67" i="5"/>
  <c r="W71" i="5"/>
  <c r="W72" i="5" s="1"/>
  <c r="V60" i="5"/>
  <c r="Q88" i="1"/>
  <c r="O16" i="4"/>
  <c r="C11" i="9" l="1"/>
  <c r="W79" i="5"/>
  <c r="W81" i="5"/>
  <c r="X87" i="5"/>
  <c r="W86" i="5"/>
  <c r="O17" i="4"/>
  <c r="O18" i="4" s="1"/>
  <c r="O9" i="4"/>
  <c r="W55" i="5" l="1"/>
  <c r="W57" i="5"/>
  <c r="C18" i="9"/>
  <c r="C12" i="9"/>
  <c r="W83" i="5"/>
  <c r="W84" i="5" s="1"/>
  <c r="X88" i="5" s="1"/>
  <c r="X69" i="5"/>
  <c r="W59" i="5"/>
  <c r="N89" i="1"/>
  <c r="M89" i="1"/>
  <c r="O21" i="4"/>
  <c r="U89" i="1"/>
  <c r="R90" i="1"/>
  <c r="O26" i="4"/>
  <c r="W89" i="1" s="1"/>
  <c r="O12" i="4"/>
  <c r="X67" i="5" l="1"/>
  <c r="X71" i="5"/>
  <c r="X72" i="5" s="1"/>
  <c r="W60" i="5"/>
  <c r="C19" i="9"/>
  <c r="O23" i="4"/>
  <c r="O24" i="4" s="1"/>
  <c r="O9" i="10" s="1"/>
  <c r="O10" i="10" s="1"/>
  <c r="X86" i="5"/>
  <c r="P15" i="4"/>
  <c r="O25" i="4" l="1"/>
  <c r="Q89" i="1" s="1"/>
  <c r="P89" i="1"/>
  <c r="X81" i="5"/>
  <c r="X79" i="5"/>
  <c r="Y69" i="5"/>
  <c r="Y87" i="5"/>
  <c r="X57" i="5"/>
  <c r="X55" i="5"/>
  <c r="S90" i="1"/>
  <c r="P16" i="4"/>
  <c r="P9" i="4"/>
  <c r="X83" i="5" l="1"/>
  <c r="X84" i="5" s="1"/>
  <c r="Y88" i="5" s="1"/>
  <c r="Y67" i="5"/>
  <c r="C33" i="5" s="1"/>
  <c r="X59" i="5"/>
  <c r="X60" i="5" s="1"/>
  <c r="N90" i="1"/>
  <c r="T91" i="1"/>
  <c r="T90" i="1"/>
  <c r="S91" i="1"/>
  <c r="R91" i="1"/>
  <c r="P17" i="4"/>
  <c r="P18" i="4" s="1"/>
  <c r="Y79" i="5" l="1"/>
  <c r="D33" i="5" s="1"/>
  <c r="Y81" i="5"/>
  <c r="Y71" i="5"/>
  <c r="Y72" i="5" s="1"/>
  <c r="C31" i="5"/>
  <c r="C30" i="5"/>
  <c r="C19" i="5"/>
  <c r="Y86" i="5"/>
  <c r="Y55" i="5"/>
  <c r="B33" i="5" s="1"/>
  <c r="Y57" i="5"/>
  <c r="U90" i="1"/>
  <c r="M90" i="1"/>
  <c r="P21" i="4"/>
  <c r="Q15" i="4"/>
  <c r="P26" i="4"/>
  <c r="W90" i="1" s="1"/>
  <c r="P12" i="4"/>
  <c r="P23" i="4" l="1"/>
  <c r="P24" i="4" s="1"/>
  <c r="P9" i="10" s="1"/>
  <c r="P10" i="10" s="1"/>
  <c r="Y83" i="5"/>
  <c r="D30" i="5"/>
  <c r="D31" i="5"/>
  <c r="Y84" i="5"/>
  <c r="D19" i="5"/>
  <c r="Z87" i="5"/>
  <c r="C32" i="5"/>
  <c r="Y59" i="5"/>
  <c r="Y60" i="5" s="1"/>
  <c r="B30" i="5"/>
  <c r="B31" i="5"/>
  <c r="B19" i="5"/>
  <c r="E9" i="1" s="1"/>
  <c r="Q16" i="4"/>
  <c r="P25" i="4" l="1"/>
  <c r="P90" i="1"/>
  <c r="D32" i="5"/>
  <c r="Z88" i="5"/>
  <c r="C35" i="5"/>
  <c r="C36" i="5"/>
  <c r="Z86" i="5"/>
  <c r="B32" i="5"/>
  <c r="Q90" i="1"/>
  <c r="Q17" i="4"/>
  <c r="Q18" i="4" s="1"/>
  <c r="Q9" i="4"/>
  <c r="N91" i="1" s="1"/>
  <c r="D36" i="5" l="1"/>
  <c r="D35" i="5"/>
  <c r="B36" i="5"/>
  <c r="B35" i="5"/>
  <c r="M91" i="1"/>
  <c r="Q21" i="4"/>
  <c r="U91" i="1"/>
  <c r="R92" i="1"/>
  <c r="Q26" i="4"/>
  <c r="W91" i="1" s="1"/>
  <c r="Q12" i="4"/>
  <c r="Q23" i="4" l="1"/>
  <c r="Q24" i="4" s="1"/>
  <c r="Q9" i="10" s="1"/>
  <c r="Q10" i="10" s="1"/>
  <c r="R15" i="4"/>
  <c r="S92" i="1"/>
  <c r="Q25" i="4" l="1"/>
  <c r="Q91" i="1" s="1"/>
  <c r="P91" i="1"/>
  <c r="R16" i="4"/>
  <c r="R9" i="4" l="1"/>
  <c r="N92" i="1" s="1"/>
  <c r="T92" i="1"/>
  <c r="R17" i="4"/>
  <c r="R18" i="4" s="1"/>
  <c r="U92" i="1" l="1"/>
  <c r="M92" i="1"/>
  <c r="R21" i="4"/>
  <c r="R93" i="1"/>
  <c r="R26" i="4"/>
  <c r="W92" i="1" s="1"/>
  <c r="R12" i="4"/>
  <c r="R23" i="4" l="1"/>
  <c r="R24" i="4" s="1"/>
  <c r="R9" i="10" s="1"/>
  <c r="R10" i="10" s="1"/>
  <c r="S93" i="1"/>
  <c r="S15" i="4"/>
  <c r="R25" i="4" l="1"/>
  <c r="Q92" i="1" s="1"/>
  <c r="P92" i="1"/>
  <c r="T93" i="1"/>
  <c r="S16" i="4"/>
  <c r="M93" i="1" l="1"/>
  <c r="S9" i="4"/>
  <c r="N93" i="1" s="1"/>
  <c r="S17" i="4"/>
  <c r="S18" i="4" s="1"/>
  <c r="S26" i="4" l="1"/>
  <c r="W93" i="1" s="1"/>
  <c r="S12" i="4"/>
  <c r="R94" i="1"/>
  <c r="S21" i="4"/>
  <c r="U93" i="1"/>
  <c r="S23" i="4" l="1"/>
  <c r="S24" i="4" s="1"/>
  <c r="S25" i="4" s="1"/>
  <c r="Q93" i="1" s="1"/>
  <c r="S94" i="1"/>
  <c r="T15" i="4"/>
  <c r="P93" i="1" l="1"/>
  <c r="S9" i="10"/>
  <c r="S10" i="10" s="1"/>
  <c r="T94" i="1"/>
  <c r="T16" i="4"/>
  <c r="T9" i="4" l="1"/>
  <c r="N94" i="1" s="1"/>
  <c r="T17" i="4"/>
  <c r="T18" i="4" s="1"/>
  <c r="U94" i="1" s="1"/>
  <c r="T21" i="4" l="1"/>
  <c r="T23" i="4" s="1"/>
  <c r="T24" i="4" s="1"/>
  <c r="F22" i="11"/>
  <c r="T12" i="4"/>
  <c r="M94" i="1"/>
  <c r="T26" i="4"/>
  <c r="W94" i="1" s="1"/>
  <c r="R95" i="1"/>
  <c r="P94" i="1" l="1"/>
  <c r="T9" i="10"/>
  <c r="T10" i="10" s="1"/>
  <c r="T25" i="4"/>
  <c r="Q94" i="1" s="1"/>
  <c r="S95" i="1"/>
  <c r="U15" i="4"/>
  <c r="U16" i="4" l="1"/>
  <c r="T95" i="1"/>
  <c r="U12" i="4" l="1"/>
  <c r="U9" i="4"/>
  <c r="N95" i="1" s="1"/>
  <c r="U17" i="4"/>
  <c r="U18" i="4" s="1"/>
  <c r="U26" i="4" l="1"/>
  <c r="W95" i="1" s="1"/>
  <c r="U21" i="4"/>
  <c r="U23" i="4" s="1"/>
  <c r="U24" i="4" s="1"/>
  <c r="U9" i="10" s="1"/>
  <c r="U10" i="10" s="1"/>
  <c r="M95" i="1"/>
  <c r="U95" i="1"/>
  <c r="R96" i="1"/>
  <c r="P95" i="1" l="1"/>
  <c r="U25" i="4"/>
  <c r="Q95" i="1" s="1"/>
  <c r="S96" i="1"/>
  <c r="V15" i="4"/>
  <c r="T96" i="1" l="1"/>
  <c r="V16" i="4"/>
  <c r="M96" i="1" l="1"/>
  <c r="V9" i="4"/>
  <c r="N96" i="1" s="1"/>
  <c r="V17" i="4"/>
  <c r="V18" i="4" s="1"/>
  <c r="U96" i="1" s="1"/>
  <c r="R97" i="1"/>
  <c r="V12" i="4" l="1"/>
  <c r="V21" i="4"/>
  <c r="V23" i="4" s="1"/>
  <c r="V24" i="4" s="1"/>
  <c r="V26" i="4"/>
  <c r="W96" i="1" s="1"/>
  <c r="W15" i="4"/>
  <c r="S97" i="1"/>
  <c r="V25" i="4" l="1"/>
  <c r="V9" i="10"/>
  <c r="V10" i="10" s="1"/>
  <c r="P96" i="1"/>
  <c r="Q96" i="1"/>
  <c r="W16" i="4"/>
  <c r="T97" i="1"/>
  <c r="W17" i="4" l="1"/>
  <c r="W18" i="4" s="1"/>
  <c r="W9" i="4"/>
  <c r="N97" i="1" s="1"/>
  <c r="M97" i="1" l="1"/>
  <c r="W21" i="4"/>
  <c r="W23" i="4" s="1"/>
  <c r="W24" i="4" s="1"/>
  <c r="W9" i="10" s="1"/>
  <c r="W10" i="10" s="1"/>
  <c r="U97" i="1"/>
  <c r="R98" i="1"/>
  <c r="W26" i="4"/>
  <c r="W97" i="1" s="1"/>
  <c r="W12" i="4"/>
  <c r="P97" i="1" l="1"/>
  <c r="W25" i="4"/>
  <c r="X15" i="4"/>
  <c r="S98" i="1"/>
  <c r="Q97" i="1" l="1"/>
  <c r="X16" i="4"/>
  <c r="T98" i="1"/>
  <c r="X17" i="4" l="1"/>
  <c r="X18" i="4" s="1"/>
  <c r="X9" i="4"/>
  <c r="N98" i="1" s="1"/>
  <c r="M98" i="1" l="1"/>
  <c r="X21" i="4"/>
  <c r="X23" i="4" s="1"/>
  <c r="X24" i="4" s="1"/>
  <c r="X9" i="10" s="1"/>
  <c r="X10" i="10" s="1"/>
  <c r="U98" i="1"/>
  <c r="R99" i="1"/>
  <c r="X26" i="4"/>
  <c r="W98" i="1" s="1"/>
  <c r="X12" i="4"/>
  <c r="P98" i="1" l="1"/>
  <c r="X25" i="4"/>
  <c r="Y15" i="4"/>
  <c r="S99" i="1"/>
  <c r="Q98" i="1" l="1"/>
  <c r="Y16" i="4"/>
  <c r="Y9" i="4" l="1"/>
  <c r="N99" i="1" s="1"/>
  <c r="T99" i="1"/>
  <c r="Y17" i="4"/>
  <c r="Y18" i="4" s="1"/>
  <c r="R100" i="1" l="1"/>
  <c r="U99" i="1"/>
  <c r="M99" i="1"/>
  <c r="Y21" i="4"/>
  <c r="Y23" i="4" s="1"/>
  <c r="Y24" i="4" s="1"/>
  <c r="Y9" i="10" s="1"/>
  <c r="Y10" i="10" s="1"/>
  <c r="Y26" i="4"/>
  <c r="W99" i="1" s="1"/>
  <c r="Y12" i="4"/>
  <c r="S100" i="1" l="1"/>
  <c r="Z15" i="4"/>
  <c r="P99" i="1"/>
  <c r="Y25" i="4"/>
  <c r="T100" i="1" l="1"/>
  <c r="Z16" i="4"/>
  <c r="Q99" i="1"/>
  <c r="Z9" i="4" l="1"/>
  <c r="Z17" i="4"/>
  <c r="Z18" i="4" s="1"/>
  <c r="D10" i="9" s="1"/>
  <c r="E10" i="9" s="1"/>
  <c r="D30" i="7" l="1"/>
  <c r="D11" i="8"/>
  <c r="A15" i="1"/>
  <c r="D10" i="8"/>
  <c r="D7" i="9"/>
  <c r="C14" i="1"/>
  <c r="D29" i="7"/>
  <c r="C11" i="8"/>
  <c r="E11" i="8" s="1"/>
  <c r="Z21" i="4"/>
  <c r="D14" i="6"/>
  <c r="N100" i="1"/>
  <c r="D13" i="6"/>
  <c r="Z12" i="4"/>
  <c r="M100" i="1"/>
  <c r="U100" i="1"/>
  <c r="Z26" i="4"/>
  <c r="E7" i="9" l="1"/>
  <c r="Z23" i="4"/>
  <c r="Z24" i="4" s="1"/>
  <c r="D17" i="6" s="1"/>
  <c r="D8" i="9"/>
  <c r="E8" i="9" s="1"/>
  <c r="D15" i="6"/>
  <c r="D31" i="7"/>
  <c r="I14" i="1"/>
  <c r="C29" i="11"/>
  <c r="E29" i="11" s="1"/>
  <c r="D33" i="7"/>
  <c r="W100" i="1"/>
  <c r="D16" i="6"/>
  <c r="C21" i="5"/>
  <c r="C22" i="6" s="1"/>
  <c r="D22" i="6" s="1"/>
  <c r="E22" i="6" s="1"/>
  <c r="D21" i="5"/>
  <c r="C23" i="6" s="1"/>
  <c r="D23" i="6" s="1"/>
  <c r="E23" i="6" s="1"/>
  <c r="B21" i="5"/>
  <c r="Z25" i="4" l="1"/>
  <c r="Q100" i="1" s="1"/>
  <c r="D32" i="7"/>
  <c r="Z9" i="10"/>
  <c r="C34" i="7" a="1"/>
  <c r="C34" i="7" s="1"/>
  <c r="C17" i="10" a="1"/>
  <c r="C17" i="10" s="1"/>
  <c r="F20" i="11" a="1"/>
  <c r="F20" i="11" s="1"/>
  <c r="G9" i="1" a="1"/>
  <c r="G9" i="1" s="1"/>
  <c r="P100" i="1"/>
  <c r="D9" i="9"/>
  <c r="A9" i="1"/>
  <c r="C9" i="1" s="1"/>
  <c r="C10" i="1" s="1"/>
  <c r="C21" i="6"/>
  <c r="D21" i="6" s="1"/>
  <c r="E21" i="6" s="1"/>
  <c r="F23" i="11"/>
  <c r="C36" i="7"/>
  <c r="C37" i="7" s="1"/>
  <c r="D37" i="7" s="1"/>
  <c r="B22" i="5"/>
  <c r="N103" i="1"/>
  <c r="N105" i="1"/>
  <c r="D22" i="5"/>
  <c r="C22" i="5"/>
  <c r="N104" i="1"/>
  <c r="D21" i="9" l="1"/>
  <c r="C15" i="10"/>
  <c r="Z10" i="10"/>
  <c r="D11" i="9"/>
  <c r="E9" i="9"/>
  <c r="C23" i="5"/>
  <c r="O104" i="1"/>
  <c r="O105" i="1"/>
  <c r="D23" i="5"/>
  <c r="B23" i="5"/>
  <c r="B33" i="6" s="1"/>
  <c r="O103" i="1"/>
  <c r="D18" i="9" l="1"/>
  <c r="E11" i="9"/>
  <c r="D12" i="9"/>
  <c r="C14" i="10"/>
  <c r="I9" i="1"/>
  <c r="G13" i="10"/>
  <c r="C30" i="11"/>
  <c r="E30" i="11" s="1"/>
  <c r="I10" i="1"/>
  <c r="C13" i="10"/>
  <c r="E18" i="9" l="1"/>
  <c r="D19" i="9"/>
  <c r="C22" i="9" l="1"/>
  <c r="E1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santos</author>
  </authors>
  <commentList>
    <comment ref="B11" authorId="0" shapeId="0" xr:uid="{40A1D7F6-FE26-A948-9DCC-615173564204}">
      <text>
        <r>
          <rPr>
            <b/>
            <sz val="10"/>
            <color rgb="FF000000"/>
            <rFont val="Tahoma"/>
            <family val="2"/>
          </rPr>
          <t>carlos santos:</t>
        </r>
        <r>
          <rPr>
            <sz val="10"/>
            <color rgb="FF000000"/>
            <rFont val="Tahoma"/>
            <family val="2"/>
          </rPr>
          <t xml:space="preserve">
Source: Anthropic pricing, https://www.anthropic.com/pricing — Haiku 4.5 $1/MTok input</t>
        </r>
      </text>
    </comment>
    <comment ref="B12" authorId="0" shapeId="0" xr:uid="{9BB9BC61-ED39-B147-BDF7-4B8117A561E2}">
      <text>
        <r>
          <rPr>
            <b/>
            <sz val="10"/>
            <color rgb="FF000000"/>
            <rFont val="Tahoma"/>
            <family val="2"/>
          </rPr>
          <t>carlos santos:</t>
        </r>
        <r>
          <rPr>
            <sz val="10"/>
            <color rgb="FF000000"/>
            <rFont val="Tahoma"/>
            <family val="2"/>
          </rPr>
          <t xml:space="preserve">
Source: Anthropic pricing, https://www.anthropic.com/pricing — Haiku 4.5 $5/MTok output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<sst xmlns="http://schemas.openxmlformats.org/spreadsheetml/2006/main" count="814" uniqueCount="659">
  <si>
    <t>Pagantes M12</t>
  </si>
  <si>
    <t>Pagantes M24</t>
  </si>
  <si>
    <t>Indicador</t>
  </si>
  <si>
    <t>Conservador</t>
  </si>
  <si>
    <t>Base (padrão)</t>
  </si>
  <si>
    <t>Otimista</t>
  </si>
  <si>
    <t>CAC Real (full-loaded)</t>
  </si>
  <si>
    <t>Vida média (meses)</t>
  </si>
  <si>
    <t>1 ÷ churn mensal</t>
  </si>
  <si>
    <t>LTV Essencial</t>
  </si>
  <si>
    <t>Margem × vida média</t>
  </si>
  <si>
    <t>LTV / CAC</t>
  </si>
  <si>
    <t>≥3× ok · ≥8× top quartile</t>
  </si>
  <si>
    <t>Payback CAC (meses)</t>
  </si>
  <si>
    <t>TOTAL PAGANTES</t>
  </si>
  <si>
    <t>← Selecione: Conservador / Base / Otimista</t>
  </si>
  <si>
    <t>Coluna das premissas (uso interno — não edite)</t>
  </si>
  <si>
    <t>Premissas resolvidas para o cenário selecionado</t>
  </si>
  <si>
    <t>── PREÇOS ──</t>
  </si>
  <si>
    <t>Preço Essencial</t>
  </si>
  <si>
    <t>← Premissas!Preço Essencial (linha 5)</t>
  </si>
  <si>
    <t>Preço Autônoma</t>
  </si>
  <si>
    <t>← Premissas!Preço Autônoma (linha 6)</t>
  </si>
  <si>
    <t>Preço Livre</t>
  </si>
  <si>
    <t>← Premissas!Preço Livre (linha 7)</t>
  </si>
  <si>
    <t>── API ──</t>
  </si>
  <si>
    <t>Câmbio USD/BRL</t>
  </si>
  <si>
    <t>Sonnet Input $/MTok</t>
  </si>
  <si>
    <t>Sonnet Output $/MTok</t>
  </si>
  <si>
    <t>Desconto Caching</t>
  </si>
  <si>
    <t>── USO ──</t>
  </si>
  <si>
    <t>Free: interações/mês</t>
  </si>
  <si>
    <t>← Premissas!Free: interações/mês (LIMITE) (linha 14)</t>
  </si>
  <si>
    <t>Free: tokens input</t>
  </si>
  <si>
    <t>← Premissas!Free: tokens input/interação (linha 15)</t>
  </si>
  <si>
    <t>Free: tokens output</t>
  </si>
  <si>
    <t>← Premissas!Free: tokens output/interação (linha 16)</t>
  </si>
  <si>
    <t>Free: % ativas/mês</t>
  </si>
  <si>
    <t>← Premissas!Free: % usuárias ativas/mês (linha 17)</t>
  </si>
  <si>
    <t>Essencial: interações/mês</t>
  </si>
  <si>
    <t>← Premissas!Essencial: interações chat/mês (linha 18)</t>
  </si>
  <si>
    <t>Essencial: tokens input</t>
  </si>
  <si>
    <t>← Premissas!Essencial: tokens input/interação (linha 19)</t>
  </si>
  <si>
    <t>Essencial: tokens output</t>
  </si>
  <si>
    <t>← Premissas!Essencial: tokens output/interação (linha 20)</t>
  </si>
  <si>
    <t>Autônoma: sessões agente/mês</t>
  </si>
  <si>
    <t>← Premissas!Autônoma: sessões agente/mês (linha 22)</t>
  </si>
  <si>
    <t>Autônoma: tokens input/sessão</t>
  </si>
  <si>
    <t>← Premissas!Autônoma: tokens input/sessão agente (linha 23)</t>
  </si>
  <si>
    <t>Autônoma: tokens output/sessão</t>
  </si>
  <si>
    <t>← Premissas!Autônoma: tokens output/sessão agente (linha 24)</t>
  </si>
  <si>
    <t>Livre: sessões totais/mês</t>
  </si>
  <si>
    <t>← Premissas!Livre: sessões totais agentes/mês (linha 26)</t>
  </si>
  <si>
    <t>── CRESCIMENTO ──</t>
  </si>
  <si>
    <t>Free leads M1–12</t>
  </si>
  <si>
    <t>← Premissas!Crescimento Free M1–12 (leads/mês) (linha 28)</t>
  </si>
  <si>
    <t>Free leads M13–24</t>
  </si>
  <si>
    <t>← Premissas!Crescimento Free M13–24 (leads/mês) (linha 29)</t>
  </si>
  <si>
    <t>Conv. Free→Essencial</t>
  </si>
  <si>
    <t>← Premissas!Conversão Free → Essencial (%) (linha 31)</t>
  </si>
  <si>
    <t>Churn Essencial/mês</t>
  </si>
  <si>
    <t>← Premissas!Churn mensal Essencial (linha 34)</t>
  </si>
  <si>
    <t>Churn Autônoma/mês</t>
  </si>
  <si>
    <t>← Premissas!Churn mensal Autônoma (linha 35)</t>
  </si>
  <si>
    <t>Churn Livre/mês</t>
  </si>
  <si>
    <t>← Premissas!Churn mensal Livre (linha 36)</t>
  </si>
  <si>
    <t>── CUSTO FIXO ──</t>
  </si>
  <si>
    <t>Equipe Ano 1</t>
  </si>
  <si>
    <t>← Premissas!Equipe Ano 1 (média/mês) (linha 38)</t>
  </si>
  <si>
    <t>Equipe Ano 2</t>
  </si>
  <si>
    <t>← Premissas!Equipe Ano 2 (média/mês) (linha 39)</t>
  </si>
  <si>
    <t>Infra Ano 1</t>
  </si>
  <si>
    <t>← Premissas!Infraestrutura Ano 1 (linha 41)</t>
  </si>
  <si>
    <t>Infra Ano 2</t>
  </si>
  <si>
    <t>← Premissas!Infraestrutura Ano 2 (linha 42)</t>
  </si>
  <si>
    <t>Marketing Ano 1</t>
  </si>
  <si>
    <t>← Premissas!Marketing base Ano 1 (linha 44)</t>
  </si>
  <si>
    <t>Marketing Ano 2</t>
  </si>
  <si>
    <t>← Premissas!Marketing base Ano 2 (linha 45)</t>
  </si>
  <si>
    <t>Outros</t>
  </si>
  <si>
    <t>← Premissas!Outros (jurídico, contab, misc.) (linha 47)</t>
  </si>
  <si>
    <t>── UNIT ECONOMICS ──</t>
  </si>
  <si>
    <t>CAC full-loaded</t>
  </si>
  <si>
    <t>← Premissas!CAC real full-loaded (R$) (linha 49)</t>
  </si>
  <si>
    <t>% aquisição via paid</t>
  </si>
  <si>
    <t>← Premissas!% aquisição via paid (linha 51)</t>
  </si>
  <si>
    <t>── VALUATION ──</t>
  </si>
  <si>
    <t>Múltiplo ARR M18</t>
  </si>
  <si>
    <t>← Premissas!Múltiplo ARR Série A (× ARR) (linha 53)</t>
  </si>
  <si>
    <t>Azul = Input editável</t>
  </si>
  <si>
    <t>Preto = Fórmula</t>
  </si>
  <si>
    <t>1 · PREÇOS DOS PLANOS (R$/mês)</t>
  </si>
  <si>
    <t>R$/mês · chat + 1 agente</t>
  </si>
  <si>
    <t>R$/mês · chat + 2 agentes</t>
  </si>
  <si>
    <t>R$ por USD</t>
  </si>
  <si>
    <t>Sonnet 4.6 Input ($/MTok)</t>
  </si>
  <si>
    <t>USD — oficial Anthropic</t>
  </si>
  <si>
    <t>Sonnet 4.6 Output ($/MTok)</t>
  </si>
  <si>
    <t>Desconto Prompt Caching (%)</t>
  </si>
  <si>
    <t>% redução no bloco fixo</t>
  </si>
  <si>
    <t>3 · USO POR PLANO — 100% SONNET 4.6</t>
  </si>
  <si>
    <t>Free: interações/mês (LIMITE)</t>
  </si>
  <si>
    <t>Sonnet · teto produto</t>
  </si>
  <si>
    <t>Free: tokens input/interação</t>
  </si>
  <si>
    <t>inclui system prompt cacheado</t>
  </si>
  <si>
    <t>Free: tokens output/interação</t>
  </si>
  <si>
    <t>resposta orientada</t>
  </si>
  <si>
    <t>Free: % usuárias ativas/mês</t>
  </si>
  <si>
    <t>% do cadastro que usa no mês</t>
  </si>
  <si>
    <t>Essencial: interações chat/mês</t>
  </si>
  <si>
    <t>ilimitado prático · 20 dias × uso</t>
  </si>
  <si>
    <t>Essencial: tokens input/interação</t>
  </si>
  <si>
    <t>contexto Noma + memória</t>
  </si>
  <si>
    <t>Essencial: tokens output/interação</t>
  </si>
  <si>
    <t>resposta + ação autônoma</t>
  </si>
  <si>
    <t>Autônoma: chat (= Essencial)</t>
  </si>
  <si>
    <t>chat ilimitado Sonnet</t>
  </si>
  <si>
    <t>sessões profundas com 1 agente</t>
  </si>
  <si>
    <t>Autônoma: tokens input/sessão agente</t>
  </si>
  <si>
    <t>contexto resolução + memória</t>
  </si>
  <si>
    <t>Autônoma: tokens output/sessão agente</t>
  </si>
  <si>
    <t>resolução completa + confirmação</t>
  </si>
  <si>
    <t>Livre: chat (= Essencial)</t>
  </si>
  <si>
    <t>Livre: sessões totais agentes/mês</t>
  </si>
  <si>
    <t>2 agentes · mais que Autônoma</t>
  </si>
  <si>
    <t>4 · CRESCIMENTO DA BASE</t>
  </si>
  <si>
    <t>Crescimento Free M1–12 (leads/mês)</t>
  </si>
  <si>
    <t>cadastros orgânicos+viral+paid</t>
  </si>
  <si>
    <t>Crescimento Free M13–24 (leads/mês)</t>
  </si>
  <si>
    <t>escala Brasil</t>
  </si>
  <si>
    <t>Conversão Free → Essencial (%)</t>
  </si>
  <si>
    <t>% base Free que vira assinante</t>
  </si>
  <si>
    <t>% Essenciais que sobem</t>
  </si>
  <si>
    <t>% Autônomas que sobem</t>
  </si>
  <si>
    <t>Churn mensal Essencial</t>
  </si>
  <si>
    <t>% cancela por mês</t>
  </si>
  <si>
    <t>Churn mensal Autônoma</t>
  </si>
  <si>
    <t>% cancela por mês · agente = lock-in</t>
  </si>
  <si>
    <t>Churn mensal Livre</t>
  </si>
  <si>
    <t>% cancela · 2 agentes = máximo lock-in</t>
  </si>
  <si>
    <t>5 · CUSTO FIXO MENSAL (R$)</t>
  </si>
  <si>
    <t>Equipe Ano 1 (média/mês)</t>
  </si>
  <si>
    <t>devs+CS+pró-labore fundadores</t>
  </si>
  <si>
    <t>Equipe Ano 2 (média/mês)</t>
  </si>
  <si>
    <t>expansão de time</t>
  </si>
  <si>
    <t>Infraestrutura Ano 1</t>
  </si>
  <si>
    <t>servidores, DB, CDN</t>
  </si>
  <si>
    <t>Infraestrutura Ano 2</t>
  </si>
  <si>
    <t>escala com base</t>
  </si>
  <si>
    <t>Marketing base Ano 1</t>
  </si>
  <si>
    <t>além do paid do pre-seed</t>
  </si>
  <si>
    <t>Marketing base Ano 2</t>
  </si>
  <si>
    <t>crescimento + paid</t>
  </si>
  <si>
    <t>Outros (jurídico, contab, misc.)</t>
  </si>
  <si>
    <t>fixo administrativo</t>
  </si>
  <si>
    <t>6 · UNIT ECONOMICS (CAC full-loaded)</t>
  </si>
  <si>
    <t>CAC real full-loaded (R$)</t>
  </si>
  <si>
    <t>inclui mkt+CS+onboarding</t>
  </si>
  <si>
    <t>CAC via paid apenas (R$)</t>
  </si>
  <si>
    <t>referência apenas</t>
  </si>
  <si>
    <t>% novos pagantes via ads</t>
  </si>
  <si>
    <t>📐 Nota modelo: Conversão aplica-se ao pool elegível mensal (Free - já pagantes). Taxa ≠ '% dos leads mensais' mas '% da base elegível acumulada que converte por mês'. Calibrado para reproduzir ~4.400 pagantes no M12 (cenário Base).</t>
  </si>
  <si>
    <t>Cenário ativo:</t>
  </si>
  <si>
    <t>Unid.</t>
  </si>
  <si>
    <t>M01</t>
  </si>
  <si>
    <t>M02</t>
  </si>
  <si>
    <t>M03</t>
  </si>
  <si>
    <t>M04</t>
  </si>
  <si>
    <t>M05</t>
  </si>
  <si>
    <t>M07</t>
  </si>
  <si>
    <t>M08</t>
  </si>
  <si>
    <t>M09</t>
  </si>
  <si>
    <t>M10</t>
  </si>
  <si>
    <t>M12 ★</t>
  </si>
  <si>
    <t>M13</t>
  </si>
  <si>
    <t>M14</t>
  </si>
  <si>
    <t>M15</t>
  </si>
  <si>
    <t>M16</t>
  </si>
  <si>
    <t>M17</t>
  </si>
  <si>
    <t>M19</t>
  </si>
  <si>
    <t>M20</t>
  </si>
  <si>
    <t>M21</t>
  </si>
  <si>
    <t>M22</t>
  </si>
  <si>
    <t>M23</t>
  </si>
  <si>
    <t>M24 ★</t>
  </si>
  <si>
    <t>USUÁRIOS</t>
  </si>
  <si>
    <t>usr</t>
  </si>
  <si>
    <t>Essencial · Assinantes</t>
  </si>
  <si>
    <t>ass.</t>
  </si>
  <si>
    <t>Autônoma · Assinantes</t>
  </si>
  <si>
    <t>Livre · Assinantes</t>
  </si>
  <si>
    <t>RECEITA</t>
  </si>
  <si>
    <t>R$</t>
  </si>
  <si>
    <t>CUSTO API · 100% Sonnet 4.6 · Caching ativo</t>
  </si>
  <si>
    <t>API Essencial (chat ilimitado)</t>
  </si>
  <si>
    <t>API Autônoma (+1 agente)</t>
  </si>
  <si>
    <t>API Livre (+2 agentes)</t>
  </si>
  <si>
    <t>TOTAL API</t>
  </si>
  <si>
    <t>CUSTO FIXO</t>
  </si>
  <si>
    <t>Custo Fixo (equipe+infra+mkt)</t>
  </si>
  <si>
    <t>RESULTADO</t>
  </si>
  <si>
    <t>RESULTADO MENSAL</t>
  </si>
  <si>
    <t>Margem Bruta API (% MRR)</t>
  </si>
  <si>
    <t>%</t>
  </si>
  <si>
    <t>AutoNoma · Comparativo Real de Cenários · 3 Anos · Fórmulas Dinâmicas</t>
  </si>
  <si>
    <t>PREMISSAS DIFERENCIADORAS POR CENÁRIO</t>
  </si>
  <si>
    <t>R$/assinante</t>
  </si>
  <si>
    <t>%/mês</t>
  </si>
  <si>
    <t>Churn anual implícito</t>
  </si>
  <si>
    <t>%/ano</t>
  </si>
  <si>
    <t>× ARR (SaaS LATAM)</t>
  </si>
  <si>
    <t>Free: % usuárias ativas</t>
  </si>
  <si>
    <t>% do cadastro</t>
  </si>
  <si>
    <t>Conversão Free→Essencial</t>
  </si>
  <si>
    <t>% base Free</t>
  </si>
  <si>
    <t>UNIT ECONOMICS (calculado das premissas)</t>
  </si>
  <si>
    <t>Custo API Essencial/mês</t>
  </si>
  <si>
    <t>R$/assinante/mês</t>
  </si>
  <si>
    <t>Margem Unitária Essencial/mês</t>
  </si>
  <si>
    <t>R$/mês</t>
  </si>
  <si>
    <t>1 ÷ churn</t>
  </si>
  <si>
    <t>R$ vida útil</t>
  </si>
  <si>
    <t>meses</t>
  </si>
  <si>
    <t>Múltiplo aplicado</t>
  </si>
  <si>
    <t>ANO 1 · Resultados</t>
  </si>
  <si>
    <t>MRR Dezembro M12</t>
  </si>
  <si>
    <t>ARR Ano 1 (MRR×12)</t>
  </si>
  <si>
    <t>R$/ano</t>
  </si>
  <si>
    <t>Resultado Líquido no Ano</t>
  </si>
  <si>
    <t>assinantes</t>
  </si>
  <si>
    <t>ANO 2 · Resultados</t>
  </si>
  <si>
    <t>MRR Dezembro M24</t>
  </si>
  <si>
    <t>ARR Ano 2 (MRR×12)</t>
  </si>
  <si>
    <t>Total Pagantes</t>
  </si>
  <si>
    <t>MRR</t>
  </si>
  <si>
    <t>Pagantes</t>
  </si>
  <si>
    <t>Free</t>
  </si>
  <si>
    <t>Acumulado</t>
  </si>
  <si>
    <t>Mês</t>
  </si>
  <si>
    <t>Resultado</t>
  </si>
  <si>
    <t>Essencial</t>
  </si>
  <si>
    <t>Autônoma</t>
  </si>
  <si>
    <t>Livre</t>
  </si>
  <si>
    <t>API Total</t>
  </si>
  <si>
    <t>Custo Fixo</t>
  </si>
  <si>
    <t>Margem%</t>
  </si>
  <si>
    <t>M06</t>
  </si>
  <si>
    <t>M11</t>
  </si>
  <si>
    <t>M12</t>
  </si>
  <si>
    <t>M18</t>
  </si>
  <si>
    <t>M24</t>
  </si>
  <si>
    <t>Conversão Free → Autônoma (%)</t>
  </si>
  <si>
    <t>Conversão Free → Livre (%)</t>
  </si>
  <si>
    <t>R$/mês · + uso esporadico agente</t>
  </si>
  <si>
    <t xml:space="preserve">M06 </t>
  </si>
  <si>
    <t xml:space="preserve">M11 </t>
  </si>
  <si>
    <t>▶  CENÁRIO ATIVO  ◀  (altere aqui o modelo)</t>
  </si>
  <si>
    <t>Base</t>
  </si>
  <si>
    <t>Custo API por Essencial / mês</t>
  </si>
  <si>
    <t>ARPU cobre custo API?</t>
  </si>
  <si>
    <t>Margem Unitária Essencial / mês</t>
  </si>
  <si>
    <t>Vida média Essencial (meses)</t>
  </si>
  <si>
    <t>CAC ÷ margem mensal · &lt;12m = excelente</t>
  </si>
  <si>
    <t>Resultado Mensal</t>
  </si>
  <si>
    <t>Cenário</t>
  </si>
  <si>
    <t>AutoNoma · Base Mensal · 24 Meses · Fórmulas Dinâmicas · Cenário Controlado por 🔧 Cenário Ativo</t>
  </si>
  <si>
    <t>VALUATION SUGERIDO M24</t>
  </si>
  <si>
    <t>VPL (Valor Presente Líquido)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</si>
  <si>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</si>
  <si>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</si>
  <si>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</si>
  <si>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</si>
  <si>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</si>
  <si>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</si>
  <si>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</si>
  <si>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</si>
  <si>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</si>
  <si>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 xml:space="preserve">M18 </t>
  </si>
  <si>
    <t>Conv. Free→Autônoma</t>
  </si>
  <si>
    <t>Conv. Free→Livre</t>
  </si>
  <si>
    <t>← Premissas!Conversão Free → Autônoma (%) (linha 32)</t>
  </si>
  <si>
    <t>← Premissas!Conversão Free → Livre (%) (linha 33)</t>
  </si>
  <si>
    <t>Aporte máximo (R$)</t>
  </si>
  <si>
    <t>% Equity oferecido</t>
  </si>
  <si>
    <t>Valuation pre-money implícito</t>
  </si>
  <si>
    <t>= Aporte/%Equity - Aporte</t>
  </si>
  <si>
    <t>Valuation post-money implícito</t>
  </si>
  <si>
    <t>= Aporte / %Equity</t>
  </si>
  <si>
    <t>Equity anjo (% Premissas)</t>
  </si>
  <si>
    <t>Retorno sobre aporte (×)</t>
  </si>
  <si>
    <t>× sobre aporte</t>
  </si>
  <si>
    <t>Valuation 100% M24</t>
  </si>
  <si>
    <t>9 · PARÂMETROS DO MODELO</t>
  </si>
  <si>
    <t>Free cadastradas no M1 (semente)</t>
  </si>
  <si>
    <t>← lista de espera M1</t>
  </si>
  <si>
    <t>Floor YoY · Conservador</t>
  </si>
  <si>
    <t>← piso ajuste valuation</t>
  </si>
  <si>
    <t>Floor YoY · Base</t>
  </si>
  <si>
    <t>Floor YoY · Otimista</t>
  </si>
  <si>
    <t>Divisor YoY (suavização)</t>
  </si>
  <si>
    <t>← maior = ajuste mais suave</t>
  </si>
  <si>
    <t>Taxa de desconto mensal (NPV/IRR)</t>
  </si>
  <si>
    <t>← editável (simule aqui)</t>
  </si>
  <si>
    <t>Alíquota imposto/receita</t>
  </si>
  <si>
    <t>7 · VALUATION M24 (sobre Receita Acumulada 24m)</t>
  </si>
  <si>
    <t>Múltiplo × Receita Acumulada 24m</t>
  </si>
  <si>
    <t>× sobre 'Base Mensal'!Z12 (R$ 12,8M)</t>
  </si>
  <si>
    <t>Receita Acumulada 24m (Z12)</t>
  </si>
  <si>
    <t>R$ acumulado 24m</t>
  </si>
  <si>
    <t>× Receita acum</t>
  </si>
  <si>
    <t>Alíquota imposto sobre receita</t>
  </si>
  <si>
    <t>← Premissas!Alíquota (linha 67)</t>
  </si>
  <si>
    <t>Custo Total (API + Fixo + Impostos)</t>
  </si>
  <si>
    <t>← anualizada</t>
  </si>
  <si>
    <t xml:space="preserve">IMPOSTOS </t>
  </si>
  <si>
    <t xml:space="preserve">UNIT ECONOMICS CALCULADOS (helpers) </t>
  </si>
  <si>
    <t>── HELPERS · 3 CENÁRIOS · 24 MESES (oculto) ──</t>
  </si>
  <si>
    <t>Free Cadastros</t>
  </si>
  <si>
    <t>Comparativo dos 3 cenários · Premissas / Unit Economics / Valuation / Operacional · Independentes</t>
  </si>
  <si>
    <t>Impostos</t>
  </si>
  <si>
    <t>CONSERVADOR</t>
  </si>
  <si>
    <t>BASE</t>
  </si>
  <si>
    <t>OTIMISTA</t>
  </si>
  <si>
    <t>RESULTADO ACUMULADO</t>
  </si>
  <si>
    <t>MRR MENSAL</t>
  </si>
  <si>
    <t>MRR ACUMULADO</t>
  </si>
  <si>
    <t>INDICADOR</t>
  </si>
  <si>
    <t>UNIDADE</t>
  </si>
  <si>
    <t>Cons CF (helper TIR)</t>
  </si>
  <si>
    <t>Base CF (helper TIR)</t>
  </si>
  <si>
    <t>Otim CF (helper TIR)</t>
  </si>
  <si>
    <t>R$ · taxa B66 mensal</t>
  </si>
  <si>
    <t>TIR (anualizada)</t>
  </si>
  <si>
    <t>% a.a.</t>
  </si>
  <si>
    <t>RESUMO</t>
  </si>
  <si>
    <t>PARAMETRO</t>
  </si>
  <si>
    <t>UNIDADE/NOTA</t>
  </si>
  <si>
    <t>2 · CUSTO API ANTHROPIC (1 semestre 2026)</t>
  </si>
  <si>
    <t>VALUATION · MÊS 24 (Receita Acum × múltiplo)</t>
  </si>
  <si>
    <t>✅ Todos os indicadores acima são calculados independentemente por cenário. Helpers de simulação ocultos linhas 50-89.</t>
  </si>
  <si>
    <t>Múltiplo valuation M24</t>
  </si>
  <si>
    <t>AutoNoma · Seletor de Cenário · Controler</t>
  </si>
  <si>
    <t>8 · CAPTAÇÃO ANJO (R$1M = 15% equity)</t>
  </si>
  <si>
    <t>= 15% fixo (R$1M = 15%)</t>
  </si>
  <si>
    <t>Haiku 4.5 Input ($/MTok)</t>
  </si>
  <si>
    <t>Haiku 4.5 Output ($/MTok)</t>
  </si>
  <si>
    <t>Aporte R$1M</t>
  </si>
  <si>
    <t>AUTONOMA · RESUMO PARA INVESTIDOR ANJO</t>
  </si>
  <si>
    <t>Asset-Light SaaS · Brasil → LATAM · Sonnet 4.6 (planos pagos) + Haiku 4.5 (Free) · Horizonte 24 meses</t>
  </si>
  <si>
    <t>1 · A OFERTA</t>
  </si>
  <si>
    <t>Aporte</t>
  </si>
  <si>
    <t>Equity oferecido</t>
  </si>
  <si>
    <t>Valuation post-money</t>
  </si>
  <si>
    <t>Valuation pre-money</t>
  </si>
  <si>
    <t>← entrada do anjo</t>
  </si>
  <si>
    <t>← fatia adquirida</t>
  </si>
  <si>
    <t>= aporte ÷ equity</t>
  </si>
  <si>
    <t>2 · MARCOS ATÉ A SÉRIE A (cenário Base)</t>
  </si>
  <si>
    <t>Assinantes pagantes</t>
  </si>
  <si>
    <t>MRR (R$/mês)</t>
  </si>
  <si>
    <t>Receita acumulada</t>
  </si>
  <si>
    <t>Margem bruta</t>
  </si>
  <si>
    <t>Resultado mensal</t>
  </si>
  <si>
    <t>3 · RETORNO DO ANJO (fatia de 15%)</t>
  </si>
  <si>
    <t>Valuation M24</t>
  </si>
  <si>
    <t>Valor da fatia 15%</t>
  </si>
  <si>
    <t>Múltiplo s/ aporte</t>
  </si>
  <si>
    <t>4 · USO DO CAPITAL (R$1M · ~runway 18 meses)</t>
  </si>
  <si>
    <t>Produto &amp; Engenharia (Sonnet/Haiku, dev)</t>
  </si>
  <si>
    <t>Aquisição &amp; Marketing (CAC, growth)</t>
  </si>
  <si>
    <t>Equipe &amp; Operação (CS, pró-labore)</t>
  </si>
  <si>
    <t>Reserva &amp; Jurídico/Contab.</t>
  </si>
  <si>
    <t>Total</t>
  </si>
  <si>
    <t>5 · TESTE DE STRESS / DOWNSIDE (honestidade ao anjo)</t>
  </si>
  <si>
    <t>• Churn diferenciado por plano: Essencial 8%, Autônoma 5%, Livre 3% — lock-in cresce com o agente.</t>
  </si>
  <si>
    <t>• Break-even de caixa no M6; margem bruta &gt;80% sustentada por rodar o Free em Haiku (só custo).</t>
  </si>
  <si>
    <t>• Sensível a: CAC real (hoje R$60 full-loaded) e conversão Free→pago. Ambos controláveis em 🎛️ Premissas.</t>
  </si>
  <si>
    <t>• Próximo marco: Receita acum. R$15M no M24 sustenta conversão Série A a 5× receita (≈R$75M).</t>
  </si>
  <si>
    <t>Obs.: Este resumo não configura convite ou promessa de investimento. Todos os valores recalculam ao alterar o cenário em 🔧 Cenário Ativo e as premissas em 🎛️ Premissas. AutoNoma © 2025.</t>
  </si>
  <si>
    <t>6 · SENSIBILIDADE: CHURN × LTV/CAC (plano Essencial, cenário Base)</t>
  </si>
  <si>
    <t>Churn/mês</t>
  </si>
  <si>
    <t>Vida média (m)</t>
  </si>
  <si>
    <t>LTV (R$)</t>
  </si>
  <si>
    <t>Leitura</t>
  </si>
  <si>
    <t>Leitura: mesmo dobrando o churn para 15%/mês (vida ~7m), o LTV/CAC continua saudável em 4,8×. O modelo não depende de retenção otimista — sobrevive ao downside.</t>
  </si>
  <si>
    <t>Malva = Link cross-sheet</t>
  </si>
  <si>
    <t>AUTONOMA · SUMÁRIO EXECUTIVO</t>
  </si>
  <si>
    <t>Asset-Light SaaS · IA pessoal para a mulher brasileira · Brasil → LATAM · Horizonte 24 meses</t>
  </si>
  <si>
    <t>1 · A EMPRESA</t>
  </si>
  <si>
    <t>Visão</t>
  </si>
  <si>
    <t>Ser a assistente de IA de referência para autonomia pessoal e financeira na América Latina, começando pelo Brasil.</t>
  </si>
  <si>
    <t>Problema</t>
  </si>
  <si>
    <t>Assistentes genéricos não executam tarefas de ponta a ponta: a usuária ainda carrega a carga mental de planejar, lembrar e resolver.</t>
  </si>
  <si>
    <t>Solução</t>
  </si>
  <si>
    <t>Noma: assistente com memória + agentes autônomos que resolvem tarefas completas (Sonnet 4.6 nos planos pagos; Haiku 4.5 no Free como custo de aquisição).</t>
  </si>
  <si>
    <t>Por que agora</t>
  </si>
  <si>
    <t>Custo por token em queda (caching -35% a -45%), agentes maduros para produção e mercado brasileiro sem player focado nesse público.</t>
  </si>
  <si>
    <t>2 · MODELO DE NEGÓCIO · PLANOS</t>
  </si>
  <si>
    <t>Plano</t>
  </si>
  <si>
    <t>Preço (R$/mês)</t>
  </si>
  <si>
    <t>Modelo IA</t>
  </si>
  <si>
    <t>Inclui</t>
  </si>
  <si>
    <t>Papel no funil</t>
  </si>
  <si>
    <t>Haiku 4.5</t>
  </si>
  <si>
    <t>50 interações/mês</t>
  </si>
  <si>
    <t>Aquisição (custo de mkt)</t>
  </si>
  <si>
    <t>Sonnet 4.6</t>
  </si>
  <si>
    <t>Volume · base da receita</t>
  </si>
  <si>
    <t>Chat + 1 agente autônomo</t>
  </si>
  <si>
    <t>Upsell · lock-in</t>
  </si>
  <si>
    <t>Chat + 2 agentes</t>
  </si>
  <si>
    <t>Premium · máximo lock-in</t>
  </si>
  <si>
    <t>Preços dinâmicos conforme o cenário selecionado em 🔧 Cenário Ativo!B2. Margem bruta &gt;80% sustentada por caching e Free em Haiku.</t>
  </si>
  <si>
    <t>3 · A OFERTA AO INVESTIDOR ANJO</t>
  </si>
  <si>
    <t>← entrada única, runway ~18 meses</t>
  </si>
  <si>
    <t>← fatia adquirida no aporte</t>
  </si>
  <si>
    <t>= aporte ÷ equity − aporte</t>
  </si>
  <si>
    <t>Uso do capital</t>
  </si>
  <si>
    <t>40% Produto · 30% Aquisição · 20% Equipe · 10% Reserva (detalhe em 💎 Resumo Anjo)</t>
  </si>
  <si>
    <t>4 · HIGHLIGHTS FINANCEIROS · CENÁRIO ATIVO:</t>
  </si>
  <si>
    <t>Nota</t>
  </si>
  <si>
    <t>crescimento composto da base Free</t>
  </si>
  <si>
    <t>receita recorrente mensal</t>
  </si>
  <si>
    <t>após API + fixo + impostos</t>
  </si>
  <si>
    <t>Margem bruta (% MRR)</t>
  </si>
  <si>
    <t>após custo de API</t>
  </si>
  <si>
    <t>Breakeven de caixa</t>
  </si>
  <si>
    <t>resultado acumulado &gt; 0</t>
  </si>
  <si>
    <t>LTV / CAC (Essencial)</t>
  </si>
  <si>
    <t>Valuation M24 (cenário ativo)</t>
  </si>
  <si>
    <t>receita acum. 24m × múltiplo do cenário</t>
  </si>
  <si>
    <t>Retorno do anjo (fatia 15%)</t>
  </si>
  <si>
    <t>valor da fatia ÷ aporte</t>
  </si>
  <si>
    <t>5 · TESE DE INVESTIMENTO</t>
  </si>
  <si>
    <t>① Unit economics provados desde o M1: LTV/CAC ≥5× mesmo no cenário Conservador; payback de CAC &lt; 3 meses.</t>
  </si>
  <si>
    <t>② Margem de software (&gt;80%) com custo variável controlado: Free roda em Haiku 4.5; pagos em Sonnet 4.6 com caching.</t>
  </si>
  <si>
    <t>③ Breakeven rápido (M7 no Conservador) — o aporte financia crescimento, não prejuízo operacional.</t>
  </si>
  <si>
    <t>④ Churn decresce com adoção de agentes (8% → 3%): quanto mais a Noma executa, maior o lock-in.</t>
  </si>
  <si>
    <t>⑤ Saída viável em 24m: receita acumulada sustenta Série A a 3–7× — retorno de 4–22× sobre o aporte conforme cenário.</t>
  </si>
  <si>
    <t>Obs.: Este estudo não configura convite ou promessa de investimento. Valores 100% dinâmicos — recalculam ao alterar 🔧 Cenário Ativo!B2 e 🎛️ Premissas. AutoNoma © 2025.</t>
  </si>
  <si>
    <t>AUTONOMA · MERCADO &amp; GO-TO-MARKET</t>
  </si>
  <si>
    <t>Dimensionamento TAM/SAM/SOM · funil de aquisição · canais · posicionamento competitivo</t>
  </si>
  <si>
    <t>1 · TAMANHO DE MERCADO · BRASIL (inputs editáveis em azul)</t>
  </si>
  <si>
    <t>Camada</t>
  </si>
  <si>
    <t>Usuárias</t>
  </si>
  <si>
    <t>Potencial anual (R$)</t>
  </si>
  <si>
    <t>% capturado</t>
  </si>
  <si>
    <t>Definição</t>
  </si>
  <si>
    <t>TAM · mercado total</t>
  </si>
  <si>
    <t>Mulheres adultas conectadas no Brasil (estimativa editável)</t>
  </si>
  <si>
    <t>SAM · mercado endereçável</t>
  </si>
  <si>
    <t>Já pagam assinaturas digitais e usam IA/apps de produtividade</t>
  </si>
  <si>
    <t>SOM · capturado até M24 (cadastros)</t>
  </si>
  <si>
    <t>└ dos quais pagantes no M24</t>
  </si>
  <si>
    <t>Taxa de conversão acumulada Free → pago</t>
  </si>
  <si>
    <t>Penetração exigida do SAM em 24m é inferior a 1% — o plano não depende de dominar o mercado para entregar o retorno projetado.</t>
  </si>
  <si>
    <t>2 · FUNIL DE AQUISIÇÃO · CENÁRIO ATIVO (valores dinâmicos)</t>
  </si>
  <si>
    <t>Etapa do funil</t>
  </si>
  <si>
    <t>Valor</t>
  </si>
  <si>
    <t>Unidade</t>
  </si>
  <si>
    <t>Novos cadastros Free · M1–M12</t>
  </si>
  <si>
    <t>leads/mês</t>
  </si>
  <si>
    <t>orgânico + viral + paid</t>
  </si>
  <si>
    <t>Novos cadastros Free · M13–M24</t>
  </si>
  <si>
    <t>escala nacional</t>
  </si>
  <si>
    <t>Conversão Free → Essencial</t>
  </si>
  <si>
    <t>da base elegível/mês</t>
  </si>
  <si>
    <t>porta de entrada paga</t>
  </si>
  <si>
    <t>Upgrade Essencial → Autônoma</t>
  </si>
  <si>
    <t>1º agente autônomo</t>
  </si>
  <si>
    <t>Upgrade Autônoma → Livre</t>
  </si>
  <si>
    <t>tier premium</t>
  </si>
  <si>
    <t>Churn mensal (Essencial / Autônoma / Livre)</t>
  </si>
  <si>
    <t>lock-in cresce com agentes</t>
  </si>
  <si>
    <t>por assinante</t>
  </si>
  <si>
    <t>% aquisição via paid (vs. orgânico)</t>
  </si>
  <si>
    <t>dos novos pagantes</t>
  </si>
  <si>
    <t>restante: orgânico, viral, parcerias</t>
  </si>
  <si>
    <t>3 · CANAIS &amp; ESTRATÉGIA DE ENTRADA</t>
  </si>
  <si>
    <t>Orgânico &amp; viral</t>
  </si>
  <si>
    <t>Conteúdo curto (TikTok/Reels/Shorts) mostrando a Noma executando tarefas reais · programa de indicação dentro do app</t>
  </si>
  <si>
    <t>Paid social</t>
  </si>
  <si>
    <t>Meta + TikTok Ads com criativos de caso de uso · ~50% dos novos pagantes · teto de CAC governado pelas premissas</t>
  </si>
  <si>
    <t>Parcerias &amp; influenciadoras</t>
  </si>
  <si>
    <t>Criadoras de finanças pessoais, carreira e maternidade · cupons rastreáveis por canal</t>
  </si>
  <si>
    <t>Free como motor</t>
  </si>
  <si>
    <t>Plano Free (Haiku 4.5, 50 interações/mês) é o custo de aquisição: a usuária experimenta valor antes de pagar</t>
  </si>
  <si>
    <t>4 · POSICIONAMENTO COMPETITIVO</t>
  </si>
  <si>
    <t>Player</t>
  </si>
  <si>
    <t>Foco</t>
  </si>
  <si>
    <t>Por que a AutoNoma ganha</t>
  </si>
  <si>
    <t>ChatGPT / Gemini (genéricos)</t>
  </si>
  <si>
    <t>~R$ 100+</t>
  </si>
  <si>
    <t>chat generalista</t>
  </si>
  <si>
    <t>Agentes que executam ponta a ponta + memória de contexto pessoal + preço em reais acessível</t>
  </si>
  <si>
    <t>Apps de produtividade/organização</t>
  </si>
  <si>
    <t>R$ 20–50</t>
  </si>
  <si>
    <t>listas e lembretes</t>
  </si>
  <si>
    <t>A Noma não lembra a tarefa — ela faz a tarefa</t>
  </si>
  <si>
    <t>Assistentes embarcados (bancos, e-commerce)</t>
  </si>
  <si>
    <t>grátis</t>
  </si>
  <si>
    <t>vertical único</t>
  </si>
  <si>
    <t>Visão transversal da vida da usuária, não de um único produto</t>
  </si>
  <si>
    <t>AutoNoma</t>
  </si>
  <si>
    <t>agentes pessoais</t>
  </si>
  <si>
    <t>Foco no público, agentes autônomos, custo variável otimizado (Haiku Free / Sonnet pago)</t>
  </si>
  <si>
    <t>Obs.: valores de mercado são estimativas editáveis para dimensionamento — não substituem pesquisa formal. AutoNoma © 2025.</t>
  </si>
  <si>
    <t>AUTONOMA · DRE PROJETADO · ANO 1 &amp; ANO 2</t>
  </si>
  <si>
    <t>Linha (R$)</t>
  </si>
  <si>
    <t>Ano 1 (M1–M12)</t>
  </si>
  <si>
    <t>Ano 2 (M13–M24)</t>
  </si>
  <si>
    <t>Total 24m</t>
  </si>
  <si>
    <t>Receita bruta (assinaturas)</t>
  </si>
  <si>
    <t>soma do MRR mensal</t>
  </si>
  <si>
    <t>(−) Impostos sobre receita</t>
  </si>
  <si>
    <t>(=) Receita líquida</t>
  </si>
  <si>
    <t>(−) Custo variável · API Anthropic</t>
  </si>
  <si>
    <t>tokens Free (Haiku) + pagos (Sonnet, c/ caching)</t>
  </si>
  <si>
    <t>(=) Lucro bruto</t>
  </si>
  <si>
    <t>Margem bruta (% receita bruta)</t>
  </si>
  <si>
    <t>(−) Custos fixos operacionais</t>
  </si>
  <si>
    <t>abertura abaixo</t>
  </si>
  <si>
    <t xml:space="preserve">      ├ Equipe</t>
  </si>
  <si>
    <t xml:space="preserve">      ├ Infraestrutura &amp; ferramentas</t>
  </si>
  <si>
    <t xml:space="preserve">      ├ Marketing &amp; aquisição</t>
  </si>
  <si>
    <t xml:space="preserve">      └ Outros (contábil, jurídico, admin)</t>
  </si>
  <si>
    <t>(=) EBITDA ≈ resultado operacional</t>
  </si>
  <si>
    <t>asset-light: sem capex relevante, sem dívida</t>
  </si>
  <si>
    <t>Margem EBITDA (% receita bruta)</t>
  </si>
  <si>
    <t>Resultado acumulado ao fim do período</t>
  </si>
  <si>
    <t>conferência com a linha 25 da 📊 Base Mensal</t>
  </si>
  <si>
    <t>Checagem · EBITDA 24m = resultado acumulado M24</t>
  </si>
  <si>
    <t>Obs.: DRE regime de competência simplificado (sem D&amp;A, resultado financeiro ou IR adicional — Simples Nacional sobre receita). CAC pago está contido em Marketing &amp; aquisição.</t>
  </si>
  <si>
    <t>AUTONOMA · CAIXA &amp; RUNWAY · 24 MESES</t>
  </si>
  <si>
    <t>FLUXO DE CAIXA MENSAL (R$)</t>
  </si>
  <si>
    <t>Entrada de capital (aporte anjo)</t>
  </si>
  <si>
    <t>Resultado operacional do mês</t>
  </si>
  <si>
    <t>Saldo de caixa (fim do mês)</t>
  </si>
  <si>
    <t>INDICADORES DE RUNWAY &amp; SOLVÊNCIA</t>
  </si>
  <si>
    <t>Caixa mínimo no período</t>
  </si>
  <si>
    <t>Caixa final · M24</t>
  </si>
  <si>
    <t>aporte + resultado acumulado de 24 meses</t>
  </si>
  <si>
    <t>Burn médio pré-breakeven</t>
  </si>
  <si>
    <t>média dos meses com resultado negativo</t>
  </si>
  <si>
    <t>Runway teórico sem receita</t>
  </si>
  <si>
    <t>aporte ÷ custo fixo médio do Ano 1 (stress extremo: receita zero)</t>
  </si>
  <si>
    <t>Breakeven de caixa (resultado acum. &gt; 0)</t>
  </si>
  <si>
    <t>a partir daí a operação se autofinancia</t>
  </si>
  <si>
    <t>Obs.: fluxo de caixa simplificado = aporte + resultado operacional (sem capex, sem dívida, sem dividendos). Cenários alternativos em 📊 Resumo Cenários.</t>
  </si>
  <si>
    <t>AUTONOMA · RISCOS, MITIGAÇÕES &amp; ROADMAP</t>
  </si>
  <si>
    <t>Matriz de riscos com gatilhos de monitoramento · roadmap de execução 24 meses · guard-rails de gestão</t>
  </si>
  <si>
    <t>1 · MATRIZ DE RISCOS &amp; MITIGAÇÕES</t>
  </si>
  <si>
    <t>Risco</t>
  </si>
  <si>
    <t>Probabilidade</t>
  </si>
  <si>
    <t>Impacto</t>
  </si>
  <si>
    <t>Mitigação</t>
  </si>
  <si>
    <t>Gatilho de alerta</t>
  </si>
  <si>
    <t>CAC acima do previsto (paid saturado)</t>
  </si>
  <si>
    <t>Média</t>
  </si>
  <si>
    <t>Alto</t>
  </si>
  <si>
    <t>Disciplina de LTV/CAC ≥ 3× por canal; realocar verba para orgânico/parcerias; criativos testados semanalmente</t>
  </si>
  <si>
    <t>CAC blended &gt; R$ 120</t>
  </si>
  <si>
    <t>Churn acima do plano</t>
  </si>
  <si>
    <t>Onboarding guiado; ativação do 1º agente nos primeiros 7 dias (churn cai de 8% para 5–3% com agentes ativos)</t>
  </si>
  <si>
    <t>Churn Essencial &gt; 10%/mês</t>
  </si>
  <si>
    <t>Reajuste de preço da API / fim do caching</t>
  </si>
  <si>
    <t>Baixa</t>
  </si>
  <si>
    <t>Arquitetura multi-modelo (camada de abstração); limites de uso por plano; repasse parcial de preço se necessário</t>
  </si>
  <si>
    <t>Margem bruta &lt; 70%</t>
  </si>
  <si>
    <t>Câmbio USD/BRL (custo de API dolarizado)</t>
  </si>
  <si>
    <t>Médio</t>
  </si>
  <si>
    <t>Margem &gt;80% absorve variações; premissa de câmbio editável em 🎛️ Premissas; reajuste anual de preços</t>
  </si>
  <si>
    <t>USD &gt; R$ 6,50</t>
  </si>
  <si>
    <t>Big techs lançam concorrente direto</t>
  </si>
  <si>
    <t>Alta</t>
  </si>
  <si>
    <t>Foco em nicho + marca + memória pessoal acumulada (custo de troca); velocidade de execução local</t>
  </si>
  <si>
    <t>Queda de conversão nas coortes novas</t>
  </si>
  <si>
    <t>Dependência de fornecedor único (Anthropic)</t>
  </si>
  <si>
    <t>Camada de abstração LLM-agnóstica; testes periódicos com modelos alternativos; contrato com SLA</t>
  </si>
  <si>
    <t>Latência/SLA fora do padrão</t>
  </si>
  <si>
    <t>LGPD · privacidade de dados sensíveis</t>
  </si>
  <si>
    <t>Privacy by design; criptografia em repouso e trânsito; consentimento granular; DPO desde o M1</t>
  </si>
  <si>
    <t>Qualquer incidente de dados</t>
  </si>
  <si>
    <t>Execução com equipe enxuta</t>
  </si>
  <si>
    <t>20% do aporte em equipe; advisors de produto/growth; roadmap com marcos verificáveis por trimestre</t>
  </si>
  <si>
    <t>Atraso &gt; 1 trimestre nos marcos</t>
  </si>
  <si>
    <t>2 · ROADMAP DE EXECUÇÃO · 24 MESES (metas dinâmicas do cenário ativo)</t>
  </si>
  <si>
    <t>Fase</t>
  </si>
  <si>
    <t>Período</t>
  </si>
  <si>
    <t>Entregas-chave</t>
  </si>
  <si>
    <t>Meta verificável</t>
  </si>
  <si>
    <t>Lançamento</t>
  </si>
  <si>
    <t>M1–M3</t>
  </si>
  <si>
    <t>App + Noma core (chat com memória) · onboarding · cobrança recorrente · beta com lista de espera</t>
  </si>
  <si>
    <t>Tração</t>
  </si>
  <si>
    <t>M4–M6</t>
  </si>
  <si>
    <t>1º agente autônomo (plano Autônoma) · programa de indicação · início de paid em escala</t>
  </si>
  <si>
    <t>Escala · Ano 1</t>
  </si>
  <si>
    <t>M7–M12</t>
  </si>
  <si>
    <t>Plano Livre (2 agentes) · parcerias com influenciadoras · expansão de canais pagos</t>
  </si>
  <si>
    <t>Expansão</t>
  </si>
  <si>
    <t>M13–M18</t>
  </si>
  <si>
    <t>Novos agentes verticais (finanças, carreira, família) · melhoria de retenção · preparação de dados para due diligence</t>
  </si>
  <si>
    <t>Série A ready</t>
  </si>
  <si>
    <t>M19–M24</t>
  </si>
  <si>
    <t>Eficiência de margem · estudo LATAM (espanhol) · captação Série A com métricas auditadas</t>
  </si>
  <si>
    <t>3 · GUARD-RAILS DE GESTÃO (status automático · cenário ativo)</t>
  </si>
  <si>
    <t>Atual</t>
  </si>
  <si>
    <t>Limite</t>
  </si>
  <si>
    <t>Status</t>
  </si>
  <si>
    <t>≥ 3,0×</t>
  </si>
  <si>
    <t>Payback do CAC</t>
  </si>
  <si>
    <t>≤ 6 meses</t>
  </si>
  <si>
    <t>Margem bruta M24</t>
  </si>
  <si>
    <t>≥ 70%</t>
  </si>
  <si>
    <t>Caixa mínimo na curva</t>
  </si>
  <si>
    <t>&gt; R$ 0</t>
  </si>
  <si>
    <t>Obs.: gatilhos e limites são política de gestão sugerida — editáveis conforme governança acordada com o investidor. AutoNoma © 2025.</t>
  </si>
  <si>
    <t>AUTONOMA</t>
  </si>
  <si>
    <t>DASHBOARD DO INVESTIDOR · PLANO 24 MESES</t>
  </si>
  <si>
    <t>Business Plan completo: 📋 Sumário · 🌎 Mercado &amp; GTM · 📈 DRE · 💰 Caixa &amp; Runway · ⚠️ Riscos &amp; Roadmap · 💎 Resumo Anjo</t>
  </si>
  <si>
    <t>CENÁRIO ATIVO</t>
  </si>
  <si>
    <t>← altere em 🔧 Cenário Ativo!B2 (Conservador / Base / Otimista) — todo o BP recalcula</t>
  </si>
  <si>
    <t>VALUATION · M24</t>
  </si>
  <si>
    <t>RETORNO DO ANJO · M24</t>
  </si>
  <si>
    <t>RECEITA ACUM. · 24M</t>
  </si>
  <si>
    <t>base oficial do valuation (📊 Resumo Cenários)</t>
  </si>
  <si>
    <t>BREAKEVEN DE CAIXA</t>
  </si>
  <si>
    <t>resultado acumulado fica positivo</t>
  </si>
  <si>
    <t>CAIXA FINAL · M24</t>
  </si>
  <si>
    <t>MRR · M24</t>
  </si>
  <si>
    <t>ASSINANTES PAGANTES · M24</t>
  </si>
  <si>
    <t>PAYBACK DO CAC</t>
  </si>
  <si>
    <t>MARGEM BRUTA · M24</t>
  </si>
  <si>
    <t>após custo de API (Free Haiku · pago Sonnet)</t>
  </si>
  <si>
    <t>PROJEÇÕES · 24 MESES</t>
  </si>
  <si>
    <t>RECEITA &amp; COMPARATIVO DE CENÁRIOS</t>
  </si>
  <si>
    <t>Modelo 100% dinâmico · motor de cálculo em 📊 Base Mensal · premissas em 🎛️ Premissas e 🔧 Cenário Ativo · comparação em 📊 Resumo Cenários</t>
  </si>
  <si>
    <t>Este material é um estudo de projeção e não configura oferta de investimento. AutoNoma © 2025</t>
  </si>
  <si>
    <t>soma de 24 meses de MRR do cenário ativo (📊 Base Mensal)</t>
  </si>
  <si>
    <t>Free · Trial 30 dias (ativas no mês)</t>
  </si>
  <si>
    <t>Cadastros acumulados em 24m (trial 30 dias) · potencial = ARR no M24</t>
  </si>
  <si>
    <t>Receita agentes avulsos por assinante Essencial (R$/mês)</t>
  </si>
  <si>
    <t>Receita agentes avulsos / assinante Essencial</t>
  </si>
  <si>
    <t>← Premissas!Agentes avulsos (linha 8)</t>
  </si>
  <si>
    <t>Preço + agentes avulsos − Custo API</t>
  </si>
  <si>
    <t>API Free (Haiku · 40 int/mês)</t>
  </si>
  <si>
    <t>← Presumido</t>
  </si>
  <si>
    <t>Chat ilimitado + memória · agentes especializados avulsos (média R$ 10/mês)</t>
  </si>
  <si>
    <t>USD — oficial Anthropic (plano Free)</t>
  </si>
  <si>
    <t>Haiku Input $/MTok</t>
  </si>
  <si>
    <t>Haiku Output $/MTok</t>
  </si>
  <si>
    <t>← Premissas!Haiku 4.5 Input ($/MTok) (linha 11)</t>
  </si>
  <si>
    <t>← Premissas!Haiku 4.5 Output ($/MTok) (linha 12)</t>
  </si>
  <si>
    <t>AutoNoma · Premissas · Fonte Única de Verdade ·Haiku Freemium / 100% Sonnet 4.6 Planos e Agentes</t>
  </si>
  <si>
    <t>← Premissas!Câmbio USD/BRL (linha 10)</t>
  </si>
  <si>
    <t>← Premissas!Sonnet 4.6 Input ($/MTok) (linha 13)</t>
  </si>
  <si>
    <t>← Premissas!Sonnet 4.6 Output ($/MTok) (linha 14)</t>
  </si>
  <si>
    <t>← Premissas!Desconto Prompt Caching (%) (linha 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</si>
</sst>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&quot;R$&quot;#,##0"/>
    <numFmt numFmtId="165" formatCode="&quot;R$&quot;#,##0;&quot;(R$&quot;#,##0\);\-"/>
    <numFmt numFmtId="166" formatCode="0.0\×"/>
    <numFmt numFmtId="167" formatCode="&quot;R$&quot;#,##0.00"/>
    <numFmt numFmtId="168" formatCode="0.0%"/>
    <numFmt numFmtId="169" formatCode="#,##0.0\m"/>
    <numFmt numFmtId="170" formatCode="0.0\m"/>
    <numFmt numFmtId="171" formatCode="#,##0.000"/>
    <numFmt numFmtId="172" formatCode="0\×"/>
    <numFmt numFmtId="173" formatCode="#,##0.0"/>
    <numFmt numFmtId="174" formatCode="0.0&quot;×&quot;"/>
    <numFmt numFmtId="175" formatCode="0.0&quot; mês&quot;"/>
    <numFmt numFmtId="176" formatCode="0.0&quot; meses&quot;"/>
    <numFmt numFmtId="177" formatCode="&quot;R$&quot;\ #,##0"/>
    <numFmt numFmtId="178" formatCode="0&quot;x&quot;"/>
    <numFmt numFmtId="179" formatCode="\R&quot;R$&quot;\ #,##0"/>
    <numFmt numFmtId="180" formatCode="\R&quot;R$&quot;\ #,##0;\(\R&quot;R$&quot;\ #,##0\)"/>
    <numFmt numFmtId="181" formatCode="\R&quot;R$&quot;\ #,##0,,&quot;M&quot;"/>
    <numFmt numFmtId="182" formatCode="0.0&quot;x&quot;"/>
    <numFmt numFmtId="183" formatCode="0.0"/>
    <numFmt numFmtId="184" formatCode="&quot;R$&quot;\ #,##0.00"/>
    <numFmt numFmtId="185" formatCode="&quot;R$&quot;\ #,##0;\(&quot;R$&quot;\ #,##0\)"/>
    <numFmt numFmtId="186" formatCode="&quot;R$&quot;\ #,##0,,&quot; M&quot;"/>
    <numFmt numFmtId="187" formatCode="0.0&quot;× aporte&quot;"/>
    <numFmt numFmtId="188" formatCode="&quot;R$&quot;\ #,##0.0,,,&quot; bi&quot;"/>
    <numFmt numFmtId="189" formatCode="&quot;R$&quot;\ #,##0.0,,&quot; M&quot;"/>
    <numFmt numFmtId="190" formatCode="&quot;R$&quot;\ #,##0&quot; /mês&quot;"/>
    <numFmt numFmtId="191" formatCode="#,##0;\(#,##0\);&quot;-&quot;"/>
  </numFmts>
  <fonts count="93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9B6A7D"/>
      <name val="Calibri"/>
      <family val="2"/>
    </font>
    <font>
      <sz val="11"/>
      <color theme="1"/>
      <name val="Calibri"/>
      <family val="2"/>
    </font>
    <font>
      <b/>
      <sz val="24"/>
      <color rgb="FF7D4E5E"/>
      <name val="Calibri"/>
      <family val="2"/>
    </font>
    <font>
      <sz val="11"/>
      <color rgb="FF9B6A7D"/>
      <name val="Calibri"/>
      <family val="2"/>
    </font>
    <font>
      <sz val="9"/>
      <color rgb="FF808080"/>
      <name val="Calibri"/>
      <family val="2"/>
    </font>
    <font>
      <b/>
      <sz val="9"/>
      <color theme="2" tint="-0.749992370372631"/>
      <name val="Calibri"/>
      <family val="2"/>
    </font>
    <font>
      <b/>
      <sz val="12"/>
      <color rgb="FF7D4E5E"/>
      <name val="Calibri"/>
      <family val="2"/>
    </font>
    <font>
      <i/>
      <sz val="9"/>
      <color rgb="FF808080"/>
      <name val="Calibri"/>
      <family val="2"/>
    </font>
    <font>
      <b/>
      <sz val="8"/>
      <color rgb="FF9B6A7D"/>
      <name val="Calibri"/>
      <family val="2"/>
    </font>
    <font>
      <b/>
      <sz val="17"/>
      <color rgb="FF7D4E5E"/>
      <name val="Calibri"/>
      <family val="2"/>
    </font>
    <font>
      <sz val="8"/>
      <color rgb="FF808080"/>
      <name val="Calibri"/>
      <family val="2"/>
    </font>
    <font>
      <i/>
      <sz val="9"/>
      <color rgb="FF9B6A7D"/>
      <name val="Calibri"/>
      <family val="2"/>
    </font>
    <font>
      <b/>
      <sz val="11"/>
      <color theme="1"/>
      <name val="Calibri"/>
      <family val="2"/>
    </font>
    <font>
      <i/>
      <sz val="10"/>
      <color rgb="FF808080"/>
      <name val="Calibri"/>
      <family val="2"/>
    </font>
    <font>
      <b/>
      <sz val="20"/>
      <color rgb="FF7D4E5E"/>
      <name val="Calibri"/>
      <family val="2"/>
    </font>
    <font>
      <sz val="10"/>
      <color rgb="FF9B6A7D"/>
      <name val="Calibri"/>
      <family val="2"/>
    </font>
    <font>
      <b/>
      <sz val="11"/>
      <color rgb="FFFFFFFF"/>
      <name val="Calibri"/>
      <family val="2"/>
    </font>
    <font>
      <b/>
      <sz val="10"/>
      <color rgb="FF7D4E5E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sz val="10"/>
      <color rgb="FF008000"/>
      <name val="Calibri"/>
      <family val="2"/>
    </font>
    <font>
      <b/>
      <i/>
      <sz val="8"/>
      <color rgb="FF808080"/>
      <name val="Calibri"/>
      <family val="2"/>
    </font>
    <font>
      <b/>
      <sz val="11"/>
      <color rgb="FF008000"/>
      <name val="Calibri"/>
      <family val="2"/>
    </font>
    <font>
      <sz val="10"/>
      <color rgb="FF808080"/>
      <name val="Calibri"/>
      <family val="2"/>
    </font>
    <font>
      <sz val="11"/>
      <color rgb="FF008000"/>
      <name val="Calibri"/>
      <family val="2"/>
    </font>
    <font>
      <b/>
      <sz val="11"/>
      <color rgb="FF92D050"/>
      <name val="Calibri"/>
      <family val="2"/>
    </font>
    <font>
      <i/>
      <sz val="9"/>
      <color theme="2" tint="-0.749992370372631"/>
      <name val="Calibri"/>
      <family val="2"/>
    </font>
    <font>
      <sz val="10"/>
      <color rgb="FF0000FF"/>
      <name val="Calibri"/>
      <family val="2"/>
    </font>
    <font>
      <i/>
      <sz val="8"/>
      <color rgb="FF808080"/>
      <name val="Calibri"/>
      <family val="2"/>
    </font>
    <font>
      <b/>
      <sz val="9"/>
      <color rgb="FF808080"/>
      <name val="Calibri"/>
      <family val="2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i/>
      <sz val="12"/>
      <color rgb="FF999999"/>
      <name val="Calibri"/>
      <family val="2"/>
    </font>
    <font>
      <b/>
      <sz val="12"/>
      <color theme="1"/>
      <name val="Calibri"/>
      <family val="2"/>
    </font>
    <font>
      <b/>
      <sz val="12"/>
      <color rgb="FF0000FF"/>
      <name val="Calibri"/>
      <family val="2"/>
    </font>
    <font>
      <sz val="12"/>
      <color rgb="FF7D4E5E"/>
      <name val="Calibri"/>
      <family val="2"/>
    </font>
    <font>
      <sz val="12"/>
      <color rgb="FF3D2A33"/>
      <name val="Calibri"/>
      <family val="2"/>
    </font>
    <font>
      <sz val="12"/>
      <color rgb="FF0000FF"/>
      <name val="Calibri"/>
      <family val="2"/>
    </font>
    <font>
      <i/>
      <sz val="12"/>
      <color rgb="FF7D4E5E"/>
      <name val="Calibri"/>
      <family val="2"/>
    </font>
    <font>
      <i/>
      <sz val="9"/>
      <color theme="1"/>
      <name val="Calibri"/>
      <family val="2"/>
    </font>
    <font>
      <i/>
      <sz val="9"/>
      <color rgb="FF7D4E5E"/>
      <name val="Calibri"/>
      <family val="2"/>
    </font>
    <font>
      <sz val="9"/>
      <color rgb="FF595959"/>
      <name val="Calibri"/>
      <family val="2"/>
    </font>
    <font>
      <i/>
      <sz val="9"/>
      <color rgb="FF595959"/>
      <name val="Calibri"/>
      <family val="2"/>
    </font>
    <font>
      <b/>
      <sz val="10"/>
      <color rgb="FF008000"/>
      <name val="Calibri"/>
      <family val="2"/>
    </font>
    <font>
      <b/>
      <sz val="9"/>
      <color rgb="FFFFFFFF"/>
      <name val="Calibri"/>
      <family val="2"/>
    </font>
    <font>
      <sz val="9"/>
      <color theme="1"/>
      <name val="Calibri"/>
      <family val="2"/>
    </font>
    <font>
      <sz val="9"/>
      <color rgb="FF008000"/>
      <name val="Calibri"/>
      <family val="2"/>
    </font>
    <font>
      <b/>
      <sz val="9"/>
      <color theme="1"/>
      <name val="Calibri"/>
      <family val="2"/>
    </font>
    <font>
      <b/>
      <sz val="9"/>
      <color rgb="FF7D4E5E"/>
      <name val="Calibri"/>
      <family val="2"/>
    </font>
    <font>
      <b/>
      <sz val="11"/>
      <color rgb="FF7D4E5E"/>
      <name val="Calibri"/>
      <family val="2"/>
    </font>
    <font>
      <b/>
      <sz val="13"/>
      <color rgb="FFE5B3BB"/>
      <name val="Calibri"/>
      <family val="2"/>
    </font>
    <font>
      <i/>
      <sz val="10"/>
      <color rgb="FF505050"/>
      <name val="Calibri"/>
      <family val="2"/>
    </font>
    <font>
      <i/>
      <sz val="9"/>
      <color rgb="FF505050"/>
      <name val="Calibri"/>
      <family val="2"/>
    </font>
    <font>
      <sz val="9"/>
      <color rgb="FF9B6A7D"/>
      <name val="Calibri"/>
      <family val="2"/>
    </font>
    <font>
      <b/>
      <sz val="10"/>
      <color rgb="FF000000"/>
      <name val="Calibri"/>
      <family val="2"/>
    </font>
    <font>
      <b/>
      <sz val="9"/>
      <color rgb="FFE5B3BB"/>
      <name val="Calibri"/>
      <family val="2"/>
    </font>
    <font>
      <sz val="10"/>
      <color rgb="FF000000"/>
      <name val="Calibri"/>
      <family val="2"/>
    </font>
    <font>
      <i/>
      <sz val="8"/>
      <color rgb="FF505050"/>
      <name val="Calibri"/>
      <family val="2"/>
    </font>
    <font>
      <b/>
      <sz val="11"/>
      <color rgb="FF9B6A7D"/>
      <name val="Calibri"/>
      <family val="2"/>
    </font>
    <font>
      <b/>
      <sz val="14"/>
      <color rgb="FFE5B3BB"/>
      <name val="Calibri"/>
      <family val="2"/>
    </font>
    <font>
      <i/>
      <sz val="9"/>
      <color rgb="FF000000"/>
      <name val="Calibri"/>
      <family val="2"/>
    </font>
    <font>
      <b/>
      <sz val="10"/>
      <color rgb="FFC08497"/>
      <name val="Calibri"/>
      <family val="2"/>
    </font>
    <font>
      <b/>
      <sz val="10"/>
      <color rgb="FF3D2A33"/>
      <name val="Calibri"/>
      <family val="2"/>
    </font>
    <font>
      <b/>
      <sz val="10"/>
      <color rgb="FFE5B3BB"/>
      <name val="Calibri"/>
      <family val="2"/>
    </font>
    <font>
      <b/>
      <sz val="10"/>
      <color rgb="FF0000FF"/>
      <name val="Calibri"/>
      <family val="2"/>
    </font>
    <font>
      <i/>
      <sz val="9"/>
      <color rgb="FF666666"/>
      <name val="Calibri"/>
      <family val="2"/>
    </font>
    <font>
      <b/>
      <sz val="11"/>
      <color rgb="FF0000FF"/>
      <name val="Calibri"/>
      <family val="2"/>
    </font>
    <font>
      <b/>
      <i/>
      <sz val="9"/>
      <color rgb="FF505050"/>
      <name val="Calibri"/>
      <family val="2"/>
    </font>
    <font>
      <b/>
      <i/>
      <sz val="9"/>
      <color rgb="FF0000FF"/>
      <name val="Calibri"/>
      <family val="2"/>
    </font>
    <font>
      <b/>
      <sz val="12"/>
      <color rgb="FFC08497"/>
      <name val="Calibri"/>
      <family val="2"/>
    </font>
    <font>
      <i/>
      <sz val="11"/>
      <color rgb="FF666666"/>
      <name val="Calibri"/>
      <family val="2"/>
    </font>
    <font>
      <b/>
      <sz val="11"/>
      <color rgb="FF000000"/>
      <name val="Calibri"/>
      <family val="2"/>
    </font>
    <font>
      <b/>
      <sz val="12"/>
      <color rgb="FFE5B3BB"/>
      <name val="Calibri"/>
      <family val="2"/>
    </font>
    <font>
      <b/>
      <sz val="9"/>
      <color theme="0"/>
      <name val="Calibri"/>
      <family val="2"/>
    </font>
    <font>
      <b/>
      <sz val="9"/>
      <color theme="3" tint="-0.499984740745262"/>
      <name val="Calibri"/>
      <family val="2"/>
    </font>
    <font>
      <sz val="9"/>
      <color rgb="FF505050"/>
      <name val="Calibri"/>
      <family val="2"/>
    </font>
    <font>
      <sz val="10"/>
      <color rgb="FFB8401A"/>
      <name val="Calibri"/>
      <family val="2"/>
    </font>
    <font>
      <b/>
      <sz val="10"/>
      <color rgb="FFB8401A"/>
      <name val="Calibri"/>
      <family val="2"/>
    </font>
    <font>
      <sz val="11"/>
      <color theme="0"/>
      <name val="Calibri"/>
      <family val="2"/>
    </font>
    <font>
      <sz val="10"/>
      <color rgb="FF6E4B00"/>
      <name val="Calibri"/>
      <family val="2"/>
    </font>
    <font>
      <sz val="10"/>
      <color rgb="FFC62828"/>
      <name val="Calibri"/>
      <family val="2"/>
    </font>
    <font>
      <i/>
      <sz val="9"/>
      <color rgb="FF654200"/>
      <name val="Calibri"/>
      <family val="2"/>
    </font>
    <font>
      <sz val="11"/>
      <color rgb="FFC08497"/>
      <name val="Calibri"/>
      <family val="2"/>
    </font>
    <font>
      <b/>
      <sz val="10"/>
      <color rgb="FF6E4B00"/>
      <name val="Calibri"/>
      <family val="2"/>
    </font>
    <font>
      <b/>
      <i/>
      <sz val="9"/>
      <color rgb="FF7D4E5E"/>
      <name val="Calibri"/>
      <family val="2"/>
    </font>
    <font>
      <i/>
      <sz val="10"/>
      <color rgb="FF9B6A7D"/>
      <name val="Calibri"/>
      <family val="2"/>
    </font>
    <font>
      <b/>
      <i/>
      <sz val="12"/>
      <color rgb="FF0000FF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EDE8DE"/>
        <bgColor rgb="FFF5EAE5"/>
      </patternFill>
    </fill>
    <fill>
      <patternFill patternType="solid">
        <fgColor theme="1"/>
        <bgColor rgb="FFF5F0E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2" tint="-0.89999084444715716"/>
        <bgColor rgb="FFF5EAE5"/>
      </patternFill>
    </fill>
    <fill>
      <patternFill patternType="solid">
        <fgColor theme="0" tint="-0.14999847407452621"/>
        <bgColor rgb="FFF5EAE5"/>
      </patternFill>
    </fill>
    <fill>
      <patternFill patternType="solid">
        <fgColor theme="1"/>
        <bgColor rgb="FFF5EAE5"/>
      </patternFill>
    </fill>
    <fill>
      <patternFill patternType="solid">
        <fgColor rgb="FFF5EAE6"/>
        <bgColor rgb="FFF5F0E0"/>
      </patternFill>
    </fill>
    <fill>
      <patternFill patternType="solid">
        <fgColor rgb="FFF5EAE6"/>
        <bgColor indexed="64"/>
      </patternFill>
    </fill>
    <fill>
      <patternFill patternType="solid">
        <fgColor theme="1"/>
        <bgColor rgb="FF993366"/>
      </patternFill>
    </fill>
    <fill>
      <patternFill patternType="solid">
        <fgColor theme="1"/>
        <bgColor rgb="FF888888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rgb="FF2A3A5A"/>
      </patternFill>
    </fill>
    <fill>
      <patternFill patternType="solid">
        <fgColor theme="1"/>
        <bgColor rgb="FF1A5C3C"/>
      </patternFill>
    </fill>
    <fill>
      <patternFill patternType="solid">
        <fgColor rgb="FF7D4E5E"/>
        <bgColor indexed="64"/>
      </patternFill>
    </fill>
    <fill>
      <patternFill patternType="solid">
        <fgColor rgb="FFF7EDF0"/>
        <bgColor indexed="64"/>
      </patternFill>
    </fill>
    <fill>
      <patternFill patternType="solid">
        <fgColor rgb="FF9B6A7D"/>
        <bgColor indexed="64"/>
      </patternFill>
    </fill>
    <fill>
      <patternFill patternType="solid">
        <fgColor rgb="FF3D2A33"/>
        <bgColor indexed="64"/>
      </patternFill>
    </fill>
    <fill>
      <patternFill patternType="solid">
        <fgColor rgb="FFFAF4F6"/>
        <bgColor indexed="64"/>
      </patternFill>
    </fill>
    <fill>
      <patternFill patternType="solid">
        <fgColor rgb="FFFCF7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9CC"/>
        <bgColor indexed="64"/>
      </patternFill>
    </fill>
    <fill>
      <patternFill patternType="solid">
        <fgColor theme="2" tint="-9.9978637043366805E-2"/>
        <bgColor rgb="FF2A3A5A"/>
      </patternFill>
    </fill>
    <fill>
      <patternFill patternType="solid">
        <fgColor rgb="FFC0849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BF1DE"/>
        <bgColor indexed="64"/>
      </patternFill>
    </fill>
  </fills>
  <borders count="76">
    <border>
      <left/>
      <right/>
      <top/>
      <bottom/>
      <diagonal/>
    </border>
    <border>
      <left style="medium">
        <color rgb="FF1A5C3C"/>
      </left>
      <right style="medium">
        <color rgb="FF1A5C3C"/>
      </right>
      <top style="medium">
        <color rgb="FF1A5C3C"/>
      </top>
      <bottom style="medium">
        <color rgb="FF1A5C3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92D050"/>
      </top>
      <bottom/>
      <diagonal/>
    </border>
    <border>
      <left/>
      <right style="medium">
        <color rgb="FF92D050"/>
      </right>
      <top style="medium">
        <color rgb="FF92D050"/>
      </top>
      <bottom/>
      <diagonal/>
    </border>
    <border>
      <left/>
      <right/>
      <top/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92D050"/>
      </right>
      <top/>
      <bottom/>
      <diagonal/>
    </border>
    <border>
      <left style="thin">
        <color rgb="FFDDDDDD"/>
      </left>
      <right style="medium">
        <color rgb="FF92D050"/>
      </right>
      <top style="thin">
        <color rgb="FFDDDDDD"/>
      </top>
      <bottom style="thin">
        <color rgb="FFDDDDDD"/>
      </bottom>
      <diagonal/>
    </border>
    <border>
      <left/>
      <right style="medium">
        <color rgb="FF92D050"/>
      </right>
      <top style="thin">
        <color rgb="FFDDDDDD"/>
      </top>
      <bottom/>
      <diagonal/>
    </border>
    <border>
      <left/>
      <right style="medium">
        <color rgb="FF92D050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C08497"/>
      </top>
      <bottom/>
      <diagonal/>
    </border>
    <border>
      <left/>
      <right style="medium">
        <color rgb="FF92D050"/>
      </right>
      <top style="medium">
        <color rgb="FFC08497"/>
      </top>
      <bottom/>
      <diagonal/>
    </border>
    <border>
      <left style="medium">
        <color rgb="FFC08497"/>
      </left>
      <right/>
      <top style="medium">
        <color rgb="FFC08497"/>
      </top>
      <bottom/>
      <diagonal/>
    </border>
    <border>
      <left style="medium">
        <color rgb="FFC08497"/>
      </left>
      <right/>
      <top/>
      <bottom/>
      <diagonal/>
    </border>
    <border>
      <left style="medium">
        <color rgb="FFC08497"/>
      </left>
      <right/>
      <top/>
      <bottom style="medium">
        <color rgb="FFC08497"/>
      </bottom>
      <diagonal/>
    </border>
    <border>
      <left/>
      <right style="medium">
        <color rgb="FFC08497"/>
      </right>
      <top style="medium">
        <color rgb="FFC08497"/>
      </top>
      <bottom/>
      <diagonal/>
    </border>
    <border>
      <left/>
      <right style="medium">
        <color rgb="FFC08497"/>
      </right>
      <top/>
      <bottom/>
      <diagonal/>
    </border>
    <border>
      <left/>
      <right style="medium">
        <color rgb="FFC08497"/>
      </right>
      <top/>
      <bottom style="medium">
        <color rgb="FFC08497"/>
      </bottom>
      <diagonal/>
    </border>
    <border>
      <left/>
      <right/>
      <top style="thin">
        <color rgb="FFD9B3BE"/>
      </top>
      <bottom/>
      <diagonal/>
    </border>
    <border>
      <left/>
      <right/>
      <top/>
      <bottom style="thin">
        <color rgb="FFD9B3BE"/>
      </bottom>
      <diagonal/>
    </border>
    <border>
      <left style="thin">
        <color rgb="FFD9B3BE"/>
      </left>
      <right style="thin">
        <color rgb="FFD9B3BE"/>
      </right>
      <top style="thin">
        <color rgb="FFD9B3BE"/>
      </top>
      <bottom style="thin">
        <color rgb="FFD9B3B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C08497"/>
      </bottom>
      <diagonal/>
    </border>
    <border>
      <left style="medium">
        <color rgb="FFC08497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C08497"/>
      </left>
      <right/>
      <top style="thin">
        <color rgb="FFDDDDDD"/>
      </top>
      <bottom/>
      <diagonal/>
    </border>
    <border>
      <left style="medium">
        <color rgb="FFC08497"/>
      </left>
      <right/>
      <top/>
      <bottom style="medium">
        <color rgb="FF92D050"/>
      </bottom>
      <diagonal/>
    </border>
    <border>
      <left style="medium">
        <color rgb="FFC08497"/>
      </left>
      <right/>
      <top style="medium">
        <color rgb="FF92D050"/>
      </top>
      <bottom/>
      <diagonal/>
    </border>
    <border>
      <left style="thin">
        <color rgb="FFDDDDDD"/>
      </left>
      <right style="medium">
        <color rgb="FFC08497"/>
      </right>
      <top style="thin">
        <color rgb="FFDDDDDD"/>
      </top>
      <bottom style="thin">
        <color rgb="FFDDDDDD"/>
      </bottom>
      <diagonal/>
    </border>
    <border>
      <left/>
      <right style="medium">
        <color rgb="FFC08497"/>
      </right>
      <top style="thin">
        <color rgb="FFDDDDDD"/>
      </top>
      <bottom/>
      <diagonal/>
    </border>
    <border>
      <left/>
      <right style="medium">
        <color rgb="FFC08497"/>
      </right>
      <top/>
      <bottom style="medium">
        <color rgb="FF92D050"/>
      </bottom>
      <diagonal/>
    </border>
    <border>
      <left/>
      <right style="medium">
        <color rgb="FFC08497"/>
      </right>
      <top style="medium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medium">
        <color rgb="FFC08497"/>
      </bottom>
      <diagonal/>
    </border>
    <border>
      <left style="medium">
        <color rgb="FFC08497"/>
      </left>
      <right style="thin">
        <color rgb="FFDDDDDD"/>
      </right>
      <top style="thin">
        <color rgb="FFDDDDDD"/>
      </top>
      <bottom style="medium">
        <color indexed="64"/>
      </bottom>
      <diagonal/>
    </border>
    <border>
      <left style="medium">
        <color rgb="FFC08497"/>
      </left>
      <right/>
      <top/>
      <bottom style="thin">
        <color indexed="64"/>
      </bottom>
      <diagonal/>
    </border>
    <border>
      <left style="medium">
        <color rgb="FFC0849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8497"/>
      </left>
      <right style="thin">
        <color indexed="64"/>
      </right>
      <top style="thin">
        <color indexed="64"/>
      </top>
      <bottom/>
      <diagonal/>
    </border>
    <border>
      <left style="medium">
        <color rgb="FFC08497"/>
      </left>
      <right style="thin">
        <color rgb="FF92D050"/>
      </right>
      <top style="thin">
        <color rgb="FF92D050"/>
      </top>
      <bottom style="medium">
        <color rgb="FFC08497"/>
      </bottom>
      <diagonal/>
    </border>
    <border>
      <left/>
      <right style="medium">
        <color rgb="FFC08497"/>
      </right>
      <top/>
      <bottom style="medium">
        <color indexed="64"/>
      </bottom>
      <diagonal/>
    </border>
    <border>
      <left/>
      <right style="medium">
        <color rgb="FFC08497"/>
      </right>
      <top/>
      <bottom style="thin">
        <color indexed="64"/>
      </bottom>
      <diagonal/>
    </border>
    <border>
      <left style="thin">
        <color indexed="64"/>
      </left>
      <right style="medium">
        <color rgb="FFC0849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C08497"/>
      </right>
      <top style="thin">
        <color indexed="64"/>
      </top>
      <bottom/>
      <diagonal/>
    </border>
    <border>
      <left style="thin">
        <color rgb="FF92D050"/>
      </left>
      <right style="medium">
        <color rgb="FFC08497"/>
      </right>
      <top style="thin">
        <color rgb="FF92D050"/>
      </top>
      <bottom style="medium">
        <color rgb="FFC08497"/>
      </bottom>
      <diagonal/>
    </border>
    <border>
      <left style="medium">
        <color rgb="FFC08497"/>
      </left>
      <right style="thin">
        <color rgb="FFDDDDDD"/>
      </right>
      <top style="thin">
        <color rgb="FFDDDDDD"/>
      </top>
      <bottom style="medium">
        <color rgb="FFC08497"/>
      </bottom>
      <diagonal/>
    </border>
    <border>
      <left style="thin">
        <color rgb="FFDDDDDD"/>
      </left>
      <right style="medium">
        <color rgb="FFC08497"/>
      </right>
      <top style="thin">
        <color rgb="FFDDDDDD"/>
      </top>
      <bottom style="medium">
        <color rgb="FFC08497"/>
      </bottom>
      <diagonal/>
    </border>
    <border>
      <left style="medium">
        <color rgb="FFC08497"/>
      </left>
      <right/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C08497"/>
      </bottom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 style="thin">
        <color rgb="FFE8D8DD"/>
      </bottom>
      <diagonal/>
    </border>
    <border>
      <left/>
      <right style="thick">
        <color rgb="FFFFFFFF"/>
      </right>
      <top/>
      <bottom style="thin">
        <color rgb="FFE8D8D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E8D8DD"/>
      </bottom>
      <diagonal/>
    </border>
    <border>
      <left/>
      <right style="thin">
        <color indexed="64"/>
      </right>
      <top/>
      <bottom style="thin">
        <color rgb="FFE8D8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E8D8DD"/>
      </top>
      <bottom/>
      <diagonal/>
    </border>
    <border>
      <left/>
      <right/>
      <top style="thin">
        <color rgb="FFE8D8DD"/>
      </top>
      <bottom/>
      <diagonal/>
    </border>
    <border>
      <left/>
      <right style="thin">
        <color indexed="64"/>
      </right>
      <top style="thin">
        <color rgb="FFE8D8DD"/>
      </top>
      <bottom/>
      <diagonal/>
    </border>
    <border>
      <left style="medium">
        <color rgb="FFC08497"/>
      </left>
      <right style="thin">
        <color rgb="FFDDDDDD"/>
      </right>
      <top style="thin">
        <color rgb="FFDDDDDD"/>
      </top>
      <bottom/>
      <diagonal/>
    </border>
    <border>
      <left style="medium">
        <color rgb="FFC08497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C08497"/>
      </right>
      <top style="thin">
        <color rgb="FFDDDDDD"/>
      </top>
      <bottom/>
      <diagonal/>
    </border>
    <border>
      <left style="thin">
        <color rgb="FFDDDDDD"/>
      </left>
      <right style="medium">
        <color rgb="FFC08497"/>
      </right>
      <top/>
      <bottom style="thin">
        <color rgb="FFDDDDDD"/>
      </bottom>
      <diagonal/>
    </border>
    <border>
      <left style="thin">
        <color rgb="FFDDDDDD"/>
      </left>
      <right style="medium">
        <color rgb="FFC08497"/>
      </right>
      <top/>
      <bottom/>
      <diagonal/>
    </border>
  </borders>
  <cellStyleXfs count="1">
    <xf numFmtId="0" fontId="0" fillId="0" borderId="0"/>
  </cellStyleXfs>
  <cellXfs count="483">
    <xf numFmtId="0" fontId="0" fillId="0" borderId="0" xfId="0"/>
    <xf numFmtId="0" fontId="1" fillId="0" borderId="0" xfId="0" applyFont="1"/>
    <xf numFmtId="0" fontId="0" fillId="6" borderId="0" xfId="0" applyFill="1"/>
    <xf numFmtId="0" fontId="2" fillId="0" borderId="0" xfId="0" applyFont="1"/>
    <xf numFmtId="0" fontId="0" fillId="8" borderId="0" xfId="0" applyFill="1"/>
    <xf numFmtId="0" fontId="1" fillId="8" borderId="0" xfId="0" applyFont="1" applyFill="1"/>
    <xf numFmtId="167" fontId="5" fillId="0" borderId="4" xfId="0" applyNumberFormat="1" applyFont="1" applyBorder="1" applyAlignment="1">
      <alignment horizontal="right"/>
    </xf>
    <xf numFmtId="173" fontId="5" fillId="0" borderId="4" xfId="0" applyNumberFormat="1" applyFont="1" applyBorder="1" applyAlignment="1">
      <alignment horizontal="right"/>
    </xf>
    <xf numFmtId="164" fontId="5" fillId="0" borderId="4" xfId="0" applyNumberFormat="1" applyFont="1" applyBorder="1" applyAlignment="1">
      <alignment horizontal="right"/>
    </xf>
    <xf numFmtId="174" fontId="5" fillId="0" borderId="4" xfId="0" applyNumberFormat="1" applyFont="1" applyBorder="1" applyAlignment="1">
      <alignment horizontal="right"/>
    </xf>
    <xf numFmtId="175" fontId="5" fillId="0" borderId="9" xfId="0" applyNumberFormat="1" applyFont="1" applyBorder="1" applyAlignment="1">
      <alignment horizontal="right"/>
    </xf>
    <xf numFmtId="0" fontId="6" fillId="5" borderId="55" xfId="0" applyFont="1" applyFill="1" applyBorder="1"/>
    <xf numFmtId="0" fontId="6" fillId="5" borderId="56" xfId="0" applyFont="1" applyFill="1" applyBorder="1"/>
    <xf numFmtId="0" fontId="6" fillId="5" borderId="57" xfId="0" applyFont="1" applyFill="1" applyBorder="1"/>
    <xf numFmtId="0" fontId="6" fillId="5" borderId="0" xfId="0" applyFont="1" applyFill="1"/>
    <xf numFmtId="0" fontId="6" fillId="0" borderId="0" xfId="0" applyFont="1"/>
    <xf numFmtId="0" fontId="7" fillId="5" borderId="58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8" fillId="5" borderId="0" xfId="0" applyFont="1" applyFill="1" applyBorder="1" applyAlignment="1"/>
    <xf numFmtId="0" fontId="6" fillId="5" borderId="0" xfId="0" applyFont="1" applyFill="1" applyBorder="1"/>
    <xf numFmtId="0" fontId="6" fillId="5" borderId="59" xfId="0" applyFont="1" applyFill="1" applyBorder="1"/>
    <xf numFmtId="0" fontId="9" fillId="5" borderId="58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6" fillId="20" borderId="58" xfId="0" applyFont="1" applyFill="1" applyBorder="1"/>
    <xf numFmtId="0" fontId="6" fillId="20" borderId="0" xfId="0" applyFont="1" applyFill="1" applyBorder="1"/>
    <xf numFmtId="0" fontId="6" fillId="31" borderId="0" xfId="0" applyFont="1" applyFill="1" applyBorder="1"/>
    <xf numFmtId="0" fontId="6" fillId="31" borderId="59" xfId="0" applyFont="1" applyFill="1" applyBorder="1"/>
    <xf numFmtId="0" fontId="10" fillId="14" borderId="58" xfId="0" applyFont="1" applyFill="1" applyBorder="1" applyAlignment="1">
      <alignment horizontal="center"/>
    </xf>
    <xf numFmtId="0" fontId="11" fillId="21" borderId="54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vertical="center"/>
    </xf>
    <xf numFmtId="0" fontId="6" fillId="5" borderId="0" xfId="0" applyFont="1" applyFill="1" applyBorder="1" applyAlignment="1">
      <alignment vertical="center"/>
    </xf>
    <xf numFmtId="0" fontId="6" fillId="5" borderId="58" xfId="0" applyFont="1" applyFill="1" applyBorder="1"/>
    <xf numFmtId="0" fontId="6" fillId="22" borderId="50" xfId="0" applyFont="1" applyFill="1" applyBorder="1"/>
    <xf numFmtId="0" fontId="6" fillId="22" borderId="0" xfId="0" applyFont="1" applyFill="1" applyBorder="1"/>
    <xf numFmtId="0" fontId="6" fillId="29" borderId="50" xfId="0" applyFont="1" applyFill="1" applyBorder="1"/>
    <xf numFmtId="0" fontId="6" fillId="29" borderId="0" xfId="0" applyFont="1" applyFill="1" applyBorder="1"/>
    <xf numFmtId="0" fontId="6" fillId="20" borderId="50" xfId="0" applyFont="1" applyFill="1" applyBorder="1"/>
    <xf numFmtId="0" fontId="6" fillId="31" borderId="50" xfId="0" applyFont="1" applyFill="1" applyBorder="1"/>
    <xf numFmtId="0" fontId="13" fillId="21" borderId="58" xfId="0" applyFont="1" applyFill="1" applyBorder="1" applyAlignment="1">
      <alignment horizontal="center"/>
    </xf>
    <xf numFmtId="0" fontId="13" fillId="21" borderId="51" xfId="0" applyFont="1" applyFill="1" applyBorder="1" applyAlignment="1">
      <alignment horizontal="center"/>
    </xf>
    <xf numFmtId="0" fontId="13" fillId="21" borderId="50" xfId="0" applyFont="1" applyFill="1" applyBorder="1" applyAlignment="1">
      <alignment horizontal="center"/>
    </xf>
    <xf numFmtId="0" fontId="13" fillId="21" borderId="59" xfId="0" applyFont="1" applyFill="1" applyBorder="1" applyAlignment="1">
      <alignment horizontal="center"/>
    </xf>
    <xf numFmtId="189" fontId="14" fillId="21" borderId="58" xfId="0" applyNumberFormat="1" applyFont="1" applyFill="1" applyBorder="1" applyAlignment="1">
      <alignment horizontal="center"/>
    </xf>
    <xf numFmtId="189" fontId="14" fillId="21" borderId="51" xfId="0" applyNumberFormat="1" applyFont="1" applyFill="1" applyBorder="1" applyAlignment="1">
      <alignment horizontal="center"/>
    </xf>
    <xf numFmtId="189" fontId="14" fillId="21" borderId="50" xfId="0" applyNumberFormat="1" applyFont="1" applyFill="1" applyBorder="1" applyAlignment="1">
      <alignment horizontal="center"/>
    </xf>
    <xf numFmtId="0" fontId="14" fillId="21" borderId="50" xfId="0" applyFont="1" applyFill="1" applyBorder="1" applyAlignment="1">
      <alignment horizontal="center"/>
    </xf>
    <xf numFmtId="0" fontId="14" fillId="21" borderId="51" xfId="0" applyFont="1" applyFill="1" applyBorder="1" applyAlignment="1">
      <alignment horizontal="center"/>
    </xf>
    <xf numFmtId="189" fontId="14" fillId="21" borderId="59" xfId="0" applyNumberFormat="1" applyFont="1" applyFill="1" applyBorder="1" applyAlignment="1">
      <alignment horizontal="center"/>
    </xf>
    <xf numFmtId="0" fontId="15" fillId="21" borderId="60" xfId="0" applyFont="1" applyFill="1" applyBorder="1" applyAlignment="1">
      <alignment horizontal="center"/>
    </xf>
    <xf numFmtId="0" fontId="15" fillId="21" borderId="53" xfId="0" applyFont="1" applyFill="1" applyBorder="1" applyAlignment="1">
      <alignment horizontal="center"/>
    </xf>
    <xf numFmtId="0" fontId="15" fillId="21" borderId="52" xfId="0" applyFont="1" applyFill="1" applyBorder="1" applyAlignment="1">
      <alignment horizontal="center"/>
    </xf>
    <xf numFmtId="0" fontId="15" fillId="21" borderId="61" xfId="0" applyFont="1" applyFill="1" applyBorder="1" applyAlignment="1">
      <alignment horizontal="center"/>
    </xf>
    <xf numFmtId="0" fontId="6" fillId="6" borderId="0" xfId="0" applyFont="1" applyFill="1"/>
    <xf numFmtId="0" fontId="6" fillId="29" borderId="58" xfId="0" applyFont="1" applyFill="1" applyBorder="1"/>
    <xf numFmtId="0" fontId="6" fillId="29" borderId="59" xfId="0" applyFont="1" applyFill="1" applyBorder="1"/>
    <xf numFmtId="3" fontId="14" fillId="21" borderId="50" xfId="0" applyNumberFormat="1" applyFont="1" applyFill="1" applyBorder="1" applyAlignment="1">
      <alignment horizontal="center"/>
    </xf>
    <xf numFmtId="3" fontId="14" fillId="21" borderId="51" xfId="0" applyNumberFormat="1" applyFont="1" applyFill="1" applyBorder="1" applyAlignment="1">
      <alignment horizontal="center"/>
    </xf>
    <xf numFmtId="176" fontId="14" fillId="21" borderId="50" xfId="0" applyNumberFormat="1" applyFont="1" applyFill="1" applyBorder="1" applyAlignment="1">
      <alignment horizontal="center"/>
    </xf>
    <xf numFmtId="176" fontId="14" fillId="21" borderId="51" xfId="0" applyNumberFormat="1" applyFont="1" applyFill="1" applyBorder="1" applyAlignment="1">
      <alignment horizontal="center"/>
    </xf>
    <xf numFmtId="168" fontId="14" fillId="21" borderId="50" xfId="0" applyNumberFormat="1" applyFont="1" applyFill="1" applyBorder="1" applyAlignment="1">
      <alignment horizontal="center"/>
    </xf>
    <xf numFmtId="168" fontId="14" fillId="21" borderId="59" xfId="0" applyNumberFormat="1" applyFont="1" applyFill="1" applyBorder="1" applyAlignment="1">
      <alignment horizontal="center"/>
    </xf>
    <xf numFmtId="0" fontId="11" fillId="5" borderId="64" xfId="0" applyFont="1" applyFill="1" applyBorder="1" applyAlignment="1">
      <alignment horizontal="left" vertical="center"/>
    </xf>
    <xf numFmtId="0" fontId="11" fillId="5" borderId="65" xfId="0" applyFont="1" applyFill="1" applyBorder="1" applyAlignment="1">
      <alignment horizontal="left" vertical="center"/>
    </xf>
    <xf numFmtId="0" fontId="16" fillId="5" borderId="65" xfId="0" applyFont="1" applyFill="1" applyBorder="1" applyAlignment="1">
      <alignment horizontal="right" vertical="center"/>
    </xf>
    <xf numFmtId="0" fontId="16" fillId="5" borderId="66" xfId="0" applyFont="1" applyFill="1" applyBorder="1" applyAlignment="1">
      <alignment horizontal="right" vertical="center"/>
    </xf>
    <xf numFmtId="0" fontId="11" fillId="5" borderId="58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left" vertical="center"/>
    </xf>
    <xf numFmtId="0" fontId="16" fillId="5" borderId="0" xfId="0" applyFont="1" applyFill="1" applyBorder="1" applyAlignment="1">
      <alignment horizontal="right" vertical="center"/>
    </xf>
    <xf numFmtId="0" fontId="16" fillId="5" borderId="59" xfId="0" applyFont="1" applyFill="1" applyBorder="1" applyAlignment="1">
      <alignment horizontal="right" vertical="center"/>
    </xf>
    <xf numFmtId="0" fontId="11" fillId="5" borderId="58" xfId="0" applyFont="1" applyFill="1" applyBorder="1"/>
    <xf numFmtId="0" fontId="11" fillId="5" borderId="0" xfId="0" applyFont="1" applyFill="1" applyBorder="1"/>
    <xf numFmtId="0" fontId="11" fillId="5" borderId="59" xfId="0" applyFont="1" applyFill="1" applyBorder="1"/>
    <xf numFmtId="0" fontId="17" fillId="0" borderId="0" xfId="0" applyFont="1"/>
    <xf numFmtId="0" fontId="18" fillId="5" borderId="58" xfId="0" applyFont="1" applyFill="1" applyBorder="1"/>
    <xf numFmtId="0" fontId="18" fillId="5" borderId="0" xfId="0" applyFont="1" applyFill="1" applyBorder="1"/>
    <xf numFmtId="0" fontId="18" fillId="5" borderId="59" xfId="0" applyFont="1" applyFill="1" applyBorder="1"/>
    <xf numFmtId="0" fontId="18" fillId="5" borderId="62" xfId="0" applyFont="1" applyFill="1" applyBorder="1"/>
    <xf numFmtId="0" fontId="18" fillId="5" borderId="10" xfId="0" applyFont="1" applyFill="1" applyBorder="1"/>
    <xf numFmtId="0" fontId="18" fillId="5" borderId="63" xfId="0" applyFont="1" applyFill="1" applyBorder="1"/>
    <xf numFmtId="3" fontId="6" fillId="0" borderId="0" xfId="0" applyNumberFormat="1" applyFont="1"/>
    <xf numFmtId="0" fontId="19" fillId="0" borderId="0" xfId="0" applyFont="1"/>
    <xf numFmtId="0" fontId="20" fillId="0" borderId="0" xfId="0" applyFont="1" applyAlignment="1">
      <alignment wrapText="1"/>
    </xf>
    <xf numFmtId="0" fontId="6" fillId="20" borderId="0" xfId="0" applyFont="1" applyFill="1"/>
    <xf numFmtId="0" fontId="6" fillId="31" borderId="0" xfId="0" applyFont="1" applyFill="1"/>
    <xf numFmtId="0" fontId="21" fillId="20" borderId="0" xfId="0" applyFont="1" applyFill="1"/>
    <xf numFmtId="0" fontId="22" fillId="21" borderId="0" xfId="0" applyFont="1" applyFill="1" applyAlignment="1">
      <alignment vertical="center"/>
    </xf>
    <xf numFmtId="0" fontId="23" fillId="0" borderId="0" xfId="0" applyFont="1" applyAlignment="1">
      <alignment vertical="center" wrapText="1"/>
    </xf>
    <xf numFmtId="0" fontId="24" fillId="22" borderId="0" xfId="0" applyFont="1" applyFill="1"/>
    <xf numFmtId="0" fontId="24" fillId="22" borderId="0" xfId="0" applyFont="1" applyFill="1" applyAlignment="1">
      <alignment horizontal="center"/>
    </xf>
    <xf numFmtId="0" fontId="25" fillId="21" borderId="0" xfId="0" applyFont="1" applyFill="1"/>
    <xf numFmtId="177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84" fontId="26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5" fillId="21" borderId="49" xfId="0" applyFont="1" applyFill="1" applyBorder="1"/>
    <xf numFmtId="184" fontId="26" fillId="0" borderId="49" xfId="0" applyNumberFormat="1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7" fillId="21" borderId="0" xfId="0" applyFont="1" applyFill="1" applyAlignment="1">
      <alignment wrapText="1"/>
    </xf>
    <xf numFmtId="0" fontId="22" fillId="21" borderId="0" xfId="0" applyFont="1" applyFill="1"/>
    <xf numFmtId="177" fontId="28" fillId="0" borderId="0" xfId="0" applyNumberFormat="1" applyFont="1"/>
    <xf numFmtId="0" fontId="29" fillId="0" borderId="0" xfId="0" applyFont="1"/>
    <xf numFmtId="9" fontId="28" fillId="0" borderId="0" xfId="0" applyNumberFormat="1" applyFont="1"/>
    <xf numFmtId="177" fontId="30" fillId="0" borderId="0" xfId="0" applyNumberFormat="1" applyFont="1"/>
    <xf numFmtId="0" fontId="29" fillId="0" borderId="0" xfId="0" quotePrefix="1" applyFont="1"/>
    <xf numFmtId="0" fontId="23" fillId="0" borderId="0" xfId="0" applyFont="1" applyAlignment="1">
      <alignment vertical="top" wrapText="1"/>
    </xf>
    <xf numFmtId="0" fontId="21" fillId="20" borderId="0" xfId="0" applyFont="1" applyFill="1"/>
    <xf numFmtId="0" fontId="31" fillId="20" borderId="0" xfId="0" applyFont="1" applyFill="1" applyAlignment="1">
      <alignment horizontal="center"/>
    </xf>
    <xf numFmtId="0" fontId="6" fillId="20" borderId="0" xfId="0" applyFont="1" applyFill="1"/>
    <xf numFmtId="0" fontId="23" fillId="21" borderId="0" xfId="0" applyFont="1" applyFill="1"/>
    <xf numFmtId="3" fontId="26" fillId="0" borderId="0" xfId="0" applyNumberFormat="1" applyFont="1" applyAlignment="1">
      <alignment horizontal="center"/>
    </xf>
    <xf numFmtId="0" fontId="29" fillId="0" borderId="0" xfId="0" applyFont="1"/>
    <xf numFmtId="177" fontId="26" fillId="0" borderId="0" xfId="0" applyNumberFormat="1" applyFont="1" applyAlignment="1">
      <alignment horizontal="center"/>
    </xf>
    <xf numFmtId="0" fontId="18" fillId="0" borderId="0" xfId="0" applyFont="1"/>
    <xf numFmtId="185" fontId="26" fillId="0" borderId="0" xfId="0" applyNumberFormat="1" applyFont="1" applyAlignment="1">
      <alignment horizontal="center"/>
    </xf>
    <xf numFmtId="168" fontId="26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74" fontId="22" fillId="0" borderId="0" xfId="0" applyNumberFormat="1" applyFont="1" applyAlignment="1">
      <alignment horizontal="center"/>
    </xf>
    <xf numFmtId="186" fontId="22" fillId="0" borderId="0" xfId="0" applyNumberFormat="1" applyFont="1" applyAlignment="1">
      <alignment horizontal="center"/>
    </xf>
    <xf numFmtId="0" fontId="23" fillId="21" borderId="49" xfId="0" applyFont="1" applyFill="1" applyBorder="1"/>
    <xf numFmtId="186" fontId="22" fillId="0" borderId="49" xfId="0" applyNumberFormat="1" applyFont="1" applyBorder="1" applyAlignment="1">
      <alignment horizontal="center"/>
    </xf>
    <xf numFmtId="187" fontId="22" fillId="0" borderId="49" xfId="0" applyNumberFormat="1" applyFont="1" applyBorder="1" applyAlignment="1">
      <alignment horizontal="center"/>
    </xf>
    <xf numFmtId="0" fontId="29" fillId="0" borderId="49" xfId="0" applyFont="1" applyBorder="1"/>
    <xf numFmtId="0" fontId="23" fillId="21" borderId="0" xfId="0" applyFont="1" applyFill="1" applyAlignment="1">
      <alignment wrapText="1"/>
    </xf>
    <xf numFmtId="0" fontId="32" fillId="21" borderId="0" xfId="0" applyFont="1" applyFill="1" applyAlignment="1">
      <alignment wrapText="1"/>
    </xf>
    <xf numFmtId="0" fontId="20" fillId="0" borderId="0" xfId="0" applyFont="1"/>
    <xf numFmtId="3" fontId="33" fillId="0" borderId="0" xfId="0" applyNumberFormat="1" applyFont="1" applyAlignment="1">
      <alignment horizontal="center"/>
    </xf>
    <xf numFmtId="188" fontId="23" fillId="0" borderId="0" xfId="0" applyNumberFormat="1" applyFont="1" applyAlignment="1">
      <alignment horizontal="center"/>
    </xf>
    <xf numFmtId="0" fontId="9" fillId="0" borderId="0" xfId="0" applyFont="1" applyAlignment="1">
      <alignment wrapText="1"/>
    </xf>
    <xf numFmtId="168" fontId="23" fillId="0" borderId="0" xfId="0" applyNumberFormat="1" applyFont="1" applyAlignment="1">
      <alignment horizontal="center"/>
    </xf>
    <xf numFmtId="189" fontId="23" fillId="0" borderId="0" xfId="0" applyNumberFormat="1" applyFont="1" applyAlignment="1">
      <alignment horizontal="center"/>
    </xf>
    <xf numFmtId="10" fontId="23" fillId="0" borderId="0" xfId="0" applyNumberFormat="1" applyFont="1" applyAlignment="1">
      <alignment horizontal="center"/>
    </xf>
    <xf numFmtId="0" fontId="34" fillId="0" borderId="0" xfId="0" applyFont="1" applyAlignment="1">
      <alignment wrapText="1"/>
    </xf>
    <xf numFmtId="3" fontId="26" fillId="0" borderId="49" xfId="0" applyNumberFormat="1" applyFont="1" applyBorder="1" applyAlignment="1">
      <alignment horizontal="center"/>
    </xf>
    <xf numFmtId="190" fontId="23" fillId="0" borderId="49" xfId="0" applyNumberFormat="1" applyFont="1" applyBorder="1" applyAlignment="1">
      <alignment horizontal="center"/>
    </xf>
    <xf numFmtId="168" fontId="23" fillId="0" borderId="49" xfId="0" applyNumberFormat="1" applyFont="1" applyBorder="1" applyAlignment="1">
      <alignment horizontal="center"/>
    </xf>
    <xf numFmtId="0" fontId="9" fillId="0" borderId="49" xfId="0" applyFont="1" applyBorder="1" applyAlignment="1">
      <alignment wrapText="1"/>
    </xf>
    <xf numFmtId="0" fontId="27" fillId="21" borderId="0" xfId="0" applyFont="1" applyFill="1"/>
    <xf numFmtId="0" fontId="24" fillId="22" borderId="0" xfId="0" applyFont="1" applyFill="1" applyAlignment="1">
      <alignment wrapText="1"/>
    </xf>
    <xf numFmtId="0" fontId="9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9" fontId="26" fillId="0" borderId="49" xfId="0" applyNumberFormat="1" applyFont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6" fillId="0" borderId="49" xfId="0" applyFont="1" applyBorder="1"/>
    <xf numFmtId="0" fontId="24" fillId="22" borderId="0" xfId="0" applyFont="1" applyFill="1" applyAlignment="1">
      <alignment horizontal="center"/>
    </xf>
    <xf numFmtId="0" fontId="23" fillId="21" borderId="0" xfId="0" applyFont="1" applyFill="1" applyAlignment="1">
      <alignment vertical="center"/>
    </xf>
    <xf numFmtId="0" fontId="23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24" fillId="31" borderId="49" xfId="0" applyFont="1" applyFill="1" applyBorder="1" applyAlignment="1">
      <alignment vertical="center"/>
    </xf>
    <xf numFmtId="0" fontId="25" fillId="32" borderId="49" xfId="0" applyFont="1" applyFill="1" applyBorder="1" applyAlignment="1">
      <alignment horizontal="center" vertical="center"/>
    </xf>
    <xf numFmtId="0" fontId="25" fillId="32" borderId="49" xfId="0" applyFont="1" applyFill="1" applyBorder="1" applyAlignment="1">
      <alignment horizontal="center" vertical="center"/>
    </xf>
    <xf numFmtId="0" fontId="35" fillId="32" borderId="49" xfId="0" applyFont="1" applyFill="1" applyBorder="1" applyAlignment="1">
      <alignment vertical="center" wrapText="1"/>
    </xf>
    <xf numFmtId="0" fontId="35" fillId="32" borderId="0" xfId="0" applyFont="1" applyFill="1" applyAlignment="1">
      <alignment vertical="center" wrapText="1"/>
    </xf>
    <xf numFmtId="0" fontId="34" fillId="21" borderId="0" xfId="0" applyFont="1" applyFill="1"/>
    <xf numFmtId="0" fontId="36" fillId="25" borderId="0" xfId="0" applyFont="1" applyFill="1"/>
    <xf numFmtId="0" fontId="36" fillId="20" borderId="0" xfId="0" applyFont="1" applyFill="1"/>
    <xf numFmtId="0" fontId="37" fillId="22" borderId="0" xfId="0" applyFont="1" applyFill="1"/>
    <xf numFmtId="0" fontId="36" fillId="22" borderId="0" xfId="0" applyFont="1" applyFill="1"/>
    <xf numFmtId="179" fontId="11" fillId="25" borderId="0" xfId="0" applyNumberFormat="1" applyFont="1" applyFill="1"/>
    <xf numFmtId="0" fontId="38" fillId="25" borderId="0" xfId="0" applyFont="1" applyFill="1"/>
    <xf numFmtId="9" fontId="11" fillId="25" borderId="0" xfId="0" applyNumberFormat="1" applyFont="1" applyFill="1"/>
    <xf numFmtId="0" fontId="38" fillId="25" borderId="0" xfId="0" quotePrefix="1" applyFont="1" applyFill="1"/>
    <xf numFmtId="0" fontId="11" fillId="21" borderId="0" xfId="0" applyFont="1" applyFill="1"/>
    <xf numFmtId="0" fontId="11" fillId="21" borderId="0" xfId="0" applyFont="1" applyFill="1" applyAlignment="1">
      <alignment horizontal="center"/>
    </xf>
    <xf numFmtId="3" fontId="36" fillId="25" borderId="0" xfId="0" applyNumberFormat="1" applyFont="1" applyFill="1" applyAlignment="1">
      <alignment horizontal="center"/>
    </xf>
    <xf numFmtId="3" fontId="11" fillId="25" borderId="0" xfId="0" applyNumberFormat="1" applyFont="1" applyFill="1" applyAlignment="1">
      <alignment horizontal="center"/>
    </xf>
    <xf numFmtId="179" fontId="36" fillId="25" borderId="0" xfId="0" applyNumberFormat="1" applyFont="1" applyFill="1" applyAlignment="1">
      <alignment horizontal="center"/>
    </xf>
    <xf numFmtId="179" fontId="11" fillId="25" borderId="0" xfId="0" applyNumberFormat="1" applyFont="1" applyFill="1" applyAlignment="1">
      <alignment horizontal="center"/>
    </xf>
    <xf numFmtId="9" fontId="36" fillId="25" borderId="0" xfId="0" applyNumberFormat="1" applyFont="1" applyFill="1" applyAlignment="1">
      <alignment horizontal="center"/>
    </xf>
    <xf numFmtId="9" fontId="11" fillId="25" borderId="0" xfId="0" applyNumberFormat="1" applyFont="1" applyFill="1" applyAlignment="1">
      <alignment horizontal="center"/>
    </xf>
    <xf numFmtId="180" fontId="36" fillId="25" borderId="0" xfId="0" applyNumberFormat="1" applyFont="1" applyFill="1" applyAlignment="1">
      <alignment horizontal="center"/>
    </xf>
    <xf numFmtId="180" fontId="11" fillId="25" borderId="0" xfId="0" applyNumberFormat="1" applyFont="1" applyFill="1" applyAlignment="1">
      <alignment horizontal="center"/>
    </xf>
    <xf numFmtId="181" fontId="36" fillId="25" borderId="0" xfId="0" applyNumberFormat="1" applyFont="1" applyFill="1" applyAlignment="1">
      <alignment horizontal="center"/>
    </xf>
    <xf numFmtId="182" fontId="36" fillId="25" borderId="0" xfId="0" applyNumberFormat="1" applyFont="1" applyFill="1" applyAlignment="1">
      <alignment horizontal="center"/>
    </xf>
    <xf numFmtId="0" fontId="39" fillId="21" borderId="0" xfId="0" applyFont="1" applyFill="1"/>
    <xf numFmtId="181" fontId="39" fillId="21" borderId="0" xfId="0" applyNumberFormat="1" applyFont="1" applyFill="1" applyAlignment="1">
      <alignment horizontal="center"/>
    </xf>
    <xf numFmtId="181" fontId="11" fillId="21" borderId="0" xfId="0" applyNumberFormat="1" applyFont="1" applyFill="1" applyAlignment="1">
      <alignment horizontal="center"/>
    </xf>
    <xf numFmtId="182" fontId="11" fillId="21" borderId="0" xfId="0" applyNumberFormat="1" applyFont="1" applyFill="1" applyAlignment="1">
      <alignment horizontal="center"/>
    </xf>
    <xf numFmtId="9" fontId="40" fillId="25" borderId="0" xfId="0" applyNumberFormat="1" applyFont="1" applyFill="1" applyAlignment="1">
      <alignment horizontal="center"/>
    </xf>
    <xf numFmtId="179" fontId="41" fillId="25" borderId="0" xfId="0" applyNumberFormat="1" applyFont="1" applyFill="1"/>
    <xf numFmtId="0" fontId="39" fillId="25" borderId="0" xfId="0" applyFont="1" applyFill="1"/>
    <xf numFmtId="0" fontId="37" fillId="20" borderId="0" xfId="0" applyFont="1" applyFill="1"/>
    <xf numFmtId="0" fontId="42" fillId="25" borderId="0" xfId="0" applyFont="1" applyFill="1"/>
    <xf numFmtId="0" fontId="38" fillId="25" borderId="0" xfId="0" applyFont="1" applyFill="1" applyAlignment="1">
      <alignment horizontal="left" vertical="center" wrapText="1"/>
    </xf>
    <xf numFmtId="0" fontId="36" fillId="0" borderId="0" xfId="0" applyFont="1"/>
    <xf numFmtId="0" fontId="37" fillId="22" borderId="24" xfId="0" applyFont="1" applyFill="1" applyBorder="1"/>
    <xf numFmtId="0" fontId="11" fillId="21" borderId="25" xfId="0" applyFont="1" applyFill="1" applyBorder="1" applyAlignment="1">
      <alignment horizontal="center"/>
    </xf>
    <xf numFmtId="9" fontId="43" fillId="0" borderId="25" xfId="0" applyNumberFormat="1" applyFont="1" applyBorder="1" applyAlignment="1">
      <alignment horizontal="center"/>
    </xf>
    <xf numFmtId="183" fontId="36" fillId="0" borderId="25" xfId="0" applyNumberFormat="1" applyFont="1" applyBorder="1" applyAlignment="1">
      <alignment horizontal="center"/>
    </xf>
    <xf numFmtId="179" fontId="36" fillId="0" borderId="25" xfId="0" applyNumberFormat="1" applyFont="1" applyBorder="1" applyAlignment="1">
      <alignment horizontal="center"/>
    </xf>
    <xf numFmtId="182" fontId="36" fillId="0" borderId="25" xfId="0" applyNumberFormat="1" applyFont="1" applyBorder="1" applyAlignment="1">
      <alignment horizontal="center"/>
    </xf>
    <xf numFmtId="0" fontId="36" fillId="0" borderId="25" xfId="0" applyFont="1" applyBorder="1" applyAlignment="1">
      <alignment horizontal="left"/>
    </xf>
    <xf numFmtId="9" fontId="40" fillId="26" borderId="25" xfId="0" applyNumberFormat="1" applyFont="1" applyFill="1" applyBorder="1" applyAlignment="1">
      <alignment horizontal="center"/>
    </xf>
    <xf numFmtId="183" fontId="36" fillId="27" borderId="25" xfId="0" applyNumberFormat="1" applyFont="1" applyFill="1" applyBorder="1" applyAlignment="1">
      <alignment horizontal="center"/>
    </xf>
    <xf numFmtId="179" fontId="36" fillId="27" borderId="25" xfId="0" applyNumberFormat="1" applyFont="1" applyFill="1" applyBorder="1" applyAlignment="1">
      <alignment horizontal="center"/>
    </xf>
    <xf numFmtId="182" fontId="36" fillId="27" borderId="25" xfId="0" applyNumberFormat="1" applyFont="1" applyFill="1" applyBorder="1" applyAlignment="1">
      <alignment horizontal="center"/>
    </xf>
    <xf numFmtId="0" fontId="36" fillId="27" borderId="25" xfId="0" applyFont="1" applyFill="1" applyBorder="1" applyAlignment="1">
      <alignment horizontal="left"/>
    </xf>
    <xf numFmtId="0" fontId="44" fillId="0" borderId="23" xfId="0" applyFont="1" applyBorder="1" applyAlignment="1">
      <alignment horizontal="left" wrapText="1"/>
    </xf>
    <xf numFmtId="0" fontId="44" fillId="0" borderId="0" xfId="0" applyFont="1" applyAlignment="1">
      <alignment horizontal="left" wrapText="1"/>
    </xf>
    <xf numFmtId="0" fontId="24" fillId="20" borderId="0" xfId="0" applyFont="1" applyFill="1"/>
    <xf numFmtId="0" fontId="24" fillId="20" borderId="0" xfId="0" applyFont="1" applyFill="1" applyAlignment="1">
      <alignment horizontal="center" vertical="center"/>
    </xf>
    <xf numFmtId="0" fontId="24" fillId="20" borderId="0" xfId="0" applyFont="1" applyFill="1" applyAlignment="1">
      <alignment horizontal="center"/>
    </xf>
    <xf numFmtId="191" fontId="23" fillId="0" borderId="0" xfId="0" applyNumberFormat="1" applyFont="1" applyAlignment="1">
      <alignment horizontal="right"/>
    </xf>
    <xf numFmtId="191" fontId="25" fillId="0" borderId="0" xfId="0" applyNumberFormat="1" applyFont="1" applyAlignment="1">
      <alignment horizontal="right"/>
    </xf>
    <xf numFmtId="0" fontId="9" fillId="0" borderId="0" xfId="0" applyFont="1"/>
    <xf numFmtId="0" fontId="45" fillId="21" borderId="0" xfId="0" applyFont="1" applyFill="1"/>
    <xf numFmtId="168" fontId="46" fillId="0" borderId="0" xfId="0" applyNumberFormat="1" applyFont="1" applyAlignment="1">
      <alignment horizontal="right"/>
    </xf>
    <xf numFmtId="0" fontId="47" fillId="0" borderId="0" xfId="0" applyFont="1"/>
    <xf numFmtId="191" fontId="47" fillId="0" borderId="0" xfId="0" applyNumberFormat="1" applyFont="1" applyAlignment="1">
      <alignment horizontal="right"/>
    </xf>
    <xf numFmtId="191" fontId="21" fillId="20" borderId="0" xfId="0" applyNumberFormat="1" applyFont="1" applyFill="1" applyAlignment="1">
      <alignment horizontal="right"/>
    </xf>
    <xf numFmtId="0" fontId="48" fillId="21" borderId="0" xfId="0" applyFont="1" applyFill="1"/>
    <xf numFmtId="0" fontId="6" fillId="0" borderId="0" xfId="0" applyFont="1" applyAlignment="1">
      <alignment horizontal="right"/>
    </xf>
    <xf numFmtId="191" fontId="49" fillId="0" borderId="0" xfId="0" applyNumberFormat="1" applyFont="1" applyAlignment="1">
      <alignment horizontal="right"/>
    </xf>
    <xf numFmtId="0" fontId="12" fillId="0" borderId="49" xfId="0" applyFont="1" applyBorder="1"/>
    <xf numFmtId="0" fontId="12" fillId="0" borderId="49" xfId="0" applyFont="1" applyBorder="1" applyAlignment="1">
      <alignment horizontal="right"/>
    </xf>
    <xf numFmtId="0" fontId="6" fillId="0" borderId="49" xfId="0" applyFont="1" applyBorder="1" applyAlignment="1">
      <alignment horizontal="right"/>
    </xf>
    <xf numFmtId="0" fontId="50" fillId="22" borderId="0" xfId="0" applyFont="1" applyFill="1"/>
    <xf numFmtId="0" fontId="50" fillId="22" borderId="0" xfId="0" applyFont="1" applyFill="1" applyAlignment="1">
      <alignment horizontal="center"/>
    </xf>
    <xf numFmtId="0" fontId="51" fillId="21" borderId="0" xfId="0" applyFont="1" applyFill="1"/>
    <xf numFmtId="191" fontId="52" fillId="0" borderId="0" xfId="0" applyNumberFormat="1" applyFont="1" applyAlignment="1">
      <alignment horizontal="right"/>
    </xf>
    <xf numFmtId="0" fontId="53" fillId="21" borderId="49" xfId="0" applyFont="1" applyFill="1" applyBorder="1"/>
    <xf numFmtId="191" fontId="54" fillId="0" borderId="49" xfId="0" applyNumberFormat="1" applyFont="1" applyBorder="1" applyAlignment="1">
      <alignment horizontal="right"/>
    </xf>
    <xf numFmtId="185" fontId="55" fillId="0" borderId="0" xfId="0" applyNumberFormat="1" applyFont="1"/>
    <xf numFmtId="0" fontId="9" fillId="0" borderId="0" xfId="0" applyFont="1"/>
    <xf numFmtId="176" fontId="55" fillId="0" borderId="0" xfId="0" applyNumberFormat="1" applyFont="1"/>
    <xf numFmtId="0" fontId="51" fillId="21" borderId="0" xfId="0" applyFont="1" applyFill="1" applyAlignment="1">
      <alignment vertical="center" wrapText="1"/>
    </xf>
    <xf numFmtId="0" fontId="51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1" fillId="21" borderId="49" xfId="0" applyFont="1" applyFill="1" applyBorder="1" applyAlignment="1">
      <alignment vertical="center" wrapText="1"/>
    </xf>
    <xf numFmtId="0" fontId="51" fillId="0" borderId="49" xfId="0" applyFont="1" applyBorder="1" applyAlignment="1">
      <alignment horizontal="center" vertical="center" wrapText="1"/>
    </xf>
    <xf numFmtId="0" fontId="54" fillId="0" borderId="49" xfId="0" applyFont="1" applyBorder="1" applyAlignment="1">
      <alignment horizontal="center" vertical="center" wrapText="1"/>
    </xf>
    <xf numFmtId="0" fontId="51" fillId="0" borderId="49" xfId="0" applyFont="1" applyBorder="1" applyAlignment="1">
      <alignment vertical="center" wrapText="1"/>
    </xf>
    <xf numFmtId="0" fontId="9" fillId="0" borderId="49" xfId="0" applyFont="1" applyBorder="1" applyAlignment="1">
      <alignment vertical="center" wrapText="1"/>
    </xf>
    <xf numFmtId="0" fontId="54" fillId="21" borderId="0" xfId="0" applyFont="1" applyFill="1" applyAlignment="1">
      <alignment vertical="center"/>
    </xf>
    <xf numFmtId="0" fontId="51" fillId="0" borderId="0" xfId="0" applyFont="1" applyAlignment="1">
      <alignment horizontal="center" vertical="center"/>
    </xf>
    <xf numFmtId="0" fontId="54" fillId="0" borderId="0" xfId="0" applyFont="1" applyAlignment="1">
      <alignment vertical="center" wrapText="1"/>
    </xf>
    <xf numFmtId="0" fontId="54" fillId="21" borderId="49" xfId="0" applyFont="1" applyFill="1" applyBorder="1" applyAlignment="1">
      <alignment vertical="center"/>
    </xf>
    <xf numFmtId="0" fontId="51" fillId="0" borderId="49" xfId="0" applyFont="1" applyBorder="1" applyAlignment="1">
      <alignment horizontal="center" vertical="center"/>
    </xf>
    <xf numFmtId="0" fontId="54" fillId="0" borderId="49" xfId="0" applyFont="1" applyBorder="1" applyAlignment="1">
      <alignment vertical="center" wrapText="1"/>
    </xf>
    <xf numFmtId="174" fontId="51" fillId="0" borderId="0" xfId="0" applyNumberFormat="1" applyFont="1" applyAlignment="1">
      <alignment horizontal="center"/>
    </xf>
    <xf numFmtId="0" fontId="51" fillId="0" borderId="0" xfId="0" applyFont="1"/>
    <xf numFmtId="176" fontId="51" fillId="0" borderId="0" xfId="0" applyNumberFormat="1" applyFont="1" applyAlignment="1">
      <alignment horizontal="center"/>
    </xf>
    <xf numFmtId="168" fontId="51" fillId="0" borderId="0" xfId="0" applyNumberFormat="1" applyFont="1" applyAlignment="1">
      <alignment horizontal="center"/>
    </xf>
    <xf numFmtId="0" fontId="51" fillId="21" borderId="49" xfId="0" applyFont="1" applyFill="1" applyBorder="1"/>
    <xf numFmtId="185" fontId="51" fillId="0" borderId="49" xfId="0" applyNumberFormat="1" applyFont="1" applyBorder="1" applyAlignment="1">
      <alignment horizontal="center"/>
    </xf>
    <xf numFmtId="0" fontId="51" fillId="0" borderId="49" xfId="0" applyFont="1" applyBorder="1"/>
    <xf numFmtId="0" fontId="56" fillId="23" borderId="17" xfId="0" applyFont="1" applyFill="1" applyBorder="1" applyAlignment="1">
      <alignment horizontal="center" vertical="center"/>
    </xf>
    <xf numFmtId="0" fontId="56" fillId="23" borderId="15" xfId="0" applyFont="1" applyFill="1" applyBorder="1" applyAlignment="1">
      <alignment horizontal="center" vertical="center"/>
    </xf>
    <xf numFmtId="0" fontId="56" fillId="23" borderId="20" xfId="0" applyFont="1" applyFill="1" applyBorder="1" applyAlignment="1">
      <alignment horizontal="center" vertical="center"/>
    </xf>
    <xf numFmtId="0" fontId="10" fillId="28" borderId="18" xfId="0" applyFont="1" applyFill="1" applyBorder="1" applyAlignment="1">
      <alignment horizontal="left" vertical="center"/>
    </xf>
    <xf numFmtId="0" fontId="11" fillId="21" borderId="1" xfId="0" applyFont="1" applyFill="1" applyBorder="1" applyAlignment="1">
      <alignment horizontal="center" vertical="center"/>
    </xf>
    <xf numFmtId="0" fontId="57" fillId="0" borderId="21" xfId="0" applyFont="1" applyBorder="1" applyAlignment="1">
      <alignment vertical="center"/>
    </xf>
    <xf numFmtId="0" fontId="58" fillId="0" borderId="18" xfId="0" applyFont="1" applyBorder="1"/>
    <xf numFmtId="1" fontId="59" fillId="0" borderId="0" xfId="0" applyNumberFormat="1" applyFont="1"/>
    <xf numFmtId="0" fontId="6" fillId="0" borderId="21" xfId="0" applyFont="1" applyBorder="1"/>
    <xf numFmtId="0" fontId="60" fillId="2" borderId="18" xfId="0" applyFont="1" applyFill="1" applyBorder="1" applyAlignment="1">
      <alignment horizontal="left" vertical="center"/>
    </xf>
    <xf numFmtId="177" fontId="60" fillId="2" borderId="0" xfId="0" applyNumberFormat="1" applyFont="1" applyFill="1" applyAlignment="1">
      <alignment horizontal="left" vertical="center"/>
    </xf>
    <xf numFmtId="0" fontId="60" fillId="2" borderId="21" xfId="0" applyFont="1" applyFill="1" applyBorder="1" applyAlignment="1">
      <alignment horizontal="left" vertical="center"/>
    </xf>
    <xf numFmtId="0" fontId="61" fillId="23" borderId="18" xfId="0" applyFont="1" applyFill="1" applyBorder="1" applyAlignment="1">
      <alignment horizontal="left" vertical="center"/>
    </xf>
    <xf numFmtId="0" fontId="61" fillId="23" borderId="0" xfId="0" applyFont="1" applyFill="1" applyAlignment="1">
      <alignment horizontal="left" vertical="center"/>
    </xf>
    <xf numFmtId="0" fontId="61" fillId="23" borderId="21" xfId="0" applyFont="1" applyFill="1" applyBorder="1" applyAlignment="1">
      <alignment horizontal="left" vertical="center"/>
    </xf>
    <xf numFmtId="0" fontId="62" fillId="0" borderId="27" xfId="0" applyFont="1" applyBorder="1" applyAlignment="1">
      <alignment horizontal="left" vertical="center"/>
    </xf>
    <xf numFmtId="167" fontId="5" fillId="0" borderId="2" xfId="0" applyNumberFormat="1" applyFont="1" applyBorder="1" applyAlignment="1">
      <alignment horizontal="right" vertical="center"/>
    </xf>
    <xf numFmtId="0" fontId="63" fillId="0" borderId="21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167" fontId="5" fillId="0" borderId="0" xfId="0" applyNumberFormat="1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171" fontId="5" fillId="0" borderId="2" xfId="0" applyNumberFormat="1" applyFont="1" applyBorder="1" applyAlignment="1">
      <alignment horizontal="right" vertical="center"/>
    </xf>
    <xf numFmtId="168" fontId="5" fillId="0" borderId="2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62" fillId="0" borderId="36" xfId="0" applyFont="1" applyBorder="1" applyAlignment="1">
      <alignment horizontal="left" vertical="center"/>
    </xf>
    <xf numFmtId="0" fontId="63" fillId="0" borderId="41" xfId="0" applyFont="1" applyBorder="1" applyAlignment="1">
      <alignment horizontal="left" vertical="center"/>
    </xf>
    <xf numFmtId="0" fontId="61" fillId="7" borderId="37" xfId="0" applyFont="1" applyFill="1" applyBorder="1" applyAlignment="1">
      <alignment horizontal="left" vertical="center"/>
    </xf>
    <xf numFmtId="0" fontId="61" fillId="7" borderId="10" xfId="0" applyFont="1" applyFill="1" applyBorder="1" applyAlignment="1">
      <alignment horizontal="left" vertical="center"/>
    </xf>
    <xf numFmtId="0" fontId="61" fillId="7" borderId="42" xfId="0" applyFont="1" applyFill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58" fillId="0" borderId="43" xfId="0" applyFont="1" applyBorder="1" applyAlignment="1">
      <alignment horizontal="center" vertical="center"/>
    </xf>
    <xf numFmtId="0" fontId="62" fillId="0" borderId="39" xfId="0" applyFont="1" applyBorder="1" applyAlignment="1">
      <alignment horizontal="left" vertical="center"/>
    </xf>
    <xf numFmtId="0" fontId="58" fillId="0" borderId="44" xfId="0" applyFont="1" applyBorder="1" applyAlignment="1">
      <alignment horizontal="center" vertical="center"/>
    </xf>
    <xf numFmtId="0" fontId="62" fillId="0" borderId="40" xfId="0" applyFont="1" applyBorder="1" applyAlignment="1">
      <alignment horizontal="left" vertical="center"/>
    </xf>
    <xf numFmtId="168" fontId="64" fillId="0" borderId="35" xfId="0" applyNumberFormat="1" applyFont="1" applyBorder="1"/>
    <xf numFmtId="0" fontId="58" fillId="0" borderId="45" xfId="0" applyFont="1" applyBorder="1" applyAlignment="1">
      <alignment horizontal="center" vertical="center"/>
    </xf>
    <xf numFmtId="0" fontId="65" fillId="23" borderId="17" xfId="0" applyFont="1" applyFill="1" applyBorder="1" applyAlignment="1">
      <alignment horizontal="center" vertical="center"/>
    </xf>
    <xf numFmtId="0" fontId="65" fillId="23" borderId="15" xfId="0" applyFont="1" applyFill="1" applyBorder="1" applyAlignment="1">
      <alignment horizontal="center" vertical="center"/>
    </xf>
    <xf numFmtId="0" fontId="65" fillId="23" borderId="20" xfId="0" applyFont="1" applyFill="1" applyBorder="1" applyAlignment="1">
      <alignment horizontal="center" vertical="center"/>
    </xf>
    <xf numFmtId="0" fontId="65" fillId="4" borderId="0" xfId="0" applyFont="1" applyFill="1" applyAlignment="1">
      <alignment vertical="center"/>
    </xf>
    <xf numFmtId="0" fontId="6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67" fillId="12" borderId="27" xfId="0" applyFont="1" applyFill="1" applyBorder="1" applyAlignment="1">
      <alignment horizontal="center" vertical="center"/>
    </xf>
    <xf numFmtId="0" fontId="68" fillId="24" borderId="2" xfId="0" applyFont="1" applyFill="1" applyBorder="1" applyAlignment="1">
      <alignment horizontal="center" vertical="center"/>
    </xf>
    <xf numFmtId="0" fontId="68" fillId="21" borderId="2" xfId="0" applyFont="1" applyFill="1" applyBorder="1" applyAlignment="1">
      <alignment horizontal="center" vertical="center"/>
    </xf>
    <xf numFmtId="0" fontId="67" fillId="12" borderId="31" xfId="0" applyFont="1" applyFill="1" applyBorder="1" applyAlignment="1">
      <alignment horizontal="center" vertical="center"/>
    </xf>
    <xf numFmtId="0" fontId="69" fillId="23" borderId="18" xfId="0" applyFont="1" applyFill="1" applyBorder="1" applyAlignment="1">
      <alignment horizontal="left" vertical="center"/>
    </xf>
    <xf numFmtId="0" fontId="69" fillId="23" borderId="0" xfId="0" applyFont="1" applyFill="1" applyAlignment="1">
      <alignment horizontal="left" vertical="center"/>
    </xf>
    <xf numFmtId="0" fontId="69" fillId="23" borderId="21" xfId="0" applyFont="1" applyFill="1" applyBorder="1" applyAlignment="1">
      <alignment horizontal="left" vertical="center"/>
    </xf>
    <xf numFmtId="167" fontId="70" fillId="24" borderId="2" xfId="0" applyNumberFormat="1" applyFont="1" applyFill="1" applyBorder="1" applyAlignment="1">
      <alignment horizontal="center" vertical="center"/>
    </xf>
    <xf numFmtId="167" fontId="70" fillId="21" borderId="2" xfId="0" applyNumberFormat="1" applyFont="1" applyFill="1" applyBorder="1" applyAlignment="1">
      <alignment horizontal="center" vertical="center"/>
    </xf>
    <xf numFmtId="0" fontId="71" fillId="0" borderId="31" xfId="0" applyFont="1" applyBorder="1" applyAlignment="1">
      <alignment horizontal="left" vertical="center" wrapText="1"/>
    </xf>
    <xf numFmtId="184" fontId="70" fillId="24" borderId="0" xfId="0" applyNumberFormat="1" applyFont="1" applyFill="1" applyBorder="1" applyAlignment="1">
      <alignment horizontal="center" vertical="center"/>
    </xf>
    <xf numFmtId="184" fontId="70" fillId="21" borderId="0" xfId="0" applyNumberFormat="1" applyFont="1" applyFill="1" applyBorder="1" applyAlignment="1">
      <alignment horizontal="center" vertical="center"/>
    </xf>
    <xf numFmtId="0" fontId="71" fillId="0" borderId="21" xfId="0" applyFont="1" applyBorder="1" applyAlignment="1">
      <alignment horizontal="left" vertical="center" wrapText="1"/>
    </xf>
    <xf numFmtId="171" fontId="70" fillId="24" borderId="2" xfId="0" applyNumberFormat="1" applyFont="1" applyFill="1" applyBorder="1" applyAlignment="1">
      <alignment horizontal="center" vertical="center"/>
    </xf>
    <xf numFmtId="171" fontId="70" fillId="21" borderId="2" xfId="0" applyNumberFormat="1" applyFont="1" applyFill="1" applyBorder="1" applyAlignment="1">
      <alignment horizontal="center" vertical="center"/>
    </xf>
    <xf numFmtId="168" fontId="70" fillId="24" borderId="2" xfId="0" applyNumberFormat="1" applyFont="1" applyFill="1" applyBorder="1" applyAlignment="1">
      <alignment horizontal="center" vertical="center"/>
    </xf>
    <xf numFmtId="168" fontId="70" fillId="21" borderId="2" xfId="0" applyNumberFormat="1" applyFont="1" applyFill="1" applyBorder="1" applyAlignment="1">
      <alignment horizontal="center" vertical="center"/>
    </xf>
    <xf numFmtId="3" fontId="70" fillId="24" borderId="2" xfId="0" applyNumberFormat="1" applyFont="1" applyFill="1" applyBorder="1" applyAlignment="1">
      <alignment horizontal="center" vertical="center"/>
    </xf>
    <xf numFmtId="3" fontId="70" fillId="21" borderId="2" xfId="0" applyNumberFormat="1" applyFont="1" applyFill="1" applyBorder="1" applyAlignment="1">
      <alignment horizontal="center" vertical="center"/>
    </xf>
    <xf numFmtId="164" fontId="70" fillId="24" borderId="2" xfId="0" applyNumberFormat="1" applyFont="1" applyFill="1" applyBorder="1" applyAlignment="1">
      <alignment horizontal="center" vertical="center"/>
    </xf>
    <xf numFmtId="164" fontId="70" fillId="21" borderId="2" xfId="0" applyNumberFormat="1" applyFont="1" applyFill="1" applyBorder="1" applyAlignment="1">
      <alignment horizontal="center" vertical="center"/>
    </xf>
    <xf numFmtId="178" fontId="70" fillId="24" borderId="2" xfId="0" applyNumberFormat="1" applyFont="1" applyFill="1" applyBorder="1" applyAlignment="1">
      <alignment horizontal="center" vertical="center"/>
    </xf>
    <xf numFmtId="178" fontId="70" fillId="21" borderId="2" xfId="0" applyNumberFormat="1" applyFont="1" applyFill="1" applyBorder="1" applyAlignment="1">
      <alignment horizontal="center" vertical="center"/>
    </xf>
    <xf numFmtId="0" fontId="58" fillId="21" borderId="28" xfId="0" applyFont="1" applyFill="1" applyBorder="1" applyAlignment="1">
      <alignment horizontal="left" vertical="center" wrapText="1"/>
    </xf>
    <xf numFmtId="0" fontId="58" fillId="21" borderId="3" xfId="0" applyFont="1" applyFill="1" applyBorder="1" applyAlignment="1">
      <alignment horizontal="left" vertical="center" wrapText="1"/>
    </xf>
    <xf numFmtId="0" fontId="58" fillId="21" borderId="32" xfId="0" applyFont="1" applyFill="1" applyBorder="1" applyAlignment="1">
      <alignment horizontal="left" vertical="center" wrapText="1"/>
    </xf>
    <xf numFmtId="0" fontId="58" fillId="21" borderId="18" xfId="0" applyFont="1" applyFill="1" applyBorder="1" applyAlignment="1">
      <alignment horizontal="left" vertical="center" wrapText="1"/>
    </xf>
    <xf numFmtId="177" fontId="58" fillId="21" borderId="0" xfId="0" applyNumberFormat="1" applyFont="1" applyFill="1" applyAlignment="1">
      <alignment horizontal="left" vertical="center" wrapText="1"/>
    </xf>
    <xf numFmtId="0" fontId="58" fillId="21" borderId="0" xfId="0" applyFont="1" applyFill="1" applyAlignment="1">
      <alignment horizontal="left" vertical="center" wrapText="1"/>
    </xf>
    <xf numFmtId="0" fontId="58" fillId="21" borderId="21" xfId="0" applyFont="1" applyFill="1" applyBorder="1" applyAlignment="1">
      <alignment horizontal="left" vertical="center" wrapText="1"/>
    </xf>
    <xf numFmtId="0" fontId="73" fillId="21" borderId="29" xfId="0" applyFont="1" applyFill="1" applyBorder="1" applyAlignment="1">
      <alignment horizontal="left" vertical="center" wrapText="1"/>
    </xf>
    <xf numFmtId="168" fontId="74" fillId="21" borderId="7" xfId="0" applyNumberFormat="1" applyFont="1" applyFill="1" applyBorder="1" applyAlignment="1">
      <alignment horizontal="right" vertical="center" wrapText="1"/>
    </xf>
    <xf numFmtId="0" fontId="71" fillId="21" borderId="33" xfId="0" applyFont="1" applyFill="1" applyBorder="1" applyAlignment="1">
      <alignment horizontal="left" vertical="center" wrapText="1"/>
    </xf>
    <xf numFmtId="0" fontId="6" fillId="0" borderId="18" xfId="0" applyFont="1" applyBorder="1"/>
    <xf numFmtId="0" fontId="75" fillId="7" borderId="30" xfId="0" applyFont="1" applyFill="1" applyBorder="1" applyAlignment="1">
      <alignment horizontal="center"/>
    </xf>
    <xf numFmtId="0" fontId="75" fillId="7" borderId="5" xfId="0" applyFont="1" applyFill="1" applyBorder="1" applyAlignment="1">
      <alignment horizontal="center"/>
    </xf>
    <xf numFmtId="0" fontId="75" fillId="7" borderId="6" xfId="0" applyFont="1" applyFill="1" applyBorder="1" applyAlignment="1">
      <alignment horizontal="center"/>
    </xf>
    <xf numFmtId="0" fontId="17" fillId="0" borderId="18" xfId="0" applyFont="1" applyBorder="1"/>
    <xf numFmtId="177" fontId="72" fillId="0" borderId="0" xfId="0" applyNumberFormat="1" applyFont="1" applyAlignment="1">
      <alignment horizontal="right"/>
    </xf>
    <xf numFmtId="0" fontId="76" fillId="0" borderId="0" xfId="0" applyFont="1"/>
    <xf numFmtId="0" fontId="6" fillId="0" borderId="11" xfId="0" applyFont="1" applyBorder="1"/>
    <xf numFmtId="168" fontId="77" fillId="9" borderId="0" xfId="0" applyNumberFormat="1" applyFont="1" applyFill="1" applyAlignment="1">
      <alignment horizontal="right"/>
    </xf>
    <xf numFmtId="0" fontId="76" fillId="0" borderId="0" xfId="0" quotePrefix="1" applyFont="1"/>
    <xf numFmtId="177" fontId="77" fillId="0" borderId="0" xfId="0" applyNumberFormat="1" applyFont="1" applyAlignment="1">
      <alignment horizontal="right"/>
    </xf>
    <xf numFmtId="0" fontId="17" fillId="0" borderId="29" xfId="0" applyFont="1" applyBorder="1"/>
    <xf numFmtId="177" fontId="77" fillId="0" borderId="7" xfId="0" applyNumberFormat="1" applyFont="1" applyBorder="1" applyAlignment="1">
      <alignment horizontal="right"/>
    </xf>
    <xf numFmtId="0" fontId="76" fillId="0" borderId="7" xfId="0" quotePrefix="1" applyFont="1" applyBorder="1"/>
    <xf numFmtId="0" fontId="6" fillId="0" borderId="8" xfId="0" applyFont="1" applyBorder="1"/>
    <xf numFmtId="0" fontId="75" fillId="7" borderId="34" xfId="0" applyFont="1" applyFill="1" applyBorder="1" applyAlignment="1">
      <alignment horizontal="center"/>
    </xf>
    <xf numFmtId="3" fontId="72" fillId="0" borderId="0" xfId="0" applyNumberFormat="1" applyFont="1" applyAlignment="1">
      <alignment horizontal="right"/>
    </xf>
    <xf numFmtId="9" fontId="72" fillId="0" borderId="0" xfId="0" applyNumberFormat="1" applyFont="1" applyAlignment="1">
      <alignment horizontal="right"/>
    </xf>
    <xf numFmtId="1" fontId="72" fillId="0" borderId="0" xfId="0" applyNumberFormat="1" applyFont="1" applyAlignment="1">
      <alignment horizontal="right"/>
    </xf>
    <xf numFmtId="10" fontId="72" fillId="0" borderId="0" xfId="0" applyNumberFormat="1" applyFont="1" applyAlignment="1">
      <alignment horizontal="right"/>
    </xf>
    <xf numFmtId="168" fontId="76" fillId="0" borderId="0" xfId="0" applyNumberFormat="1" applyFont="1" applyAlignment="1">
      <alignment horizontal="center"/>
    </xf>
    <xf numFmtId="0" fontId="17" fillId="0" borderId="19" xfId="0" applyFont="1" applyBorder="1"/>
    <xf numFmtId="168" fontId="70" fillId="24" borderId="26" xfId="0" applyNumberFormat="1" applyFont="1" applyFill="1" applyBorder="1" applyAlignment="1">
      <alignment horizontal="center" vertical="center"/>
    </xf>
    <xf numFmtId="168" fontId="70" fillId="21" borderId="26" xfId="0" applyNumberFormat="1" applyFont="1" applyFill="1" applyBorder="1" applyAlignment="1">
      <alignment horizontal="center" vertical="center"/>
    </xf>
    <xf numFmtId="0" fontId="76" fillId="0" borderId="22" xfId="0" applyFont="1" applyBorder="1"/>
    <xf numFmtId="0" fontId="78" fillId="23" borderId="17" xfId="0" applyFont="1" applyFill="1" applyBorder="1" applyAlignment="1">
      <alignment vertical="center"/>
    </xf>
    <xf numFmtId="0" fontId="78" fillId="23" borderId="15" xfId="0" applyFont="1" applyFill="1" applyBorder="1" applyAlignment="1">
      <alignment vertical="center"/>
    </xf>
    <xf numFmtId="0" fontId="78" fillId="23" borderId="20" xfId="0" applyFont="1" applyFill="1" applyBorder="1" applyAlignment="1">
      <alignment vertical="center"/>
    </xf>
    <xf numFmtId="0" fontId="60" fillId="0" borderId="18" xfId="0" applyFont="1" applyBorder="1"/>
    <xf numFmtId="0" fontId="60" fillId="0" borderId="0" xfId="0" applyFont="1"/>
    <xf numFmtId="0" fontId="22" fillId="21" borderId="0" xfId="0" applyFont="1" applyFill="1" applyAlignment="1">
      <alignment horizontal="center" vertical="center"/>
    </xf>
    <xf numFmtId="0" fontId="60" fillId="0" borderId="18" xfId="0" applyFont="1" applyBorder="1"/>
    <xf numFmtId="0" fontId="60" fillId="0" borderId="0" xfId="0" applyFont="1"/>
    <xf numFmtId="0" fontId="50" fillId="23" borderId="0" xfId="0" applyFont="1" applyFill="1" applyAlignment="1">
      <alignment horizontal="center" vertical="center"/>
    </xf>
    <xf numFmtId="0" fontId="79" fillId="3" borderId="0" xfId="0" applyFont="1" applyFill="1" applyAlignment="1">
      <alignment horizontal="center" vertical="center"/>
    </xf>
    <xf numFmtId="0" fontId="80" fillId="29" borderId="0" xfId="0" applyFont="1" applyFill="1" applyAlignment="1">
      <alignment horizontal="center" vertical="center"/>
    </xf>
    <xf numFmtId="0" fontId="80" fillId="29" borderId="21" xfId="0" applyFont="1" applyFill="1" applyBorder="1" applyAlignment="1">
      <alignment horizontal="center" vertical="center"/>
    </xf>
    <xf numFmtId="0" fontId="67" fillId="19" borderId="18" xfId="0" applyFont="1" applyFill="1" applyBorder="1" applyAlignment="1">
      <alignment horizontal="left" vertical="center"/>
    </xf>
    <xf numFmtId="0" fontId="67" fillId="19" borderId="0" xfId="0" applyFont="1" applyFill="1" applyAlignment="1">
      <alignment horizontal="left" vertical="center"/>
    </xf>
    <xf numFmtId="0" fontId="67" fillId="19" borderId="21" xfId="0" applyFont="1" applyFill="1" applyBorder="1" applyAlignment="1">
      <alignment horizontal="left" vertical="center"/>
    </xf>
    <xf numFmtId="0" fontId="81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 vertical="center"/>
    </xf>
    <xf numFmtId="3" fontId="20" fillId="0" borderId="2" xfId="0" quotePrefix="1" applyNumberFormat="1" applyFont="1" applyBorder="1" applyAlignment="1">
      <alignment horizontal="right" vertical="center"/>
    </xf>
    <xf numFmtId="0" fontId="60" fillId="0" borderId="27" xfId="0" applyFont="1" applyBorder="1" applyAlignment="1">
      <alignment horizontal="left" vertical="center"/>
    </xf>
    <xf numFmtId="3" fontId="60" fillId="0" borderId="2" xfId="0" applyNumberFormat="1" applyFont="1" applyBorder="1" applyAlignment="1">
      <alignment horizontal="right" vertical="center"/>
    </xf>
    <xf numFmtId="3" fontId="60" fillId="0" borderId="31" xfId="0" applyNumberFormat="1" applyFont="1" applyBorder="1" applyAlignment="1">
      <alignment horizontal="right" vertical="center"/>
    </xf>
    <xf numFmtId="0" fontId="67" fillId="18" borderId="18" xfId="0" applyFont="1" applyFill="1" applyBorder="1" applyAlignment="1">
      <alignment horizontal="left" vertical="center"/>
    </xf>
    <xf numFmtId="0" fontId="67" fillId="18" borderId="0" xfId="0" applyFont="1" applyFill="1" applyAlignment="1">
      <alignment horizontal="left" vertical="center"/>
    </xf>
    <xf numFmtId="0" fontId="67" fillId="18" borderId="21" xfId="0" applyFont="1" applyFill="1" applyBorder="1" applyAlignment="1">
      <alignment horizontal="left" vertical="center"/>
    </xf>
    <xf numFmtId="164" fontId="22" fillId="0" borderId="2" xfId="0" applyNumberFormat="1" applyFont="1" applyBorder="1" applyAlignment="1">
      <alignment horizontal="right" vertical="center"/>
    </xf>
    <xf numFmtId="164" fontId="62" fillId="0" borderId="2" xfId="0" applyNumberFormat="1" applyFont="1" applyBorder="1" applyAlignment="1">
      <alignment horizontal="right" vertical="center"/>
    </xf>
    <xf numFmtId="164" fontId="62" fillId="0" borderId="31" xfId="0" applyNumberFormat="1" applyFont="1" applyBorder="1" applyAlignment="1">
      <alignment horizontal="right" vertical="center"/>
    </xf>
    <xf numFmtId="0" fontId="67" fillId="15" borderId="18" xfId="0" applyFont="1" applyFill="1" applyBorder="1" applyAlignment="1">
      <alignment horizontal="left" vertical="center"/>
    </xf>
    <xf numFmtId="0" fontId="67" fillId="15" borderId="0" xfId="0" applyFont="1" applyFill="1" applyAlignment="1">
      <alignment horizontal="left" vertical="center"/>
    </xf>
    <xf numFmtId="0" fontId="67" fillId="15" borderId="21" xfId="0" applyFont="1" applyFill="1" applyBorder="1" applyAlignment="1">
      <alignment horizontal="left" vertical="center"/>
    </xf>
    <xf numFmtId="164" fontId="82" fillId="0" borderId="2" xfId="0" applyNumberFormat="1" applyFont="1" applyBorder="1" applyAlignment="1">
      <alignment horizontal="right" vertical="center"/>
    </xf>
    <xf numFmtId="164" fontId="82" fillId="0" borderId="31" xfId="0" applyNumberFormat="1" applyFont="1" applyBorder="1" applyAlignment="1">
      <alignment horizontal="right" vertical="center"/>
    </xf>
    <xf numFmtId="164" fontId="83" fillId="0" borderId="2" xfId="0" applyNumberFormat="1" applyFont="1" applyBorder="1" applyAlignment="1">
      <alignment horizontal="right" vertical="center"/>
    </xf>
    <xf numFmtId="164" fontId="83" fillId="0" borderId="31" xfId="0" applyNumberFormat="1" applyFont="1" applyBorder="1" applyAlignment="1">
      <alignment horizontal="right" vertical="center"/>
    </xf>
    <xf numFmtId="0" fontId="67" fillId="16" borderId="18" xfId="0" applyFont="1" applyFill="1" applyBorder="1" applyAlignment="1">
      <alignment horizontal="left" vertical="center"/>
    </xf>
    <xf numFmtId="0" fontId="67" fillId="16" borderId="0" xfId="0" applyFont="1" applyFill="1" applyAlignment="1">
      <alignment horizontal="left" vertical="center"/>
    </xf>
    <xf numFmtId="0" fontId="67" fillId="16" borderId="21" xfId="0" applyFont="1" applyFill="1" applyBorder="1" applyAlignment="1">
      <alignment horizontal="left" vertical="center"/>
    </xf>
    <xf numFmtId="0" fontId="84" fillId="6" borderId="0" xfId="0" applyFont="1" applyFill="1"/>
    <xf numFmtId="164" fontId="85" fillId="0" borderId="2" xfId="0" applyNumberFormat="1" applyFont="1" applyBorder="1" applyAlignment="1">
      <alignment horizontal="right" vertical="center"/>
    </xf>
    <xf numFmtId="164" fontId="85" fillId="0" borderId="31" xfId="0" applyNumberFormat="1" applyFont="1" applyBorder="1" applyAlignment="1">
      <alignment horizontal="right" vertical="center"/>
    </xf>
    <xf numFmtId="0" fontId="81" fillId="0" borderId="0" xfId="0" applyFont="1" applyAlignment="1">
      <alignment horizontal="center" vertical="center"/>
    </xf>
    <xf numFmtId="177" fontId="86" fillId="0" borderId="0" xfId="0" applyNumberFormat="1" applyFont="1" applyAlignment="1">
      <alignment horizontal="right" vertical="center"/>
    </xf>
    <xf numFmtId="177" fontId="86" fillId="0" borderId="21" xfId="0" applyNumberFormat="1" applyFont="1" applyBorder="1" applyAlignment="1">
      <alignment horizontal="right" vertical="center"/>
    </xf>
    <xf numFmtId="0" fontId="67" fillId="17" borderId="18" xfId="0" applyFont="1" applyFill="1" applyBorder="1" applyAlignment="1">
      <alignment horizontal="left" vertical="center"/>
    </xf>
    <xf numFmtId="0" fontId="67" fillId="17" borderId="0" xfId="0" applyFont="1" applyFill="1" applyAlignment="1">
      <alignment horizontal="left" vertical="center"/>
    </xf>
    <xf numFmtId="0" fontId="67" fillId="17" borderId="21" xfId="0" applyFont="1" applyFill="1" applyBorder="1" applyAlignment="1">
      <alignment horizontal="left" vertical="center"/>
    </xf>
    <xf numFmtId="177" fontId="62" fillId="0" borderId="2" xfId="0" applyNumberFormat="1" applyFont="1" applyBorder="1" applyAlignment="1">
      <alignment horizontal="right" vertical="center"/>
    </xf>
    <xf numFmtId="177" fontId="62" fillId="0" borderId="31" xfId="0" applyNumberFormat="1" applyFont="1" applyBorder="1" applyAlignment="1">
      <alignment horizontal="right" vertical="center"/>
    </xf>
    <xf numFmtId="0" fontId="25" fillId="29" borderId="27" xfId="0" applyFont="1" applyFill="1" applyBorder="1" applyAlignment="1">
      <alignment horizontal="left" vertical="center"/>
    </xf>
    <xf numFmtId="0" fontId="51" fillId="29" borderId="2" xfId="0" applyFont="1" applyFill="1" applyBorder="1" applyAlignment="1">
      <alignment horizontal="center" vertical="center"/>
    </xf>
    <xf numFmtId="165" fontId="25" fillId="29" borderId="2" xfId="0" applyNumberFormat="1" applyFont="1" applyFill="1" applyBorder="1" applyAlignment="1">
      <alignment horizontal="right" vertical="center"/>
    </xf>
    <xf numFmtId="165" fontId="25" fillId="29" borderId="31" xfId="0" applyNumberFormat="1" applyFont="1" applyFill="1" applyBorder="1" applyAlignment="1">
      <alignment horizontal="right" vertical="center"/>
    </xf>
    <xf numFmtId="0" fontId="53" fillId="29" borderId="2" xfId="0" applyFont="1" applyFill="1" applyBorder="1" applyAlignment="1">
      <alignment horizontal="center" vertical="center"/>
    </xf>
    <xf numFmtId="0" fontId="62" fillId="0" borderId="46" xfId="0" applyFont="1" applyBorder="1" applyAlignment="1">
      <alignment horizontal="left" vertical="center"/>
    </xf>
    <xf numFmtId="0" fontId="81" fillId="0" borderId="26" xfId="0" applyFont="1" applyBorder="1" applyAlignment="1">
      <alignment horizontal="center" vertical="center"/>
    </xf>
    <xf numFmtId="168" fontId="62" fillId="0" borderId="26" xfId="0" applyNumberFormat="1" applyFont="1" applyBorder="1" applyAlignment="1">
      <alignment horizontal="right" vertical="center"/>
    </xf>
    <xf numFmtId="168" fontId="62" fillId="0" borderId="47" xfId="0" applyNumberFormat="1" applyFont="1" applyBorder="1" applyAlignment="1">
      <alignment horizontal="right" vertical="center"/>
    </xf>
    <xf numFmtId="0" fontId="56" fillId="23" borderId="16" xfId="0" applyFont="1" applyFill="1" applyBorder="1" applyAlignment="1">
      <alignment horizontal="center" vertical="center"/>
    </xf>
    <xf numFmtId="0" fontId="6" fillId="0" borderId="15" xfId="0" applyFont="1" applyBorder="1"/>
    <xf numFmtId="0" fontId="87" fillId="11" borderId="18" xfId="0" applyFont="1" applyFill="1" applyBorder="1" applyAlignment="1">
      <alignment horizontal="center" vertical="center"/>
    </xf>
    <xf numFmtId="0" fontId="87" fillId="11" borderId="0" xfId="0" applyFont="1" applyFill="1" applyAlignment="1">
      <alignment horizontal="center" vertical="center"/>
    </xf>
    <xf numFmtId="0" fontId="87" fillId="11" borderId="11" xfId="0" applyFont="1" applyFill="1" applyBorder="1" applyAlignment="1">
      <alignment horizontal="center" vertical="center"/>
    </xf>
    <xf numFmtId="0" fontId="67" fillId="10" borderId="48" xfId="0" applyFont="1" applyFill="1" applyBorder="1" applyAlignment="1">
      <alignment horizontal="center" vertical="center"/>
    </xf>
    <xf numFmtId="0" fontId="68" fillId="13" borderId="2" xfId="0" applyFont="1" applyFill="1" applyBorder="1" applyAlignment="1">
      <alignment horizontal="center" vertical="center"/>
    </xf>
    <xf numFmtId="0" fontId="67" fillId="10" borderId="14" xfId="0" applyFont="1" applyFill="1" applyBorder="1" applyAlignment="1">
      <alignment horizontal="center" vertical="center"/>
    </xf>
    <xf numFmtId="0" fontId="69" fillId="23" borderId="11" xfId="0" applyFont="1" applyFill="1" applyBorder="1" applyAlignment="1">
      <alignment horizontal="left" vertical="center"/>
    </xf>
    <xf numFmtId="164" fontId="82" fillId="14" borderId="2" xfId="0" applyNumberFormat="1" applyFont="1" applyFill="1" applyBorder="1" applyAlignment="1">
      <alignment horizontal="center" vertical="center"/>
    </xf>
    <xf numFmtId="164" fontId="22" fillId="21" borderId="2" xfId="0" applyNumberFormat="1" applyFont="1" applyFill="1" applyBorder="1" applyAlignment="1">
      <alignment horizontal="center" vertical="center"/>
    </xf>
    <xf numFmtId="164" fontId="85" fillId="21" borderId="2" xfId="0" applyNumberFormat="1" applyFont="1" applyFill="1" applyBorder="1" applyAlignment="1">
      <alignment horizontal="center" vertical="center"/>
    </xf>
    <xf numFmtId="0" fontId="58" fillId="0" borderId="12" xfId="0" applyFont="1" applyBorder="1" applyAlignment="1">
      <alignment horizontal="left" vertical="center"/>
    </xf>
    <xf numFmtId="168" fontId="82" fillId="14" borderId="2" xfId="0" applyNumberFormat="1" applyFont="1" applyFill="1" applyBorder="1" applyAlignment="1">
      <alignment horizontal="center" vertical="center"/>
    </xf>
    <xf numFmtId="168" fontId="22" fillId="21" borderId="2" xfId="0" applyNumberFormat="1" applyFont="1" applyFill="1" applyBorder="1" applyAlignment="1">
      <alignment horizontal="center" vertical="center"/>
    </xf>
    <xf numFmtId="168" fontId="85" fillId="21" borderId="2" xfId="0" applyNumberFormat="1" applyFont="1" applyFill="1" applyBorder="1" applyAlignment="1">
      <alignment horizontal="center" vertical="center"/>
    </xf>
    <xf numFmtId="0" fontId="88" fillId="0" borderId="0" xfId="0" applyFont="1"/>
    <xf numFmtId="172" fontId="82" fillId="14" borderId="2" xfId="0" applyNumberFormat="1" applyFont="1" applyFill="1" applyBorder="1" applyAlignment="1">
      <alignment horizontal="center" vertical="center"/>
    </xf>
    <xf numFmtId="172" fontId="22" fillId="21" borderId="2" xfId="0" applyNumberFormat="1" applyFont="1" applyFill="1" applyBorder="1" applyAlignment="1">
      <alignment horizontal="center" vertical="center"/>
    </xf>
    <xf numFmtId="172" fontId="85" fillId="21" borderId="2" xfId="0" applyNumberFormat="1" applyFont="1" applyFill="1" applyBorder="1" applyAlignment="1">
      <alignment horizontal="center" vertical="center"/>
    </xf>
    <xf numFmtId="167" fontId="82" fillId="14" borderId="2" xfId="0" applyNumberFormat="1" applyFont="1" applyFill="1" applyBorder="1" applyAlignment="1">
      <alignment horizontal="center" vertical="center"/>
    </xf>
    <xf numFmtId="167" fontId="22" fillId="21" borderId="2" xfId="0" applyNumberFormat="1" applyFont="1" applyFill="1" applyBorder="1" applyAlignment="1">
      <alignment horizontal="center" vertical="center"/>
    </xf>
    <xf numFmtId="167" fontId="85" fillId="21" borderId="2" xfId="0" applyNumberFormat="1" applyFont="1" applyFill="1" applyBorder="1" applyAlignment="1">
      <alignment horizontal="center" vertical="center"/>
    </xf>
    <xf numFmtId="169" fontId="82" fillId="14" borderId="2" xfId="0" applyNumberFormat="1" applyFont="1" applyFill="1" applyBorder="1" applyAlignment="1">
      <alignment horizontal="center" vertical="center"/>
    </xf>
    <xf numFmtId="169" fontId="22" fillId="21" borderId="2" xfId="0" applyNumberFormat="1" applyFont="1" applyFill="1" applyBorder="1" applyAlignment="1">
      <alignment horizontal="center" vertical="center"/>
    </xf>
    <xf numFmtId="169" fontId="85" fillId="21" borderId="2" xfId="0" applyNumberFormat="1" applyFont="1" applyFill="1" applyBorder="1" applyAlignment="1">
      <alignment horizontal="center" vertical="center"/>
    </xf>
    <xf numFmtId="166" fontId="82" fillId="14" borderId="2" xfId="0" applyNumberFormat="1" applyFont="1" applyFill="1" applyBorder="1" applyAlignment="1">
      <alignment horizontal="center" vertical="center"/>
    </xf>
    <xf numFmtId="166" fontId="22" fillId="21" borderId="2" xfId="0" applyNumberFormat="1" applyFont="1" applyFill="1" applyBorder="1" applyAlignment="1">
      <alignment horizontal="center" vertical="center"/>
    </xf>
    <xf numFmtId="166" fontId="85" fillId="21" borderId="2" xfId="0" applyNumberFormat="1" applyFont="1" applyFill="1" applyBorder="1" applyAlignment="1">
      <alignment horizontal="center" vertical="center"/>
    </xf>
    <xf numFmtId="170" fontId="82" fillId="14" borderId="2" xfId="0" applyNumberFormat="1" applyFont="1" applyFill="1" applyBorder="1" applyAlignment="1">
      <alignment horizontal="center" vertical="center"/>
    </xf>
    <xf numFmtId="170" fontId="22" fillId="21" borderId="2" xfId="0" applyNumberFormat="1" applyFont="1" applyFill="1" applyBorder="1" applyAlignment="1">
      <alignment horizontal="center" vertical="center"/>
    </xf>
    <xf numFmtId="170" fontId="85" fillId="21" borderId="2" xfId="0" applyNumberFormat="1" applyFont="1" applyFill="1" applyBorder="1" applyAlignment="1">
      <alignment horizontal="center" vertical="center"/>
    </xf>
    <xf numFmtId="164" fontId="83" fillId="14" borderId="2" xfId="0" applyNumberFormat="1" applyFont="1" applyFill="1" applyBorder="1" applyAlignment="1">
      <alignment horizontal="center" vertical="center"/>
    </xf>
    <xf numFmtId="164" fontId="89" fillId="21" borderId="2" xfId="0" applyNumberFormat="1" applyFont="1" applyFill="1" applyBorder="1" applyAlignment="1">
      <alignment horizontal="center" vertical="center"/>
    </xf>
    <xf numFmtId="166" fontId="83" fillId="14" borderId="2" xfId="0" applyNumberFormat="1" applyFont="1" applyFill="1" applyBorder="1" applyAlignment="1">
      <alignment horizontal="center" vertical="center"/>
    </xf>
    <xf numFmtId="166" fontId="89" fillId="21" borderId="2" xfId="0" applyNumberFormat="1" applyFont="1" applyFill="1" applyBorder="1" applyAlignment="1">
      <alignment horizontal="center" vertical="center"/>
    </xf>
    <xf numFmtId="177" fontId="82" fillId="14" borderId="2" xfId="0" applyNumberFormat="1" applyFont="1" applyFill="1" applyBorder="1" applyAlignment="1">
      <alignment horizontal="center" vertical="center"/>
    </xf>
    <xf numFmtId="177" fontId="22" fillId="21" borderId="2" xfId="0" applyNumberFormat="1" applyFont="1" applyFill="1" applyBorder="1" applyAlignment="1">
      <alignment horizontal="center" vertical="center"/>
    </xf>
    <xf numFmtId="177" fontId="85" fillId="21" borderId="2" xfId="0" applyNumberFormat="1" applyFont="1" applyFill="1" applyBorder="1" applyAlignment="1">
      <alignment horizontal="center" vertical="center"/>
    </xf>
    <xf numFmtId="3" fontId="82" fillId="14" borderId="2" xfId="0" applyNumberFormat="1" applyFont="1" applyFill="1" applyBorder="1" applyAlignment="1">
      <alignment horizontal="center" vertical="center"/>
    </xf>
    <xf numFmtId="3" fontId="22" fillId="21" borderId="2" xfId="0" applyNumberFormat="1" applyFont="1" applyFill="1" applyBorder="1" applyAlignment="1">
      <alignment horizontal="center" vertical="center"/>
    </xf>
    <xf numFmtId="3" fontId="85" fillId="21" borderId="2" xfId="0" applyNumberFormat="1" applyFont="1" applyFill="1" applyBorder="1" applyAlignment="1">
      <alignment horizontal="center" vertical="center"/>
    </xf>
    <xf numFmtId="0" fontId="46" fillId="30" borderId="28" xfId="0" applyFont="1" applyFill="1" applyBorder="1" applyAlignment="1">
      <alignment horizontal="center" vertical="center" wrapText="1"/>
    </xf>
    <xf numFmtId="0" fontId="46" fillId="30" borderId="3" xfId="0" applyFont="1" applyFill="1" applyBorder="1" applyAlignment="1">
      <alignment horizontal="center" vertical="center" wrapText="1"/>
    </xf>
    <xf numFmtId="0" fontId="46" fillId="30" borderId="13" xfId="0" applyFont="1" applyFill="1" applyBorder="1" applyAlignment="1">
      <alignment horizontal="center" vertical="center" wrapText="1"/>
    </xf>
    <xf numFmtId="0" fontId="90" fillId="30" borderId="29" xfId="0" applyFont="1" applyFill="1" applyBorder="1" applyAlignment="1">
      <alignment horizontal="center" vertical="center" wrapText="1"/>
    </xf>
    <xf numFmtId="0" fontId="46" fillId="30" borderId="7" xfId="0" applyFont="1" applyFill="1" applyBorder="1" applyAlignment="1">
      <alignment horizontal="center" vertical="center" wrapText="1"/>
    </xf>
    <xf numFmtId="0" fontId="46" fillId="30" borderId="8" xfId="0" applyFont="1" applyFill="1" applyBorder="1" applyAlignment="1">
      <alignment horizontal="center" vertical="center" wrapText="1"/>
    </xf>
    <xf numFmtId="0" fontId="19" fillId="20" borderId="0" xfId="0" applyFont="1" applyFill="1" applyAlignment="1">
      <alignment horizontal="left"/>
    </xf>
    <xf numFmtId="0" fontId="91" fillId="25" borderId="0" xfId="0" applyFont="1" applyFill="1"/>
    <xf numFmtId="0" fontId="36" fillId="31" borderId="0" xfId="0" applyFont="1" applyFill="1"/>
    <xf numFmtId="0" fontId="36" fillId="5" borderId="0" xfId="0" applyFont="1" applyFill="1"/>
    <xf numFmtId="0" fontId="55" fillId="0" borderId="0" xfId="0" applyFont="1" applyAlignment="1">
      <alignment horizontal="right"/>
    </xf>
    <xf numFmtId="0" fontId="62" fillId="0" borderId="67" xfId="0" applyFont="1" applyBorder="1" applyAlignment="1">
      <alignment horizontal="left" vertical="center"/>
    </xf>
    <xf numFmtId="0" fontId="62" fillId="0" borderId="68" xfId="0" applyFont="1" applyBorder="1" applyAlignment="1">
      <alignment horizontal="left" vertical="center"/>
    </xf>
    <xf numFmtId="0" fontId="62" fillId="5" borderId="28" xfId="0" applyFont="1" applyFill="1" applyBorder="1" applyAlignment="1">
      <alignment horizontal="left" vertical="center"/>
    </xf>
    <xf numFmtId="4" fontId="70" fillId="24" borderId="69" xfId="0" applyNumberFormat="1" applyFont="1" applyFill="1" applyBorder="1" applyAlignment="1">
      <alignment horizontal="center" vertical="center"/>
    </xf>
    <xf numFmtId="0" fontId="62" fillId="5" borderId="48" xfId="0" applyFont="1" applyFill="1" applyBorder="1" applyAlignment="1">
      <alignment horizontal="left" vertical="center"/>
    </xf>
    <xf numFmtId="171" fontId="70" fillId="24" borderId="70" xfId="0" applyNumberFormat="1" applyFont="1" applyFill="1" applyBorder="1" applyAlignment="1">
      <alignment horizontal="center" vertical="center"/>
    </xf>
    <xf numFmtId="171" fontId="70" fillId="24" borderId="71" xfId="0" applyNumberFormat="1" applyFont="1" applyFill="1" applyBorder="1" applyAlignment="1">
      <alignment horizontal="center" vertical="center"/>
    </xf>
    <xf numFmtId="4" fontId="70" fillId="21" borderId="69" xfId="0" applyNumberFormat="1" applyFont="1" applyFill="1" applyBorder="1" applyAlignment="1">
      <alignment horizontal="center" vertical="center"/>
    </xf>
    <xf numFmtId="171" fontId="70" fillId="24" borderId="72" xfId="0" applyNumberFormat="1" applyFont="1" applyFill="1" applyBorder="1" applyAlignment="1">
      <alignment horizontal="center" vertical="center"/>
    </xf>
    <xf numFmtId="171" fontId="70" fillId="21" borderId="70" xfId="0" applyNumberFormat="1" applyFont="1" applyFill="1" applyBorder="1" applyAlignment="1">
      <alignment horizontal="center" vertical="center"/>
    </xf>
    <xf numFmtId="171" fontId="70" fillId="21" borderId="71" xfId="0" applyNumberFormat="1" applyFont="1" applyFill="1" applyBorder="1" applyAlignment="1">
      <alignment horizontal="center" vertical="center"/>
    </xf>
    <xf numFmtId="171" fontId="70" fillId="21" borderId="72" xfId="0" applyNumberFormat="1" applyFont="1" applyFill="1" applyBorder="1" applyAlignment="1">
      <alignment horizontal="center" vertical="center"/>
    </xf>
    <xf numFmtId="0" fontId="71" fillId="5" borderId="31" xfId="0" applyFont="1" applyFill="1" applyBorder="1" applyAlignment="1">
      <alignment horizontal="left" vertical="center" wrapText="1"/>
    </xf>
    <xf numFmtId="0" fontId="71" fillId="0" borderId="73" xfId="0" applyFont="1" applyBorder="1" applyAlignment="1">
      <alignment horizontal="left" vertical="center" wrapText="1"/>
    </xf>
    <xf numFmtId="0" fontId="71" fillId="5" borderId="73" xfId="0" applyFont="1" applyFill="1" applyBorder="1" applyAlignment="1">
      <alignment horizontal="left" vertical="center" wrapText="1"/>
    </xf>
    <xf numFmtId="0" fontId="71" fillId="0" borderId="74" xfId="0" applyFont="1" applyBorder="1" applyAlignment="1">
      <alignment horizontal="left" vertical="center" wrapText="1"/>
    </xf>
    <xf numFmtId="171" fontId="5" fillId="0" borderId="69" xfId="0" applyNumberFormat="1" applyFont="1" applyBorder="1" applyAlignment="1">
      <alignment horizontal="right" vertical="center"/>
    </xf>
    <xf numFmtId="168" fontId="5" fillId="0" borderId="70" xfId="0" applyNumberFormat="1" applyFont="1" applyBorder="1" applyAlignment="1">
      <alignment horizontal="right" vertical="center"/>
    </xf>
    <xf numFmtId="0" fontId="63" fillId="5" borderId="75" xfId="0" applyFont="1" applyFill="1" applyBorder="1" applyAlignment="1">
      <alignment horizontal="left" vertical="center"/>
    </xf>
    <xf numFmtId="171" fontId="5" fillId="5" borderId="71" xfId="0" applyNumberFormat="1" applyFont="1" applyFill="1" applyBorder="1" applyAlignment="1">
      <alignment horizontal="right" vertical="center"/>
    </xf>
    <xf numFmtId="171" fontId="5" fillId="5" borderId="72" xfId="0" applyNumberFormat="1" applyFont="1" applyFill="1" applyBorder="1" applyAlignment="1">
      <alignment horizontal="right" vertical="center"/>
    </xf>
    <xf numFmtId="0" fontId="92" fillId="0" borderId="18" xfId="0" applyFont="1" applyBorder="1" applyAlignment="1">
      <alignment horizontal="left" vertical="center"/>
    </xf>
    <xf numFmtId="174" fontId="14" fillId="14" borderId="50" xfId="0" applyNumberFormat="1" applyFont="1" applyFill="1" applyBorder="1" applyAlignment="1">
      <alignment horizontal="center"/>
    </xf>
    <xf numFmtId="174" fontId="14" fillId="14" borderId="51" xfId="0" applyNumberFormat="1" applyFont="1" applyFill="1" applyBorder="1" applyAlignment="1">
      <alignment horizontal="center"/>
    </xf>
    <xf numFmtId="184" fontId="14" fillId="21" borderId="5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818"/>
      <rgbColor rgb="FF800080"/>
      <rgbColor rgb="FF008080"/>
      <rgbColor rgb="FFB3B3B3"/>
      <rgbColor rgb="FF888888"/>
      <rgbColor rgb="FF9999FF"/>
      <rgbColor rgb="FF993366"/>
      <rgbColor rgb="FFF5F0E0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AE5"/>
      <rgbColor rgb="FFEDE8DE"/>
      <rgbColor rgb="FFFFFF99"/>
      <rgbColor rgb="FF7DCBA8"/>
      <rgbColor rgb="FFFF99CC"/>
      <rgbColor rgb="FFCC99FF"/>
      <rgbColor rgb="FFDDDDDD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A5C3C"/>
      <rgbColor rgb="FF339966"/>
      <rgbColor rgb="FF0D0C09"/>
      <rgbColor rgb="FF333300"/>
      <rgbColor rgb="FFB8401A"/>
      <rgbColor rgb="FF993366"/>
      <rgbColor rgb="FF555555"/>
      <rgbColor rgb="FF2A3A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EAE6"/>
      <color rgb="FFF5F0E0"/>
      <color rgb="FFFBF4F7"/>
      <color rgb="FFFFF893"/>
      <color rgb="FF7ECBA8"/>
      <color rgb="FF315C53"/>
      <color rgb="FFE8F5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3D2A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Resultado Acumulado (R$) · 24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3D2A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7D4E5E"/>
            </a:solidFill>
            <a:ln w="25400">
              <a:solidFill>
                <a:srgbClr val="5A3645"/>
              </a:solidFill>
              <a:prstDash val="solid"/>
            </a:ln>
            <a:effectLst/>
            <a:scene3d>
              <a:camera prst="orthographicFront"/>
              <a:lightRig rig="threePt" dir="t"/>
            </a:scene3d>
            <a:sp3d prstMaterial="metal">
              <a:bevelT w="88900" h="88900"/>
            </a:sp3d>
          </c:spPr>
          <c:cat>
            <c:strRef>
              <c:f>'🚀 Dashboard Investidor'!$L$77:$L$100</c:f>
              <c:strCache>
                <c:ptCount val="24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  <c:pt idx="5">
                  <c:v>M06</c:v>
                </c:pt>
                <c:pt idx="6">
                  <c:v>M07</c:v>
                </c:pt>
                <c:pt idx="7">
                  <c:v>M08</c:v>
                </c:pt>
                <c:pt idx="8">
                  <c:v>M09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'🚀 Dashboard Investidor'!$Q$77:$Q$100</c:f>
              <c:numCache>
                <c:formatCode>General</c:formatCode>
                <c:ptCount val="24"/>
                <c:pt idx="0">
                  <c:v>-39903.990699999995</c:v>
                </c:pt>
                <c:pt idx="1">
                  <c:v>-57572.57129</c:v>
                </c:pt>
                <c:pt idx="2">
                  <c:v>-54130.800720000007</c:v>
                </c:pt>
                <c:pt idx="3">
                  <c:v>-30899.863570000009</c:v>
                </c:pt>
                <c:pt idx="4">
                  <c:v>10972.409919999984</c:v>
                </c:pt>
                <c:pt idx="5">
                  <c:v>70357.114769999986</c:v>
                </c:pt>
                <c:pt idx="6">
                  <c:v>146167.28935999997</c:v>
                </c:pt>
                <c:pt idx="7">
                  <c:v>237447.38304999995</c:v>
                </c:pt>
                <c:pt idx="8">
                  <c:v>343321.37261999992</c:v>
                </c:pt>
                <c:pt idx="9">
                  <c:v>462932.16010999988</c:v>
                </c:pt>
                <c:pt idx="10">
                  <c:v>595478.89041999984</c:v>
                </c:pt>
                <c:pt idx="11">
                  <c:v>740183.99300999986</c:v>
                </c:pt>
                <c:pt idx="12">
                  <c:v>885133.36728499993</c:v>
                </c:pt>
                <c:pt idx="13">
                  <c:v>1044586.6368999999</c:v>
                </c:pt>
                <c:pt idx="14">
                  <c:v>1217686.7038949998</c:v>
                </c:pt>
                <c:pt idx="15">
                  <c:v>1403670.2972299999</c:v>
                </c:pt>
                <c:pt idx="16">
                  <c:v>1601797.4304249999</c:v>
                </c:pt>
                <c:pt idx="17">
                  <c:v>1811380.0005599998</c:v>
                </c:pt>
                <c:pt idx="18">
                  <c:v>2031757.5485749999</c:v>
                </c:pt>
                <c:pt idx="19">
                  <c:v>2262321.4989700001</c:v>
                </c:pt>
                <c:pt idx="20">
                  <c:v>2502542.803665</c:v>
                </c:pt>
                <c:pt idx="21">
                  <c:v>2751892.4145800001</c:v>
                </c:pt>
                <c:pt idx="22">
                  <c:v>3009822.6248349999</c:v>
                </c:pt>
                <c:pt idx="23">
                  <c:v>3275921.4978299998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F-964E-815A-C0D9FC31D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159040"/>
        <c:axId val="442416128"/>
      </c:areaChart>
      <c:catAx>
        <c:axId val="55615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E0E0E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42416128"/>
        <c:crosses val="autoZero"/>
        <c:auto val="1"/>
        <c:lblAlgn val="ctr"/>
        <c:lblOffset val="100"/>
        <c:noMultiLvlLbl val="0"/>
      </c:catAx>
      <c:valAx>
        <c:axId val="44241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E0E0E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56159040"/>
        <c:crosses val="autoZero"/>
        <c:crossBetween val="midCat"/>
      </c:valAx>
      <c:spPr>
        <a:solidFill>
          <a:srgbClr val="FAF4F6"/>
        </a:solidFill>
        <a:ln w="25400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kumimoji="0" sz="1100" b="1" i="0" u="none" strike="noStrike" kern="1200" cap="none" spc="0" normalizeH="0" baseline="0" noProof="0">
                <a:ln>
                  <a:noFill/>
                </a:ln>
                <a:solidFill>
                  <a:srgbClr val="3D2A33"/>
                </a:solidFill>
                <a:effectLst/>
                <a:latin typeface="Calibri"/>
                <a:ea typeface="Calibri"/>
                <a:cs typeface="Calibri"/>
              </a:defRPr>
            </a:pPr>
            <a:r>
              <a:rPr lang="en-US"/>
              <a:t>Resultado Mensal (R$) · 24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kumimoji="0" sz="1100" b="1" i="0" u="none" strike="noStrike" kern="1200" cap="none" spc="0" normalizeH="0" baseline="0" noProof="0">
              <a:ln>
                <a:noFill/>
              </a:ln>
              <a:solidFill>
                <a:srgbClr val="3D2A33"/>
              </a:solidFill>
              <a:effectLst/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7D4E5E"/>
            </a:solidFill>
            <a:ln w="12700">
              <a:solidFill>
                <a:srgbClr val="7D4E5E"/>
              </a:solidFill>
              <a:prstDash val="solid"/>
            </a:ln>
            <a:effectLst/>
          </c:spPr>
          <c:invertIfNegative val="0"/>
          <c:cat>
            <c:strRef>
              <c:f>'🚀 Dashboard Investidor'!$L$77:$L$100</c:f>
              <c:strCache>
                <c:ptCount val="24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  <c:pt idx="5">
                  <c:v>M06</c:v>
                </c:pt>
                <c:pt idx="6">
                  <c:v>M07</c:v>
                </c:pt>
                <c:pt idx="7">
                  <c:v>M08</c:v>
                </c:pt>
                <c:pt idx="8">
                  <c:v>M09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'🚀 Dashboard Investidor'!$P$77:$P$100</c:f>
              <c:numCache>
                <c:formatCode>General</c:formatCode>
                <c:ptCount val="24"/>
                <c:pt idx="0">
                  <c:v>-39903.990699999995</c:v>
                </c:pt>
                <c:pt idx="1">
                  <c:v>-17668.580590000005</c:v>
                </c:pt>
                <c:pt idx="2">
                  <c:v>3441.7705699999933</c:v>
                </c:pt>
                <c:pt idx="3">
                  <c:v>23230.937149999998</c:v>
                </c:pt>
                <c:pt idx="4">
                  <c:v>41872.273489999992</c:v>
                </c:pt>
                <c:pt idx="5">
                  <c:v>59384.704850000009</c:v>
                </c:pt>
                <c:pt idx="6">
                  <c:v>75810.174589999981</c:v>
                </c:pt>
                <c:pt idx="7">
                  <c:v>91280.09368999998</c:v>
                </c:pt>
                <c:pt idx="8">
                  <c:v>105873.98957000001</c:v>
                </c:pt>
                <c:pt idx="9">
                  <c:v>119610.78748999996</c:v>
                </c:pt>
                <c:pt idx="10">
                  <c:v>132546.73030999998</c:v>
                </c:pt>
                <c:pt idx="11">
                  <c:v>144705.10258999997</c:v>
                </c:pt>
                <c:pt idx="12">
                  <c:v>144949.37427500001</c:v>
                </c:pt>
                <c:pt idx="13">
                  <c:v>159453.26961500003</c:v>
                </c:pt>
                <c:pt idx="14">
                  <c:v>173100.06699499997</c:v>
                </c:pt>
                <c:pt idx="15">
                  <c:v>185983.59333500001</c:v>
                </c:pt>
                <c:pt idx="16">
                  <c:v>198127.13319499991</c:v>
                </c:pt>
                <c:pt idx="17">
                  <c:v>209582.57013500002</c:v>
                </c:pt>
                <c:pt idx="18">
                  <c:v>220377.54801499998</c:v>
                </c:pt>
                <c:pt idx="19">
                  <c:v>230563.95039500005</c:v>
                </c:pt>
                <c:pt idx="20">
                  <c:v>240221.30469499997</c:v>
                </c:pt>
                <c:pt idx="21">
                  <c:v>249349.61091499997</c:v>
                </c:pt>
                <c:pt idx="22">
                  <c:v>257930.21025500001</c:v>
                </c:pt>
                <c:pt idx="23">
                  <c:v>266098.87299499998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5-B546-8769-0F551C5A0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574162080"/>
        <c:axId val="2076443759"/>
      </c:barChart>
      <c:catAx>
        <c:axId val="57416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0E0E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076443759"/>
        <c:crosses val="autoZero"/>
        <c:auto val="1"/>
        <c:lblAlgn val="ctr"/>
        <c:lblOffset val="100"/>
        <c:noMultiLvlLbl val="0"/>
      </c:catAx>
      <c:valAx>
        <c:axId val="207644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E0E0E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74162080"/>
        <c:crosses val="autoZero"/>
        <c:crossBetween val="between"/>
      </c:valAx>
      <c:spPr>
        <a:solidFill>
          <a:srgbClr val="FAF4F6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9B3BE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+mn-lt"/>
              </a:rPr>
              <a:t>MRR &amp; Assinantes Pagantes · 24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MRR (R$)</c:v>
          </c:tx>
          <c:spPr>
            <a:gradFill>
              <a:gsLst>
                <a:gs pos="0">
                  <a:schemeClr val="accent2">
                    <a:tint val="77000"/>
                    <a:shade val="51000"/>
                  </a:schemeClr>
                </a:gs>
                <a:gs pos="80000">
                  <a:schemeClr val="accent2">
                    <a:tint val="77000"/>
                    <a:shade val="93000"/>
                  </a:schemeClr>
                </a:gs>
                <a:gs pos="100000">
                  <a:schemeClr val="accent2">
                    <a:tint val="77000"/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cat>
            <c:strRef>
              <c:f>'🚀 Dashboard Investidor'!$L$77:$L$100</c:f>
              <c:strCache>
                <c:ptCount val="24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  <c:pt idx="5">
                  <c:v>M06</c:v>
                </c:pt>
                <c:pt idx="6">
                  <c:v>M07</c:v>
                </c:pt>
                <c:pt idx="7">
                  <c:v>M08</c:v>
                </c:pt>
                <c:pt idx="8">
                  <c:v>M09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'🚀 Dashboard Investidor'!$M$77:$M$100</c:f>
              <c:numCache>
                <c:formatCode>General</c:formatCode>
                <c:ptCount val="24"/>
                <c:pt idx="0">
                  <c:v>21562</c:v>
                </c:pt>
                <c:pt idx="1">
                  <c:v>52607.4</c:v>
                </c:pt>
                <c:pt idx="2">
                  <c:v>81746.299999999988</c:v>
                </c:pt>
                <c:pt idx="3">
                  <c:v>109078.5</c:v>
                </c:pt>
                <c:pt idx="4">
                  <c:v>134843.6</c:v>
                </c:pt>
                <c:pt idx="5">
                  <c:v>159061.5</c:v>
                </c:pt>
                <c:pt idx="6">
                  <c:v>181792.09999999998</c:v>
                </c:pt>
                <c:pt idx="7">
                  <c:v>203215.09999999998</c:v>
                </c:pt>
                <c:pt idx="8">
                  <c:v>223440.30000000002</c:v>
                </c:pt>
                <c:pt idx="9">
                  <c:v>242487.59999999998</c:v>
                </c:pt>
                <c:pt idx="10">
                  <c:v>260436.9</c:v>
                </c:pt>
                <c:pt idx="11">
                  <c:v>277318.09999999998</c:v>
                </c:pt>
                <c:pt idx="12">
                  <c:v>298641.5</c:v>
                </c:pt>
                <c:pt idx="13">
                  <c:v>318767.10000000003</c:v>
                </c:pt>
                <c:pt idx="14">
                  <c:v>337714.8</c:v>
                </c:pt>
                <c:pt idx="15">
                  <c:v>355614.4</c:v>
                </c:pt>
                <c:pt idx="16">
                  <c:v>372495.79999999993</c:v>
                </c:pt>
                <c:pt idx="17">
                  <c:v>388428.9</c:v>
                </c:pt>
                <c:pt idx="18">
                  <c:v>403453.6</c:v>
                </c:pt>
                <c:pt idx="19">
                  <c:v>417639.80000000005</c:v>
                </c:pt>
                <c:pt idx="20">
                  <c:v>431097.3</c:v>
                </c:pt>
                <c:pt idx="21">
                  <c:v>443826.1</c:v>
                </c:pt>
                <c:pt idx="22">
                  <c:v>455796.2</c:v>
                </c:pt>
                <c:pt idx="23">
                  <c:v>467197.3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4-664D-A2D6-04144D5DA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20160"/>
        <c:axId val="195366592"/>
      </c:areaChart>
      <c:lineChart>
        <c:grouping val="standard"/>
        <c:varyColors val="0"/>
        <c:ser>
          <c:idx val="1"/>
          <c:order val="1"/>
          <c:tx>
            <c:v>Assinantes Pagantes</c:v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'🚀 Dashboard Investidor'!$L$77:$L$100</c:f>
              <c:strCache>
                <c:ptCount val="24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  <c:pt idx="5">
                  <c:v>M06</c:v>
                </c:pt>
                <c:pt idx="6">
                  <c:v>M07</c:v>
                </c:pt>
                <c:pt idx="7">
                  <c:v>M08</c:v>
                </c:pt>
                <c:pt idx="8">
                  <c:v>M09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'🚀 Dashboard Investidor'!$N$77:$N$100</c:f>
              <c:numCache>
                <c:formatCode>#,##0</c:formatCode>
                <c:ptCount val="24"/>
                <c:pt idx="0">
                  <c:v>380</c:v>
                </c:pt>
                <c:pt idx="1">
                  <c:v>926</c:v>
                </c:pt>
                <c:pt idx="2">
                  <c:v>1437</c:v>
                </c:pt>
                <c:pt idx="3">
                  <c:v>1915</c:v>
                </c:pt>
                <c:pt idx="4">
                  <c:v>2364</c:v>
                </c:pt>
                <c:pt idx="5">
                  <c:v>2785</c:v>
                </c:pt>
                <c:pt idx="6">
                  <c:v>3179</c:v>
                </c:pt>
                <c:pt idx="7">
                  <c:v>3549</c:v>
                </c:pt>
                <c:pt idx="8">
                  <c:v>3897</c:v>
                </c:pt>
                <c:pt idx="9">
                  <c:v>4224</c:v>
                </c:pt>
                <c:pt idx="10">
                  <c:v>4531</c:v>
                </c:pt>
                <c:pt idx="11">
                  <c:v>4819</c:v>
                </c:pt>
                <c:pt idx="12">
                  <c:v>5185</c:v>
                </c:pt>
                <c:pt idx="13">
                  <c:v>5529</c:v>
                </c:pt>
                <c:pt idx="14">
                  <c:v>5852</c:v>
                </c:pt>
                <c:pt idx="15">
                  <c:v>6156</c:v>
                </c:pt>
                <c:pt idx="16">
                  <c:v>6442</c:v>
                </c:pt>
                <c:pt idx="17">
                  <c:v>6711</c:v>
                </c:pt>
                <c:pt idx="18">
                  <c:v>6964</c:v>
                </c:pt>
                <c:pt idx="19">
                  <c:v>7202</c:v>
                </c:pt>
                <c:pt idx="20">
                  <c:v>7427</c:v>
                </c:pt>
                <c:pt idx="21">
                  <c:v>7639</c:v>
                </c:pt>
                <c:pt idx="22">
                  <c:v>7838</c:v>
                </c:pt>
                <c:pt idx="23">
                  <c:v>8027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D4-664D-A2D6-04144D5DA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585216"/>
        <c:axId val="1443561456"/>
      </c:lineChart>
      <c:catAx>
        <c:axId val="19592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66592"/>
        <c:crosses val="autoZero"/>
        <c:auto val="1"/>
        <c:lblAlgn val="ctr"/>
        <c:lblOffset val="100"/>
        <c:noMultiLvlLbl val="0"/>
      </c:catAx>
      <c:valAx>
        <c:axId val="1953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920160"/>
        <c:crosses val="autoZero"/>
        <c:crossBetween val="between"/>
      </c:valAx>
      <c:valAx>
        <c:axId val="1443561456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3585216"/>
        <c:crosses val="max"/>
        <c:crossBetween val="between"/>
      </c:valAx>
      <c:catAx>
        <c:axId val="1443585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3561456"/>
        <c:auto val="1"/>
        <c:lblAlgn val="ctr"/>
        <c:lblOffset val="100"/>
        <c:noMultiLvlLbl val="0"/>
      </c:catAx>
      <c:spPr>
        <a:solidFill>
          <a:srgbClr val="FBF4F7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3D2A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Comparativo de Cenários · Valuation &amp; Retorno do Anjo (M24)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3D2A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Aporte (R$ M)</c:v>
          </c:tx>
          <c:spPr>
            <a:solidFill>
              <a:srgbClr val="7D4E5E"/>
            </a:solidFill>
            <a:ln>
              <a:solidFill>
                <a:srgbClr val="9B6A7D"/>
              </a:solidFill>
              <a:prstDash val="solid"/>
            </a:ln>
            <a:effectLst/>
          </c:spPr>
          <c:invertIfNegative val="0"/>
          <c:dLbls>
            <c:dLbl>
              <c:idx val="0"/>
              <c:layout>
                <c:manualLayout>
                  <c:x val="-1.9927536231884056E-2"/>
                  <c:y val="-9.37499999999999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3A-1746-9E35-283DC86E4CCC}"/>
                </c:ext>
              </c:extLst>
            </c:dLbl>
            <c:dLbl>
              <c:idx val="1"/>
              <c:layout>
                <c:manualLayout>
                  <c:x val="-9.0579710144928199E-3"/>
                  <c:y val="-1.25000000000000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93A-1746-9E35-283DC86E4CCC}"/>
                </c:ext>
              </c:extLst>
            </c:dLbl>
            <c:dLbl>
              <c:idx val="2"/>
              <c:layout>
                <c:manualLayout>
                  <c:x val="-1.0869565217391438E-2"/>
                  <c:y val="-2.1875000000000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3A-1746-9E35-283DC86E4CCC}"/>
                </c:ext>
              </c:extLst>
            </c:dLbl>
            <c:numFmt formatCode="&quot;R$&quot;#,##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'🚀 Dashboard Investidor'!$L$103:$L$105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Otimista</c:v>
                </c:pt>
              </c:strCache>
            </c:strRef>
          </c:cat>
          <c:val>
            <c:numRef>
              <c:f>'🚀 Dashboard Investidor'!$M$103:$M$105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A-1746-9E35-283DC86E4CCC}"/>
            </c:ext>
          </c:extLst>
        </c:ser>
        <c:ser>
          <c:idx val="1"/>
          <c:order val="1"/>
          <c:tx>
            <c:v>Valuation 100% M24 (R$ M)</c:v>
          </c:tx>
          <c:spPr>
            <a:solidFill>
              <a:srgbClr val="C08497"/>
            </a:solidFill>
            <a:ln>
              <a:solidFill>
                <a:srgbClr val="5A3645"/>
              </a:solidFill>
              <a:prstDash val="solid"/>
            </a:ln>
            <a:effectLst/>
          </c:spPr>
          <c:invertIfNegative val="0"/>
          <c:dLbls>
            <c:numFmt formatCode="&quot;R$&quot;#,##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6B3A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'🚀 Dashboard Investidor'!$L$103:$L$105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Otimista</c:v>
                </c:pt>
              </c:strCache>
            </c:strRef>
          </c:cat>
          <c:val>
            <c:numRef>
              <c:f>'🚀 Dashboard Investidor'!$N$103:$N$105</c:f>
              <c:numCache>
                <c:formatCode>General</c:formatCode>
                <c:ptCount val="3"/>
                <c:pt idx="0">
                  <c:v>19.914786599999996</c:v>
                </c:pt>
                <c:pt idx="1">
                  <c:v>50.824493500000003</c:v>
                </c:pt>
                <c:pt idx="2">
                  <c:v>101.18222659999999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A-1746-9E35-283DC86E4CCC}"/>
            </c:ext>
          </c:extLst>
        </c:ser>
        <c:ser>
          <c:idx val="2"/>
          <c:order val="2"/>
          <c:tx>
            <c:v>Retorno do anjo (R$ M)</c:v>
          </c:tx>
          <c:spPr>
            <a:solidFill>
              <a:srgbClr val="92D050"/>
            </a:solidFill>
            <a:ln>
              <a:solidFill>
                <a:srgbClr val="6FA33A"/>
              </a:solidFill>
              <a:prstDash val="solid"/>
            </a:ln>
            <a:effectLst/>
          </c:spPr>
          <c:invertIfNegative val="0"/>
          <c:dLbls>
            <c:dLbl>
              <c:idx val="0"/>
              <c:layout>
                <c:manualLayout>
                  <c:x val="2.8985507246376812E-2"/>
                  <c:y val="-9.37499999999999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3A-1746-9E35-283DC86E4CCC}"/>
                </c:ext>
              </c:extLst>
            </c:dLbl>
            <c:dLbl>
              <c:idx val="1"/>
              <c:layout>
                <c:manualLayout>
                  <c:x val="2.3550724637681094E-2"/>
                  <c:y val="-6.25000000000000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3A-1746-9E35-283DC86E4CCC}"/>
                </c:ext>
              </c:extLst>
            </c:dLbl>
            <c:dLbl>
              <c:idx val="2"/>
              <c:layout>
                <c:manualLayout>
                  <c:x val="2.717391304347826E-2"/>
                  <c:y val="-1.87500000000001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3A-1746-9E35-283DC86E4CCC}"/>
                </c:ext>
              </c:extLst>
            </c:dLbl>
            <c:numFmt formatCode="&quot;R$&quot;#,##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E7D3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'🚀 Dashboard Investidor'!$L$103:$L$105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Otimista</c:v>
                </c:pt>
              </c:strCache>
            </c:strRef>
          </c:cat>
          <c:val>
            <c:numRef>
              <c:f>'🚀 Dashboard Investidor'!$O$103:$O$105</c:f>
              <c:numCache>
                <c:formatCode>General</c:formatCode>
                <c:ptCount val="3"/>
                <c:pt idx="0">
                  <c:v>2.9872179899999987</c:v>
                </c:pt>
                <c:pt idx="1">
                  <c:v>7.6236740249999997</c:v>
                </c:pt>
                <c:pt idx="2">
                  <c:v>15.177333989999997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3A-1746-9E35-283DC86E4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37302111"/>
        <c:axId val="1637303823"/>
      </c:barChart>
      <c:catAx>
        <c:axId val="16373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0E0E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637303823"/>
        <c:crosses val="autoZero"/>
        <c:auto val="1"/>
        <c:lblAlgn val="ctr"/>
        <c:lblOffset val="100"/>
        <c:noMultiLvlLbl val="0"/>
      </c:catAx>
      <c:valAx>
        <c:axId val="163730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  <a:effectLst/>
          </c:spPr>
        </c:majorGridlines>
        <c:numFmt formatCode="&quot;R$&quot;#,##0&quot;M&quot;" sourceLinked="0"/>
        <c:majorTickMark val="none"/>
        <c:minorTickMark val="none"/>
        <c:tickLblPos val="nextTo"/>
        <c:spPr>
          <a:noFill/>
          <a:ln>
            <a:solidFill>
              <a:srgbClr val="E0E0E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637302111"/>
        <c:crosses val="autoZero"/>
        <c:crossBetween val="between"/>
      </c:valAx>
      <c:spPr>
        <a:solidFill>
          <a:srgbClr val="FAF4F6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80808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9B3BE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3D2A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Retorno do Anjo por Cenário (× sobre aporte)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3D2A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Múltiplo s/ aporte</c:v>
          </c:tx>
          <c:spPr>
            <a:solidFill>
              <a:srgbClr val="9B6A7D"/>
            </a:solidFill>
            <a:ln>
              <a:solidFill>
                <a:srgbClr val="5A3645"/>
              </a:solidFill>
              <a:prstDash val="solid"/>
            </a:ln>
            <a:effectLst/>
          </c:spPr>
          <c:invertIfNegative val="0"/>
          <c:dLbls>
            <c:numFmt formatCode="0.0&quot;×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D2A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'💎 Resumo Anjo'!$B$21:$B$23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Otimista</c:v>
                </c:pt>
              </c:strCache>
            </c:strRef>
          </c:cat>
          <c:val>
            <c:numRef>
              <c:f>'💎 Resumo Anjo'!$E$21:$E$23</c:f>
              <c:numCache>
                <c:formatCode>0.0"x"</c:formatCode>
                <c:ptCount val="3"/>
                <c:pt idx="0">
                  <c:v>2.9872179899999987</c:v>
                </c:pt>
                <c:pt idx="1">
                  <c:v>7.6236740249999997</c:v>
                </c:pt>
                <c:pt idx="2">
                  <c:v>15.177333989999997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13-B34C-B7BF-F6FE4F415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142644095"/>
        <c:axId val="142645807"/>
      </c:barChart>
      <c:catAx>
        <c:axId val="14264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0E0E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D2A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42645807"/>
        <c:crosses val="autoZero"/>
        <c:auto val="1"/>
        <c:lblAlgn val="ctr"/>
        <c:lblOffset val="100"/>
        <c:noMultiLvlLbl val="0"/>
      </c:catAx>
      <c:valAx>
        <c:axId val="14264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  <a:effectLst/>
          </c:spPr>
        </c:majorGridlines>
        <c:numFmt formatCode="0.0&quot;x&quot;" sourceLinked="1"/>
        <c:majorTickMark val="none"/>
        <c:minorTickMark val="none"/>
        <c:tickLblPos val="nextTo"/>
        <c:spPr>
          <a:noFill/>
          <a:ln>
            <a:solidFill>
              <a:srgbClr val="E0E0E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4264409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CF7F9"/>
    </a:solidFill>
    <a:ln w="9525" cap="flat" cmpd="sng" algn="ctr">
      <a:solidFill>
        <a:srgbClr val="D9B3BE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0</xdr:rowOff>
    </xdr:from>
    <xdr:to>
      <xdr:col>4</xdr:col>
      <xdr:colOff>914400</xdr:colOff>
      <xdr:row>50</xdr:row>
      <xdr:rowOff>152400</xdr:rowOff>
    </xdr:to>
    <xdr:graphicFrame macro="">
      <xdr:nvGraphicFramePr>
        <xdr:cNvPr id="10" name="Fluxo_Acumulado">
          <a:extLst>
            <a:ext uri="{FF2B5EF4-FFF2-40B4-BE49-F238E27FC236}">
              <a16:creationId xmlns:a16="http://schemas.microsoft.com/office/drawing/2014/main" id="{2E31CFCC-882F-6EFC-C56D-BD964674F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9</xdr:col>
      <xdr:colOff>914400</xdr:colOff>
      <xdr:row>32</xdr:row>
      <xdr:rowOff>152400</xdr:rowOff>
    </xdr:to>
    <xdr:graphicFrame macro="">
      <xdr:nvGraphicFramePr>
        <xdr:cNvPr id="11" name="Resultado_Mensal">
          <a:extLst>
            <a:ext uri="{FF2B5EF4-FFF2-40B4-BE49-F238E27FC236}">
              <a16:creationId xmlns:a16="http://schemas.microsoft.com/office/drawing/2014/main" id="{C079EEAE-6073-AE89-6EF2-1C19DB10F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4</xdr:col>
      <xdr:colOff>914400</xdr:colOff>
      <xdr:row>32</xdr:row>
      <xdr:rowOff>111760</xdr:rowOff>
    </xdr:to>
    <xdr:graphicFrame macro="">
      <xdr:nvGraphicFramePr>
        <xdr:cNvPr id="12" name="MRR_Pagantes">
          <a:extLst>
            <a:ext uri="{FF2B5EF4-FFF2-40B4-BE49-F238E27FC236}">
              <a16:creationId xmlns:a16="http://schemas.microsoft.com/office/drawing/2014/main" id="{6CF99E90-3521-D222-9953-0DC754B7B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9</xdr:col>
      <xdr:colOff>914400</xdr:colOff>
      <xdr:row>50</xdr:row>
      <xdr:rowOff>152400</xdr:rowOff>
    </xdr:to>
    <xdr:graphicFrame macro="">
      <xdr:nvGraphicFramePr>
        <xdr:cNvPr id="3" name="Comparativo_3Cenarios">
          <a:extLst>
            <a:ext uri="{FF2B5EF4-FFF2-40B4-BE49-F238E27FC236}">
              <a16:creationId xmlns:a16="http://schemas.microsoft.com/office/drawing/2014/main" id="{4D6B0A64-F29C-5C80-89E0-D8E9CD5FB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52</xdr:row>
      <xdr:rowOff>114300</xdr:rowOff>
    </xdr:from>
    <xdr:to>
      <xdr:col>6</xdr:col>
      <xdr:colOff>0</xdr:colOff>
      <xdr:row>73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4F5AD2-D5DA-E832-2624-2ED62A140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1003D9-DB17-1546-92D9-739A3603C4C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0acab38-e546-49da-b3e4-e42911457fd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D4E5E"/>
  </sheetPr>
  <dimension ref="A1:Z113"/>
  <sheetViews>
    <sheetView showGridLines="0" zoomScale="125" zoomScaleNormal="125" workbookViewId="0">
      <selection activeCell="A14" sqref="A14:B14"/>
    </sheetView>
  </sheetViews>
  <sheetFormatPr baseColWidth="10" defaultColWidth="8.6640625" defaultRowHeight="15" outlineLevelRow="1" x14ac:dyDescent="0.2"/>
  <cols>
    <col min="1" max="1" width="22" customWidth="1"/>
    <col min="2" max="2" width="14" bestFit="1" customWidth="1"/>
    <col min="3" max="3" width="18.1640625" customWidth="1"/>
    <col min="4" max="4" width="13.33203125" customWidth="1"/>
    <col min="5" max="5" width="19.83203125" customWidth="1"/>
    <col min="6" max="6" width="13.33203125" customWidth="1"/>
    <col min="7" max="7" width="17" customWidth="1"/>
    <col min="8" max="8" width="13.33203125" customWidth="1"/>
    <col min="9" max="9" width="20.33203125" customWidth="1"/>
    <col min="10" max="10" width="13.33203125" customWidth="1"/>
    <col min="11" max="11" width="3.33203125" customWidth="1"/>
  </cols>
  <sheetData>
    <row r="1" spans="1:26" ht="8" customHeight="1" x14ac:dyDescent="0.2">
      <c r="A1" s="11"/>
      <c r="B1" s="12"/>
      <c r="C1" s="12"/>
      <c r="D1" s="12"/>
      <c r="E1" s="12"/>
      <c r="F1" s="12"/>
      <c r="G1" s="12"/>
      <c r="H1" s="12"/>
      <c r="I1" s="12"/>
      <c r="J1" s="13"/>
      <c r="K1" s="14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5" customHeight="1" x14ac:dyDescent="0.35">
      <c r="A2" s="16" t="s">
        <v>618</v>
      </c>
      <c r="B2" s="17"/>
      <c r="C2" s="18" t="s">
        <v>619</v>
      </c>
      <c r="D2" s="18"/>
      <c r="E2" s="18"/>
      <c r="F2" s="19"/>
      <c r="G2" s="19"/>
      <c r="H2" s="19"/>
      <c r="I2" s="19"/>
      <c r="J2" s="20"/>
      <c r="K2" s="14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9" customHeight="1" x14ac:dyDescent="0.2">
      <c r="A3" s="21" t="s">
        <v>620</v>
      </c>
      <c r="B3" s="22"/>
      <c r="C3" s="22"/>
      <c r="D3" s="22"/>
      <c r="E3" s="22"/>
      <c r="F3" s="22"/>
      <c r="G3" s="22"/>
      <c r="H3" s="22"/>
      <c r="I3" s="19"/>
      <c r="J3" s="20"/>
      <c r="K3" s="14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5" customHeight="1" thickBot="1" x14ac:dyDescent="0.25">
      <c r="A4" s="23"/>
      <c r="B4" s="24"/>
      <c r="C4" s="24"/>
      <c r="D4" s="24"/>
      <c r="E4" s="24"/>
      <c r="F4" s="24"/>
      <c r="G4" s="24"/>
      <c r="H4" s="24"/>
      <c r="I4" s="25"/>
      <c r="J4" s="26"/>
      <c r="K4" s="14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9" customHeight="1" thickBot="1" x14ac:dyDescent="0.25">
      <c r="A5" s="27" t="s">
        <v>621</v>
      </c>
      <c r="B5" s="28" t="str">
        <f>'🔧 Cenário Ativo'!B2</f>
        <v>Conservador</v>
      </c>
      <c r="C5" s="29" t="s">
        <v>622</v>
      </c>
      <c r="D5" s="30"/>
      <c r="E5" s="30"/>
      <c r="F5" s="30"/>
      <c r="G5" s="19"/>
      <c r="H5" s="19"/>
      <c r="I5" s="19"/>
      <c r="J5" s="20"/>
      <c r="K5" s="14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9" customHeight="1" x14ac:dyDescent="0.2">
      <c r="A6" s="31"/>
      <c r="B6" s="19"/>
      <c r="C6" s="19"/>
      <c r="D6" s="19"/>
      <c r="E6" s="19"/>
      <c r="F6" s="19"/>
      <c r="G6" s="19"/>
      <c r="H6" s="19"/>
      <c r="I6" s="19"/>
      <c r="J6" s="20"/>
      <c r="K6" s="14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4" customHeight="1" x14ac:dyDescent="0.2">
      <c r="A7" s="23"/>
      <c r="B7" s="24"/>
      <c r="C7" s="32"/>
      <c r="D7" s="33"/>
      <c r="E7" s="34"/>
      <c r="F7" s="35"/>
      <c r="G7" s="36"/>
      <c r="H7" s="24"/>
      <c r="I7" s="37"/>
      <c r="J7" s="26"/>
      <c r="K7" s="14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9" customHeight="1" x14ac:dyDescent="0.2">
      <c r="A8" s="38" t="s">
        <v>623</v>
      </c>
      <c r="B8" s="39"/>
      <c r="C8" s="40" t="s">
        <v>624</v>
      </c>
      <c r="D8" s="39"/>
      <c r="E8" s="40" t="s">
        <v>625</v>
      </c>
      <c r="F8" s="39"/>
      <c r="G8" s="40" t="s">
        <v>627</v>
      </c>
      <c r="H8" s="39"/>
      <c r="I8" s="40" t="s">
        <v>629</v>
      </c>
      <c r="J8" s="41"/>
      <c r="K8" s="14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6" customHeight="1" x14ac:dyDescent="0.3">
      <c r="A9" s="42">
        <f>IF('🔧 Cenário Ativo'!B2="Conservador",'📊 Resumo Cenários'!B21,IF('🔧 Cenário Ativo'!B2="Base",'📊 Resumo Cenários'!C21,'📊 Resumo Cenários'!D21))</f>
        <v>19914786.599999994</v>
      </c>
      <c r="B9" s="43"/>
      <c r="C9" s="44">
        <f>A9*'🎛️ Premissas'!B59</f>
        <v>2987217.9899999988</v>
      </c>
      <c r="D9" s="43"/>
      <c r="E9" s="44">
        <f>IF('🔧 Cenário Ativo'!B2="Conservador",'📊 Resumo Cenários'!B19,IF('🔧 Cenário Ativo'!B2="Base",'📊 Resumo Cenários'!C19,'📊 Resumo Cenários'!D19))</f>
        <v>6638262.1999999983</v>
      </c>
      <c r="F9" s="43"/>
      <c r="G9" s="45" t="str" cm="1">
        <f t="array" ref="G9">IFERROR("M"&amp;MATCH(TRUE,INDEX('📊 Base Mensal'!C25:Z25&gt;0,0),0),"&gt;24m")</f>
        <v>M5</v>
      </c>
      <c r="H9" s="46"/>
      <c r="I9" s="44">
        <f>'💰 Caixa &amp; Runway'!Z10</f>
        <v>4275921.4978299998</v>
      </c>
      <c r="J9" s="47"/>
      <c r="K9" s="14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s="2" customFormat="1" ht="19" customHeight="1" x14ac:dyDescent="0.2">
      <c r="A10" s="48" t="str">
        <f>"receita acum. × "&amp;TEXT('🔧 Cenário Ativo'!B50,"0,0")&amp;"× (múltiplo do cenário)"</f>
        <v>receita acum. × 3,0× (múltiplo do cenário)</v>
      </c>
      <c r="B10" s="49"/>
      <c r="C10" s="50" t="str">
        <f>TEXT(C9/'🎛️ Premissas'!B58,"0,0")&amp;"× o aporte de R$ "&amp;TEXT('🎛️ Premissas'!B58/1000,"#.##0")&amp;" mil · fatia de "&amp;TEXT('🎛️ Premissas'!B59,"0%")</f>
        <v>3,0× o aporte de R$ 1.000 mil · fatia de 15%</v>
      </c>
      <c r="D10" s="49"/>
      <c r="E10" s="50" t="s">
        <v>626</v>
      </c>
      <c r="F10" s="49"/>
      <c r="G10" s="50" t="s">
        <v>628</v>
      </c>
      <c r="H10" s="49"/>
      <c r="I10" s="50" t="str">
        <f>"caixa nunca abaixo de R$ "&amp;TEXT(MIN('💰 Caixa &amp; Runway'!C10:Z10)/1000,"#.##0")&amp;" mil"</f>
        <v>caixa nunca abaixo de R$ 942 mil</v>
      </c>
      <c r="J10" s="51"/>
      <c r="K10" s="14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9" customHeight="1" x14ac:dyDescent="0.2">
      <c r="A11" s="31"/>
      <c r="B11" s="19"/>
      <c r="C11" s="19"/>
      <c r="D11" s="19"/>
      <c r="E11" s="19"/>
      <c r="F11" s="19"/>
      <c r="G11" s="19"/>
      <c r="H11" s="19"/>
      <c r="I11" s="19"/>
      <c r="J11" s="20"/>
      <c r="K11" s="1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s="1" customFormat="1" ht="4" customHeight="1" x14ac:dyDescent="0.2">
      <c r="A12" s="53"/>
      <c r="B12" s="35"/>
      <c r="C12" s="36"/>
      <c r="D12" s="24"/>
      <c r="E12" s="37"/>
      <c r="F12" s="25"/>
      <c r="G12" s="32"/>
      <c r="H12" s="33"/>
      <c r="I12" s="34"/>
      <c r="J12" s="54"/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9" customHeight="1" x14ac:dyDescent="0.2">
      <c r="A13" s="38" t="s">
        <v>630</v>
      </c>
      <c r="B13" s="39"/>
      <c r="C13" s="40" t="s">
        <v>631</v>
      </c>
      <c r="D13" s="39"/>
      <c r="E13" s="40" t="s">
        <v>11</v>
      </c>
      <c r="F13" s="39"/>
      <c r="G13" s="40" t="s">
        <v>632</v>
      </c>
      <c r="H13" s="39"/>
      <c r="I13" s="40" t="s">
        <v>633</v>
      </c>
      <c r="J13" s="41"/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6" customHeight="1" x14ac:dyDescent="0.3">
      <c r="A14" s="42">
        <f>'📊 Base Mensal'!Z11*12</f>
        <v>5606367.5999999996</v>
      </c>
      <c r="B14" s="482"/>
      <c r="C14" s="55">
        <f>'📊 Base Mensal'!Z9</f>
        <v>8027</v>
      </c>
      <c r="D14" s="56"/>
      <c r="E14" s="480">
        <f>'🔧 Cenário Ativo'!B56</f>
        <v>6.886103125</v>
      </c>
      <c r="F14" s="481"/>
      <c r="G14" s="57">
        <f>'🔧 Cenário Ativo'!B57</f>
        <v>1.8152501891263793</v>
      </c>
      <c r="H14" s="58"/>
      <c r="I14" s="59">
        <f>'📊 Base Mensal'!Z26</f>
        <v>0.84939386848982212</v>
      </c>
      <c r="J14" s="60"/>
      <c r="K14" s="14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9" customHeight="1" x14ac:dyDescent="0.2">
      <c r="A15" s="48" t="str">
        <f>"ARR de R$ "&amp;TEXT('📊 Base Mensal'!Z11*12/1000000,"0,0")&amp;" M no fim do Ano 2"</f>
        <v>ARR de R$ 5,6 M no fim do Ano 2</v>
      </c>
      <c r="B15" s="49"/>
      <c r="C15" s="50" t="str">
        <f>"de "&amp;TEXT(('🔧 Cenário Ativo'!B30+'🔧 Cenário Ativo'!B31)*12,"#.##0")&amp;" cadastros acumulados · trial 30d"</f>
        <v>de 78.000 cadastros acumulados · trial 30d</v>
      </c>
      <c r="D15" s="49"/>
      <c r="E15" s="50" t="str">
        <f>"CAC R$ "&amp;TEXT('🔧 Cenário Ativo'!B47,"0")&amp;" · LTV R$ "&amp;TEXT('🔧 Cenário Ativo'!B55,"0")&amp;" (Essencial)"</f>
        <v>CAC R$ 80 · LTV R$ 551 (Essencial)</v>
      </c>
      <c r="F15" s="49"/>
      <c r="G15" s="50" t="str">
        <f>"≈ "&amp;TEXT('🔧 Cenário Ativo'!B57*30,"0")&amp;" dias para recuperar o CAC"</f>
        <v>≈ 54 dias para recuperar o CAC</v>
      </c>
      <c r="H15" s="49"/>
      <c r="I15" s="50" t="s">
        <v>634</v>
      </c>
      <c r="J15" s="51"/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9" customHeight="1" x14ac:dyDescent="0.2">
      <c r="A16" s="61" t="s">
        <v>635</v>
      </c>
      <c r="B16" s="62"/>
      <c r="C16" s="62"/>
      <c r="D16" s="62"/>
      <c r="E16" s="62"/>
      <c r="F16" s="63" t="str">
        <f>"Cenário ativo: "&amp;'🔧 Cenário Ativo'!B2</f>
        <v>Cenário ativo: Conservador</v>
      </c>
      <c r="G16" s="63"/>
      <c r="H16" s="63"/>
      <c r="I16" s="63"/>
      <c r="J16" s="64"/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9" customHeight="1" x14ac:dyDescent="0.2">
      <c r="A17" s="65"/>
      <c r="B17" s="66"/>
      <c r="C17" s="66"/>
      <c r="D17" s="66"/>
      <c r="E17" s="66"/>
      <c r="F17" s="67"/>
      <c r="G17" s="67"/>
      <c r="H17" s="67"/>
      <c r="I17" s="67"/>
      <c r="J17" s="68"/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3" customHeight="1" x14ac:dyDescent="0.2">
      <c r="A18" s="53"/>
      <c r="B18" s="35"/>
      <c r="C18" s="35"/>
      <c r="D18" s="19"/>
      <c r="E18" s="19"/>
      <c r="F18" s="19"/>
      <c r="G18" s="19"/>
      <c r="H18" s="19"/>
      <c r="I18" s="19"/>
      <c r="J18" s="20"/>
      <c r="K18" s="14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9" customHeight="1" x14ac:dyDescent="0.2">
      <c r="A19" s="31"/>
      <c r="B19" s="19"/>
      <c r="C19" s="19"/>
      <c r="D19" s="19"/>
      <c r="E19" s="19"/>
      <c r="F19" s="19"/>
      <c r="G19" s="19"/>
      <c r="H19" s="19"/>
      <c r="I19" s="19"/>
      <c r="J19" s="20"/>
      <c r="K19" s="14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9" customHeight="1" x14ac:dyDescent="0.2">
      <c r="A20" s="31"/>
      <c r="B20" s="19"/>
      <c r="C20" s="19"/>
      <c r="D20" s="19"/>
      <c r="E20" s="15"/>
      <c r="F20" s="19"/>
      <c r="G20" s="19"/>
      <c r="H20" s="19"/>
      <c r="I20" s="19"/>
      <c r="J20" s="20"/>
      <c r="K20" s="14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9" customHeight="1" x14ac:dyDescent="0.2">
      <c r="A21" s="31"/>
      <c r="B21" s="19"/>
      <c r="C21" s="19"/>
      <c r="D21" s="19"/>
      <c r="E21" s="19"/>
      <c r="F21" s="19"/>
      <c r="G21" s="19"/>
      <c r="H21" s="19"/>
      <c r="I21" s="19"/>
      <c r="J21" s="20"/>
      <c r="K21" s="14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9" customHeight="1" x14ac:dyDescent="0.2">
      <c r="A22" s="31"/>
      <c r="B22" s="19"/>
      <c r="C22" s="19"/>
      <c r="D22" s="19"/>
      <c r="E22" s="19"/>
      <c r="F22" s="19"/>
      <c r="G22" s="19"/>
      <c r="H22" s="19"/>
      <c r="I22" s="19"/>
      <c r="J22" s="20"/>
      <c r="K22" s="14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9" customHeight="1" x14ac:dyDescent="0.2">
      <c r="A23" s="31"/>
      <c r="B23" s="19"/>
      <c r="C23" s="19"/>
      <c r="D23" s="19"/>
      <c r="E23" s="19"/>
      <c r="F23" s="19"/>
      <c r="G23" s="19"/>
      <c r="H23" s="19"/>
      <c r="I23" s="19"/>
      <c r="J23" s="20"/>
      <c r="K23" s="14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9" customHeight="1" x14ac:dyDescent="0.2">
      <c r="A24" s="31"/>
      <c r="B24" s="19"/>
      <c r="C24" s="19"/>
      <c r="D24" s="19"/>
      <c r="E24" s="19"/>
      <c r="F24" s="19"/>
      <c r="G24" s="19"/>
      <c r="H24" s="19"/>
      <c r="I24" s="19"/>
      <c r="J24" s="20"/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9" customHeight="1" x14ac:dyDescent="0.2">
      <c r="A25" s="31"/>
      <c r="B25" s="19"/>
      <c r="C25" s="19"/>
      <c r="D25" s="19"/>
      <c r="E25" s="19"/>
      <c r="F25" s="19"/>
      <c r="G25" s="19"/>
      <c r="H25" s="19"/>
      <c r="I25" s="19"/>
      <c r="J25" s="20"/>
      <c r="K25" s="14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9" customHeight="1" x14ac:dyDescent="0.2">
      <c r="A26" s="31"/>
      <c r="B26" s="19"/>
      <c r="C26" s="19"/>
      <c r="D26" s="19"/>
      <c r="E26" s="19"/>
      <c r="F26" s="19"/>
      <c r="G26" s="19"/>
      <c r="H26" s="19"/>
      <c r="I26" s="19"/>
      <c r="J26" s="20"/>
      <c r="K26" s="14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9" customHeight="1" x14ac:dyDescent="0.2">
      <c r="A27" s="31"/>
      <c r="B27" s="19"/>
      <c r="C27" s="19"/>
      <c r="D27" s="19"/>
      <c r="E27" s="19"/>
      <c r="F27" s="19"/>
      <c r="G27" s="19"/>
      <c r="H27" s="19"/>
      <c r="I27" s="19"/>
      <c r="J27" s="20"/>
      <c r="K27" s="14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9" customHeight="1" x14ac:dyDescent="0.2">
      <c r="A28" s="31"/>
      <c r="B28" s="19"/>
      <c r="C28" s="19"/>
      <c r="D28" s="19"/>
      <c r="E28" s="19"/>
      <c r="F28" s="19"/>
      <c r="G28" s="19"/>
      <c r="H28" s="19"/>
      <c r="I28" s="19"/>
      <c r="J28" s="20"/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9" customHeight="1" x14ac:dyDescent="0.2">
      <c r="A29" s="31"/>
      <c r="B29" s="19"/>
      <c r="C29" s="19"/>
      <c r="D29" s="19"/>
      <c r="E29" s="19"/>
      <c r="F29" s="19"/>
      <c r="G29" s="19"/>
      <c r="H29" s="19"/>
      <c r="I29" s="19"/>
      <c r="J29" s="20"/>
      <c r="K29" s="14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9" customHeight="1" x14ac:dyDescent="0.2">
      <c r="A30" s="31"/>
      <c r="B30" s="19"/>
      <c r="C30" s="19"/>
      <c r="D30" s="19"/>
      <c r="E30" s="19"/>
      <c r="F30" s="19"/>
      <c r="G30" s="19"/>
      <c r="H30" s="19"/>
      <c r="I30" s="19"/>
      <c r="J30" s="20"/>
      <c r="K30" s="14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9" customHeight="1" x14ac:dyDescent="0.2">
      <c r="A31" s="31"/>
      <c r="B31" s="19"/>
      <c r="C31" s="19"/>
      <c r="D31" s="19"/>
      <c r="E31" s="19"/>
      <c r="F31" s="19"/>
      <c r="G31" s="19"/>
      <c r="H31" s="19"/>
      <c r="I31" s="19"/>
      <c r="J31" s="20"/>
      <c r="K31" s="14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9" customHeight="1" x14ac:dyDescent="0.2">
      <c r="A32" s="31"/>
      <c r="B32" s="19"/>
      <c r="C32" s="19"/>
      <c r="D32" s="19"/>
      <c r="E32" s="19"/>
      <c r="F32" s="19"/>
      <c r="G32" s="19"/>
      <c r="H32" s="19"/>
      <c r="I32" s="19"/>
      <c r="J32" s="20"/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9" customHeight="1" x14ac:dyDescent="0.2">
      <c r="A33" s="31"/>
      <c r="B33" s="19"/>
      <c r="C33" s="19"/>
      <c r="D33" s="19"/>
      <c r="E33" s="19"/>
      <c r="F33" s="19"/>
      <c r="G33" s="19"/>
      <c r="H33" s="19"/>
      <c r="I33" s="19"/>
      <c r="J33" s="20"/>
      <c r="K33" s="14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9" customHeight="1" x14ac:dyDescent="0.2">
      <c r="A34" s="31"/>
      <c r="B34" s="19"/>
      <c r="C34" s="19"/>
      <c r="D34" s="19"/>
      <c r="E34" s="19"/>
      <c r="F34" s="19"/>
      <c r="G34" s="19"/>
      <c r="H34" s="19"/>
      <c r="I34" s="19"/>
      <c r="J34" s="20"/>
      <c r="K34" s="14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9" customHeight="1" x14ac:dyDescent="0.2">
      <c r="A35" s="69" t="s">
        <v>636</v>
      </c>
      <c r="B35" s="70"/>
      <c r="C35" s="70"/>
      <c r="D35" s="70"/>
      <c r="E35" s="70"/>
      <c r="F35" s="70"/>
      <c r="G35" s="70"/>
      <c r="H35" s="70"/>
      <c r="I35" s="70"/>
      <c r="J35" s="71"/>
      <c r="K35" s="14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3" customHeight="1" x14ac:dyDescent="0.2">
      <c r="A36" s="53"/>
      <c r="B36" s="35"/>
      <c r="C36" s="35"/>
      <c r="D36" s="19"/>
      <c r="E36" s="19"/>
      <c r="F36" s="19"/>
      <c r="G36" s="19"/>
      <c r="H36" s="19"/>
      <c r="I36" s="19"/>
      <c r="J36" s="20"/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9" customHeight="1" x14ac:dyDescent="0.2">
      <c r="A37" s="31"/>
      <c r="B37" s="19"/>
      <c r="C37" s="19"/>
      <c r="D37" s="19"/>
      <c r="E37" s="19"/>
      <c r="F37" s="19"/>
      <c r="G37" s="19"/>
      <c r="H37" s="19"/>
      <c r="I37" s="19"/>
      <c r="J37" s="20"/>
      <c r="K37" s="14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9" customHeight="1" x14ac:dyDescent="0.2">
      <c r="A38" s="31"/>
      <c r="B38" s="19"/>
      <c r="C38" s="19"/>
      <c r="D38" s="19"/>
      <c r="E38" s="19"/>
      <c r="F38" s="19"/>
      <c r="G38" s="19"/>
      <c r="H38" s="19"/>
      <c r="I38" s="19"/>
      <c r="J38" s="20"/>
      <c r="K38" s="14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9" customHeight="1" x14ac:dyDescent="0.2">
      <c r="A39" s="31"/>
      <c r="B39" s="19"/>
      <c r="C39" s="19"/>
      <c r="D39" s="19"/>
      <c r="E39" s="19"/>
      <c r="F39" s="19"/>
      <c r="G39" s="19"/>
      <c r="H39" s="19"/>
      <c r="I39" s="19"/>
      <c r="J39" s="20"/>
      <c r="K39" s="14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9" customHeight="1" x14ac:dyDescent="0.2">
      <c r="A40" s="31"/>
      <c r="B40" s="19"/>
      <c r="C40" s="19"/>
      <c r="D40" s="19"/>
      <c r="E40" s="19"/>
      <c r="F40" s="19"/>
      <c r="G40" s="19"/>
      <c r="H40" s="19"/>
      <c r="I40" s="19"/>
      <c r="J40" s="20"/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9" customHeight="1" x14ac:dyDescent="0.2">
      <c r="A41" s="31"/>
      <c r="B41" s="19"/>
      <c r="C41" s="19"/>
      <c r="D41" s="19"/>
      <c r="E41" s="19"/>
      <c r="F41" s="19"/>
      <c r="G41" s="19"/>
      <c r="H41" s="19"/>
      <c r="I41" s="19"/>
      <c r="J41" s="20"/>
      <c r="K41" s="14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9" customHeight="1" x14ac:dyDescent="0.2">
      <c r="A42" s="31"/>
      <c r="B42" s="19"/>
      <c r="C42" s="19"/>
      <c r="D42" s="19"/>
      <c r="E42" s="19"/>
      <c r="F42" s="19"/>
      <c r="G42" s="19"/>
      <c r="H42" s="19"/>
      <c r="I42" s="19"/>
      <c r="J42" s="20"/>
      <c r="K42" s="14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9" customHeight="1" x14ac:dyDescent="0.2">
      <c r="A43" s="31"/>
      <c r="B43" s="19"/>
      <c r="C43" s="19"/>
      <c r="D43" s="19"/>
      <c r="E43" s="19"/>
      <c r="F43" s="19"/>
      <c r="G43" s="19"/>
      <c r="H43" s="19"/>
      <c r="I43" s="19"/>
      <c r="J43" s="20"/>
      <c r="K43" s="14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9" customHeight="1" x14ac:dyDescent="0.2">
      <c r="A44" s="31"/>
      <c r="B44" s="19"/>
      <c r="C44" s="19"/>
      <c r="D44" s="19"/>
      <c r="E44" s="19"/>
      <c r="F44" s="19"/>
      <c r="G44" s="19"/>
      <c r="H44" s="19"/>
      <c r="I44" s="19"/>
      <c r="J44" s="20"/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9" customHeight="1" x14ac:dyDescent="0.2">
      <c r="A45" s="31"/>
      <c r="B45" s="19"/>
      <c r="C45" s="19"/>
      <c r="D45" s="19"/>
      <c r="E45" s="19"/>
      <c r="F45" s="19"/>
      <c r="G45" s="19"/>
      <c r="H45" s="19"/>
      <c r="I45" s="19"/>
      <c r="J45" s="20"/>
      <c r="K45" s="14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9" customHeight="1" x14ac:dyDescent="0.2">
      <c r="A46" s="31"/>
      <c r="B46" s="19"/>
      <c r="C46" s="19"/>
      <c r="D46" s="19"/>
      <c r="E46" s="19"/>
      <c r="F46" s="19"/>
      <c r="G46" s="19"/>
      <c r="H46" s="19"/>
      <c r="I46" s="19"/>
      <c r="J46" s="20"/>
      <c r="K46" s="14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9" customHeight="1" x14ac:dyDescent="0.2">
      <c r="A47" s="31"/>
      <c r="B47" s="19"/>
      <c r="C47" s="19"/>
      <c r="D47" s="19"/>
      <c r="E47" s="19"/>
      <c r="F47" s="19"/>
      <c r="G47" s="19"/>
      <c r="H47" s="19"/>
      <c r="I47" s="19"/>
      <c r="J47" s="20"/>
      <c r="K47" s="14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9" customHeight="1" x14ac:dyDescent="0.2">
      <c r="A48" s="31"/>
      <c r="B48" s="19"/>
      <c r="C48" s="19"/>
      <c r="D48" s="19"/>
      <c r="E48" s="19"/>
      <c r="F48" s="19"/>
      <c r="G48" s="19"/>
      <c r="H48" s="19"/>
      <c r="I48" s="19"/>
      <c r="J48" s="20"/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9" customHeight="1" x14ac:dyDescent="0.2">
      <c r="A49" s="31"/>
      <c r="B49" s="19"/>
      <c r="C49" s="19"/>
      <c r="D49" s="19"/>
      <c r="E49" s="19"/>
      <c r="F49" s="19"/>
      <c r="G49" s="19"/>
      <c r="H49" s="19"/>
      <c r="I49" s="19"/>
      <c r="J49" s="20"/>
      <c r="K49" s="14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s="3" customFormat="1" ht="19" customHeight="1" x14ac:dyDescent="0.2">
      <c r="A50" s="31"/>
      <c r="B50" s="19"/>
      <c r="C50" s="19"/>
      <c r="D50" s="19"/>
      <c r="E50" s="19"/>
      <c r="F50" s="19"/>
      <c r="G50" s="19"/>
      <c r="H50" s="19"/>
      <c r="I50" s="19"/>
      <c r="J50" s="20"/>
      <c r="K50" s="14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19" customHeight="1" x14ac:dyDescent="0.2">
      <c r="A51" s="31"/>
      <c r="B51" s="19"/>
      <c r="C51" s="19"/>
      <c r="D51" s="19"/>
      <c r="E51" s="19"/>
      <c r="F51" s="19"/>
      <c r="G51" s="19"/>
      <c r="H51" s="19"/>
      <c r="I51" s="19"/>
      <c r="J51" s="20"/>
      <c r="K51" s="14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9" customHeight="1" x14ac:dyDescent="0.2">
      <c r="A52" s="31"/>
      <c r="B52" s="19"/>
      <c r="C52" s="19"/>
      <c r="D52" s="19"/>
      <c r="E52" s="19"/>
      <c r="F52" s="19"/>
      <c r="G52" s="19"/>
      <c r="H52" s="19"/>
      <c r="I52" s="19"/>
      <c r="J52" s="20"/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9" customHeight="1" x14ac:dyDescent="0.2">
      <c r="A53" s="73" t="s">
        <v>637</v>
      </c>
      <c r="B53" s="74"/>
      <c r="C53" s="74"/>
      <c r="D53" s="74"/>
      <c r="E53" s="74"/>
      <c r="F53" s="74"/>
      <c r="G53" s="74"/>
      <c r="H53" s="74"/>
      <c r="I53" s="74"/>
      <c r="J53" s="75"/>
      <c r="K53" s="14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9" customHeight="1" x14ac:dyDescent="0.2">
      <c r="A54" s="76" t="s">
        <v>638</v>
      </c>
      <c r="B54" s="77"/>
      <c r="C54" s="77"/>
      <c r="D54" s="77"/>
      <c r="E54" s="77"/>
      <c r="F54" s="77"/>
      <c r="G54" s="77"/>
      <c r="H54" s="77"/>
      <c r="I54" s="77"/>
      <c r="J54" s="78"/>
      <c r="K54" s="14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9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9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9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9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9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9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9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9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9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9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9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9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9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9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9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9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20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20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20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20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20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20" customHeight="1" outlineLevel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 t="s">
        <v>238</v>
      </c>
      <c r="M76" s="15" t="s">
        <v>234</v>
      </c>
      <c r="N76" s="15" t="s">
        <v>235</v>
      </c>
      <c r="O76" s="15" t="s">
        <v>236</v>
      </c>
      <c r="P76" s="15" t="s">
        <v>239</v>
      </c>
      <c r="Q76" s="15" t="s">
        <v>237</v>
      </c>
      <c r="R76" s="15" t="s">
        <v>240</v>
      </c>
      <c r="S76" s="15" t="s">
        <v>241</v>
      </c>
      <c r="T76" s="15" t="s">
        <v>242</v>
      </c>
      <c r="U76" s="15" t="s">
        <v>243</v>
      </c>
      <c r="V76" s="15" t="s">
        <v>244</v>
      </c>
      <c r="W76" s="15" t="s">
        <v>245</v>
      </c>
      <c r="X76" s="15"/>
      <c r="Y76" s="15"/>
      <c r="Z76" s="15"/>
    </row>
    <row r="77" spans="1:26" ht="20" customHeight="1" outlineLevel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 t="s">
        <v>164</v>
      </c>
      <c r="M77" s="15">
        <f>'📊 Base Mensal'!C11</f>
        <v>21562</v>
      </c>
      <c r="N77" s="79">
        <f>'📊 Base Mensal'!C9</f>
        <v>380</v>
      </c>
      <c r="O77" s="79">
        <f>'📊 Base Mensal'!C5</f>
        <v>2000</v>
      </c>
      <c r="P77" s="15">
        <f>'📊 Base Mensal'!C24</f>
        <v>-39903.990699999995</v>
      </c>
      <c r="Q77" s="15">
        <f>'📊 Base Mensal'!C25</f>
        <v>-39903.990699999995</v>
      </c>
      <c r="R77" s="79">
        <f>'📊 Base Mensal'!C6</f>
        <v>200</v>
      </c>
      <c r="S77" s="79">
        <f>'📊 Base Mensal'!C7</f>
        <v>140</v>
      </c>
      <c r="T77" s="79">
        <f>'📊 Base Mensal'!C8</f>
        <v>40</v>
      </c>
      <c r="U77" s="15">
        <f>'📊 Base Mensal'!C18</f>
        <v>3662.9307000000003</v>
      </c>
      <c r="V77" s="15">
        <f>'📊 Base Mensal'!C20</f>
        <v>55000</v>
      </c>
      <c r="W77" s="15">
        <f>'📊 Base Mensal'!C26</f>
        <v>0.83012101382061032</v>
      </c>
      <c r="X77" s="15"/>
      <c r="Y77" s="15"/>
      <c r="Z77" s="15"/>
    </row>
    <row r="78" spans="1:26" ht="20" customHeight="1" outlineLevel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 t="s">
        <v>165</v>
      </c>
      <c r="M78" s="15">
        <f>'📊 Base Mensal'!D11</f>
        <v>52607.4</v>
      </c>
      <c r="N78" s="79">
        <f>'📊 Base Mensal'!D9</f>
        <v>926</v>
      </c>
      <c r="O78" s="79">
        <f>'📊 Base Mensal'!D5</f>
        <v>3000</v>
      </c>
      <c r="P78" s="15">
        <f>'📊 Base Mensal'!D24</f>
        <v>-17668.580590000005</v>
      </c>
      <c r="Q78" s="15">
        <f>'📊 Base Mensal'!D25</f>
        <v>-57572.57129</v>
      </c>
      <c r="R78" s="79">
        <f>'📊 Base Mensal'!D6</f>
        <v>484</v>
      </c>
      <c r="S78" s="79">
        <f>'📊 Base Mensal'!D7</f>
        <v>343</v>
      </c>
      <c r="T78" s="79">
        <f>'📊 Base Mensal'!D8</f>
        <v>99</v>
      </c>
      <c r="U78" s="15">
        <f>'📊 Base Mensal'!D18</f>
        <v>8437.0185900000015</v>
      </c>
      <c r="V78" s="15">
        <f>'📊 Base Mensal'!D20</f>
        <v>55000</v>
      </c>
      <c r="W78" s="15">
        <f>'📊 Base Mensal'!D26</f>
        <v>0.83962296958222604</v>
      </c>
      <c r="X78" s="15"/>
      <c r="Y78" s="15"/>
      <c r="Z78" s="15"/>
    </row>
    <row r="79" spans="1:26" ht="20" customHeight="1" outlineLevel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 t="s">
        <v>166</v>
      </c>
      <c r="M79" s="15">
        <f>'📊 Base Mensal'!E11</f>
        <v>81746.299999999988</v>
      </c>
      <c r="N79" s="79">
        <f>'📊 Base Mensal'!E9</f>
        <v>1437</v>
      </c>
      <c r="O79" s="79">
        <f>'📊 Base Mensal'!E5</f>
        <v>3000</v>
      </c>
      <c r="P79" s="15">
        <f>'📊 Base Mensal'!E24</f>
        <v>3441.7705699999933</v>
      </c>
      <c r="Q79" s="15">
        <f>'📊 Base Mensal'!E25</f>
        <v>-54130.800720000007</v>
      </c>
      <c r="R79" s="79">
        <f>'📊 Base Mensal'!E6</f>
        <v>745</v>
      </c>
      <c r="S79" s="79">
        <f>'📊 Base Mensal'!E7</f>
        <v>536</v>
      </c>
      <c r="T79" s="79">
        <f>'📊 Base Mensal'!E8</f>
        <v>156</v>
      </c>
      <c r="U79" s="15">
        <f>'📊 Base Mensal'!E18</f>
        <v>12677.510430000002</v>
      </c>
      <c r="V79" s="15">
        <f>'📊 Base Mensal'!E20</f>
        <v>55000</v>
      </c>
      <c r="W79" s="15">
        <f>'📊 Base Mensal'!E26</f>
        <v>0.84491640074229657</v>
      </c>
      <c r="X79" s="15"/>
      <c r="Y79" s="15"/>
      <c r="Z79" s="15"/>
    </row>
    <row r="80" spans="1:26" ht="20" customHeight="1" outlineLevel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 t="s">
        <v>167</v>
      </c>
      <c r="M80" s="15">
        <f>'📊 Base Mensal'!F11</f>
        <v>109078.5</v>
      </c>
      <c r="N80" s="79">
        <f>'📊 Base Mensal'!F9</f>
        <v>1915</v>
      </c>
      <c r="O80" s="79">
        <f>'📊 Base Mensal'!F5</f>
        <v>3000</v>
      </c>
      <c r="P80" s="15">
        <f>'📊 Base Mensal'!F24</f>
        <v>23230.937149999998</v>
      </c>
      <c r="Q80" s="15">
        <f>'📊 Base Mensal'!F25</f>
        <v>-30899.863570000009</v>
      </c>
      <c r="R80" s="79">
        <f>'📊 Base Mensal'!F6</f>
        <v>985</v>
      </c>
      <c r="S80" s="79">
        <f>'📊 Base Mensal'!F7</f>
        <v>719</v>
      </c>
      <c r="T80" s="79">
        <f>'📊 Base Mensal'!F8</f>
        <v>211</v>
      </c>
      <c r="U80" s="15">
        <f>'📊 Base Mensal'!F18</f>
        <v>16667.35785</v>
      </c>
      <c r="V80" s="15">
        <f>'📊 Base Mensal'!F20</f>
        <v>55000</v>
      </c>
      <c r="W80" s="15">
        <f>'📊 Base Mensal'!F26</f>
        <v>0.84719850520496709</v>
      </c>
      <c r="X80" s="15"/>
      <c r="Y80" s="15"/>
      <c r="Z80" s="15"/>
    </row>
    <row r="81" spans="1:26" ht="20" customHeight="1" outlineLevel="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 t="s">
        <v>168</v>
      </c>
      <c r="M81" s="15">
        <f>'📊 Base Mensal'!G11</f>
        <v>134843.6</v>
      </c>
      <c r="N81" s="79">
        <f>'📊 Base Mensal'!G9</f>
        <v>2364</v>
      </c>
      <c r="O81" s="79">
        <f>'📊 Base Mensal'!G5</f>
        <v>3000</v>
      </c>
      <c r="P81" s="15">
        <f>'📊 Base Mensal'!G24</f>
        <v>41872.273489999992</v>
      </c>
      <c r="Q81" s="15">
        <f>'📊 Base Mensal'!G25</f>
        <v>10972.409919999984</v>
      </c>
      <c r="R81" s="79">
        <f>'📊 Base Mensal'!G6</f>
        <v>1206</v>
      </c>
      <c r="S81" s="79">
        <f>'📊 Base Mensal'!G7</f>
        <v>893</v>
      </c>
      <c r="T81" s="79">
        <f>'📊 Base Mensal'!G8</f>
        <v>265</v>
      </c>
      <c r="U81" s="15">
        <f>'📊 Base Mensal'!G18</f>
        <v>20441.658510000005</v>
      </c>
      <c r="V81" s="15">
        <f>'📊 Base Mensal'!G20</f>
        <v>55000</v>
      </c>
      <c r="W81" s="15">
        <f>'📊 Base Mensal'!G26</f>
        <v>0.84840468134935576</v>
      </c>
      <c r="X81" s="15"/>
      <c r="Y81" s="15"/>
      <c r="Z81" s="15"/>
    </row>
    <row r="82" spans="1:26" ht="20" customHeight="1" outlineLevel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 t="s">
        <v>246</v>
      </c>
      <c r="M82" s="15">
        <f>'📊 Base Mensal'!H11</f>
        <v>159061.5</v>
      </c>
      <c r="N82" s="79">
        <f>'📊 Base Mensal'!H9</f>
        <v>2785</v>
      </c>
      <c r="O82" s="79">
        <f>'📊 Base Mensal'!H5</f>
        <v>3000</v>
      </c>
      <c r="P82" s="15">
        <f>'📊 Base Mensal'!H24</f>
        <v>59384.704850000009</v>
      </c>
      <c r="Q82" s="15">
        <f>'📊 Base Mensal'!H25</f>
        <v>70357.114769999986</v>
      </c>
      <c r="R82" s="79">
        <f>'📊 Base Mensal'!H6</f>
        <v>1410</v>
      </c>
      <c r="S82" s="79">
        <f>'📊 Base Mensal'!H7</f>
        <v>1058</v>
      </c>
      <c r="T82" s="79">
        <f>'📊 Base Mensal'!H8</f>
        <v>317</v>
      </c>
      <c r="U82" s="15">
        <f>'📊 Base Mensal'!H18</f>
        <v>23998.800150000003</v>
      </c>
      <c r="V82" s="15">
        <f>'📊 Base Mensal'!H20</f>
        <v>55000</v>
      </c>
      <c r="W82" s="15">
        <f>'📊 Base Mensal'!H26</f>
        <v>0.84912250827510116</v>
      </c>
      <c r="X82" s="15"/>
      <c r="Y82" s="15"/>
      <c r="Z82" s="15"/>
    </row>
    <row r="83" spans="1:26" ht="20" customHeight="1" outlineLevel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 t="s">
        <v>169</v>
      </c>
      <c r="M83" s="15">
        <f>'📊 Base Mensal'!I11</f>
        <v>181792.09999999998</v>
      </c>
      <c r="N83" s="79">
        <f>'📊 Base Mensal'!I9</f>
        <v>3179</v>
      </c>
      <c r="O83" s="79">
        <f>'📊 Base Mensal'!I5</f>
        <v>3000</v>
      </c>
      <c r="P83" s="15">
        <f>'📊 Base Mensal'!I24</f>
        <v>75810.174589999981</v>
      </c>
      <c r="Q83" s="15">
        <f>'📊 Base Mensal'!I25</f>
        <v>146167.28935999997</v>
      </c>
      <c r="R83" s="79">
        <f>'📊 Base Mensal'!I6</f>
        <v>1597</v>
      </c>
      <c r="S83" s="79">
        <f>'📊 Base Mensal'!I7</f>
        <v>1215</v>
      </c>
      <c r="T83" s="79">
        <f>'📊 Base Mensal'!I8</f>
        <v>367</v>
      </c>
      <c r="U83" s="15">
        <f>'📊 Base Mensal'!I18</f>
        <v>27348.952410000005</v>
      </c>
      <c r="V83" s="15">
        <f>'📊 Base Mensal'!I20</f>
        <v>55000</v>
      </c>
      <c r="W83" s="15">
        <f>'📊 Base Mensal'!I26</f>
        <v>0.84955918100951577</v>
      </c>
      <c r="X83" s="15"/>
      <c r="Y83" s="15"/>
      <c r="Z83" s="15"/>
    </row>
    <row r="84" spans="1:26" ht="20" customHeight="1" outlineLevel="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 t="s">
        <v>170</v>
      </c>
      <c r="M84" s="15">
        <f>'📊 Base Mensal'!J11</f>
        <v>203215.09999999998</v>
      </c>
      <c r="N84" s="79">
        <f>'📊 Base Mensal'!J9</f>
        <v>3549</v>
      </c>
      <c r="O84" s="79">
        <f>'📊 Base Mensal'!J5</f>
        <v>3000</v>
      </c>
      <c r="P84" s="15">
        <f>'📊 Base Mensal'!J24</f>
        <v>91280.09368999998</v>
      </c>
      <c r="Q84" s="15">
        <f>'📊 Base Mensal'!J25</f>
        <v>237447.38304999995</v>
      </c>
      <c r="R84" s="79">
        <f>'📊 Base Mensal'!J6</f>
        <v>1769</v>
      </c>
      <c r="S84" s="79">
        <f>'📊 Base Mensal'!J7</f>
        <v>1364</v>
      </c>
      <c r="T84" s="79">
        <f>'📊 Base Mensal'!J8</f>
        <v>416</v>
      </c>
      <c r="U84" s="15">
        <f>'📊 Base Mensal'!J18</f>
        <v>30517.043310000005</v>
      </c>
      <c r="V84" s="15">
        <f>'📊 Base Mensal'!J20</f>
        <v>55000</v>
      </c>
      <c r="W84" s="15">
        <f>'📊 Base Mensal'!J26</f>
        <v>0.84982885961722332</v>
      </c>
      <c r="X84" s="15"/>
      <c r="Y84" s="15"/>
      <c r="Z84" s="15"/>
    </row>
    <row r="85" spans="1:26" ht="20" customHeight="1" outlineLevel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 t="s">
        <v>171</v>
      </c>
      <c r="M85" s="15">
        <f>'📊 Base Mensal'!K11</f>
        <v>223440.30000000002</v>
      </c>
      <c r="N85" s="79">
        <f>'📊 Base Mensal'!K9</f>
        <v>3897</v>
      </c>
      <c r="O85" s="79">
        <f>'📊 Base Mensal'!K5</f>
        <v>3000</v>
      </c>
      <c r="P85" s="15">
        <f>'📊 Base Mensal'!K24</f>
        <v>105873.98957000001</v>
      </c>
      <c r="Q85" s="15">
        <f>'📊 Base Mensal'!K25</f>
        <v>343321.37261999992</v>
      </c>
      <c r="R85" s="79">
        <f>'📊 Base Mensal'!K6</f>
        <v>1927</v>
      </c>
      <c r="S85" s="79">
        <f>'📊 Base Mensal'!K7</f>
        <v>1506</v>
      </c>
      <c r="T85" s="79">
        <f>'📊 Base Mensal'!K8</f>
        <v>464</v>
      </c>
      <c r="U85" s="15">
        <f>'📊 Base Mensal'!K18</f>
        <v>33519.071430000004</v>
      </c>
      <c r="V85" s="15">
        <f>'📊 Base Mensal'!K20</f>
        <v>55000</v>
      </c>
      <c r="W85" s="15">
        <f>'📊 Base Mensal'!K26</f>
        <v>0.84998645530819639</v>
      </c>
      <c r="X85" s="15"/>
      <c r="Y85" s="15"/>
      <c r="Z85" s="15"/>
    </row>
    <row r="86" spans="1:26" ht="20" customHeight="1" outlineLevel="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 t="s">
        <v>172</v>
      </c>
      <c r="M86" s="15">
        <f>'📊 Base Mensal'!L11</f>
        <v>242487.59999999998</v>
      </c>
      <c r="N86" s="79">
        <f>'📊 Base Mensal'!L9</f>
        <v>4224</v>
      </c>
      <c r="O86" s="79">
        <f>'📊 Base Mensal'!L5</f>
        <v>3000</v>
      </c>
      <c r="P86" s="15">
        <f>'📊 Base Mensal'!L24</f>
        <v>119610.78748999996</v>
      </c>
      <c r="Q86" s="15">
        <f>'📊 Base Mensal'!L25</f>
        <v>462932.16010999988</v>
      </c>
      <c r="R86" s="79">
        <f>'📊 Base Mensal'!L6</f>
        <v>2073</v>
      </c>
      <c r="S86" s="79">
        <f>'📊 Base Mensal'!L7</f>
        <v>1641</v>
      </c>
      <c r="T86" s="79">
        <f>'📊 Base Mensal'!L8</f>
        <v>510</v>
      </c>
      <c r="U86" s="15">
        <f>'📊 Base Mensal'!L18</f>
        <v>36353.424510000004</v>
      </c>
      <c r="V86" s="15">
        <f>'📊 Base Mensal'!L20</f>
        <v>55000</v>
      </c>
      <c r="W86" s="15">
        <f>'📊 Base Mensal'!L26</f>
        <v>0.85008130514714975</v>
      </c>
      <c r="X86" s="15"/>
      <c r="Y86" s="15"/>
      <c r="Z86" s="15"/>
    </row>
    <row r="87" spans="1:26" ht="20" customHeight="1" outlineLevel="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 t="s">
        <v>247</v>
      </c>
      <c r="M87" s="15">
        <f>'📊 Base Mensal'!M11</f>
        <v>260436.9</v>
      </c>
      <c r="N87" s="79">
        <f>'📊 Base Mensal'!M9</f>
        <v>4531</v>
      </c>
      <c r="O87" s="79">
        <f>'📊 Base Mensal'!M5</f>
        <v>3000</v>
      </c>
      <c r="P87" s="15">
        <f>'📊 Base Mensal'!M24</f>
        <v>132546.73030999998</v>
      </c>
      <c r="Q87" s="15">
        <f>'📊 Base Mensal'!M25</f>
        <v>595478.89041999984</v>
      </c>
      <c r="R87" s="79">
        <f>'📊 Base Mensal'!M6</f>
        <v>2207</v>
      </c>
      <c r="S87" s="79">
        <f>'📊 Base Mensal'!M7</f>
        <v>1769</v>
      </c>
      <c r="T87" s="79">
        <f>'📊 Base Mensal'!M8</f>
        <v>555</v>
      </c>
      <c r="U87" s="15">
        <f>'📊 Base Mensal'!M18</f>
        <v>39033.372690000004</v>
      </c>
      <c r="V87" s="15">
        <f>'📊 Base Mensal'!M20</f>
        <v>55000</v>
      </c>
      <c r="W87" s="15">
        <f>'📊 Base Mensal'!M26</f>
        <v>0.85012349367543538</v>
      </c>
      <c r="X87" s="15"/>
      <c r="Y87" s="15"/>
      <c r="Z87" s="15"/>
    </row>
    <row r="88" spans="1:26" ht="20" customHeight="1" outlineLevel="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 t="s">
        <v>248</v>
      </c>
      <c r="M88" s="15">
        <f>'📊 Base Mensal'!N11</f>
        <v>277318.09999999998</v>
      </c>
      <c r="N88" s="79">
        <f>'📊 Base Mensal'!N9</f>
        <v>4819</v>
      </c>
      <c r="O88" s="79">
        <f>'📊 Base Mensal'!N5</f>
        <v>3000</v>
      </c>
      <c r="P88" s="15">
        <f>'📊 Base Mensal'!N24</f>
        <v>144705.10258999997</v>
      </c>
      <c r="Q88" s="15">
        <f>'📊 Base Mensal'!N25</f>
        <v>740183.99300999986</v>
      </c>
      <c r="R88" s="79">
        <f>'📊 Base Mensal'!N6</f>
        <v>2330</v>
      </c>
      <c r="S88" s="79">
        <f>'📊 Base Mensal'!N7</f>
        <v>1891</v>
      </c>
      <c r="T88" s="79">
        <f>'📊 Base Mensal'!N8</f>
        <v>598</v>
      </c>
      <c r="U88" s="15">
        <f>'📊 Base Mensal'!N18</f>
        <v>41561.644410000008</v>
      </c>
      <c r="V88" s="15">
        <f>'📊 Base Mensal'!N20</f>
        <v>55000</v>
      </c>
      <c r="W88" s="15">
        <f>'📊 Base Mensal'!N26</f>
        <v>0.85013006936799285</v>
      </c>
      <c r="X88" s="15"/>
      <c r="Y88" s="15"/>
      <c r="Z88" s="15"/>
    </row>
    <row r="89" spans="1:26" ht="20" customHeight="1" outlineLevel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 t="s">
        <v>174</v>
      </c>
      <c r="M89" s="15">
        <f>'📊 Base Mensal'!O11</f>
        <v>298641.5</v>
      </c>
      <c r="N89" s="79">
        <f>'📊 Base Mensal'!O9</f>
        <v>5185</v>
      </c>
      <c r="O89" s="79">
        <f>'📊 Base Mensal'!O5</f>
        <v>3500</v>
      </c>
      <c r="P89" s="15">
        <f>'📊 Base Mensal'!O24</f>
        <v>144949.37427500001</v>
      </c>
      <c r="Q89" s="15">
        <f>'📊 Base Mensal'!O25</f>
        <v>885133.36728499993</v>
      </c>
      <c r="R89" s="79">
        <f>'📊 Base Mensal'!O6</f>
        <v>2494</v>
      </c>
      <c r="S89" s="79">
        <f>'📊 Base Mensal'!O7</f>
        <v>2041</v>
      </c>
      <c r="T89" s="79">
        <f>'📊 Base Mensal'!O8</f>
        <v>650</v>
      </c>
      <c r="U89" s="15">
        <f>'📊 Base Mensal'!O18</f>
        <v>44868.730725000009</v>
      </c>
      <c r="V89" s="15">
        <f>'📊 Base Mensal'!O20</f>
        <v>70000</v>
      </c>
      <c r="W89" s="15">
        <f>'📊 Base Mensal'!O26</f>
        <v>0.84975721483785738</v>
      </c>
      <c r="X89" s="15"/>
      <c r="Y89" s="15"/>
      <c r="Z89" s="15"/>
    </row>
    <row r="90" spans="1:26" ht="20" customHeight="1" outlineLevel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 t="s">
        <v>175</v>
      </c>
      <c r="M90" s="15">
        <f>'📊 Base Mensal'!P11</f>
        <v>318767.10000000003</v>
      </c>
      <c r="N90" s="79">
        <f>'📊 Base Mensal'!P9</f>
        <v>5529</v>
      </c>
      <c r="O90" s="79">
        <f>'📊 Base Mensal'!P5</f>
        <v>3500</v>
      </c>
      <c r="P90" s="15">
        <f>'📊 Base Mensal'!P24</f>
        <v>159453.26961500003</v>
      </c>
      <c r="Q90" s="15">
        <f>'📊 Base Mensal'!P25</f>
        <v>1044586.6368999999</v>
      </c>
      <c r="R90" s="79">
        <f>'📊 Base Mensal'!P6</f>
        <v>2644</v>
      </c>
      <c r="S90" s="79">
        <f>'📊 Base Mensal'!P7</f>
        <v>2184</v>
      </c>
      <c r="T90" s="79">
        <f>'📊 Base Mensal'!P8</f>
        <v>701</v>
      </c>
      <c r="U90" s="15">
        <f>'📊 Base Mensal'!P18</f>
        <v>47874.107385000003</v>
      </c>
      <c r="V90" s="15">
        <f>'📊 Base Mensal'!P20</f>
        <v>70000</v>
      </c>
      <c r="W90" s="15">
        <f>'📊 Base Mensal'!P26</f>
        <v>0.84981477892480117</v>
      </c>
      <c r="X90" s="15"/>
      <c r="Y90" s="15"/>
      <c r="Z90" s="15"/>
    </row>
    <row r="91" spans="1:26" ht="20" customHeight="1" outlineLevel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 t="s">
        <v>176</v>
      </c>
      <c r="M91" s="15">
        <f>'📊 Base Mensal'!Q11</f>
        <v>337714.8</v>
      </c>
      <c r="N91" s="79">
        <f>'📊 Base Mensal'!Q9</f>
        <v>5852</v>
      </c>
      <c r="O91" s="79">
        <f>'📊 Base Mensal'!Q5</f>
        <v>3500</v>
      </c>
      <c r="P91" s="15">
        <f>'📊 Base Mensal'!Q24</f>
        <v>173100.06699499997</v>
      </c>
      <c r="Q91" s="15">
        <f>'📊 Base Mensal'!Q25</f>
        <v>1217686.7038949998</v>
      </c>
      <c r="R91" s="79">
        <f>'📊 Base Mensal'!Q6</f>
        <v>2782</v>
      </c>
      <c r="S91" s="79">
        <f>'📊 Base Mensal'!Q7</f>
        <v>2320</v>
      </c>
      <c r="T91" s="79">
        <f>'📊 Base Mensal'!Q8</f>
        <v>750</v>
      </c>
      <c r="U91" s="15">
        <f>'📊 Base Mensal'!Q18</f>
        <v>50711.80900500001</v>
      </c>
      <c r="V91" s="15">
        <f>'📊 Base Mensal'!Q20</f>
        <v>70000</v>
      </c>
      <c r="W91" s="15">
        <f>'📊 Base Mensal'!Q26</f>
        <v>0.84983835767635885</v>
      </c>
      <c r="X91" s="15"/>
      <c r="Y91" s="15"/>
      <c r="Z91" s="15"/>
    </row>
    <row r="92" spans="1:26" ht="20" customHeight="1" outlineLevel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 t="s">
        <v>177</v>
      </c>
      <c r="M92" s="15">
        <f>'📊 Base Mensal'!R11</f>
        <v>355614.4</v>
      </c>
      <c r="N92" s="79">
        <f>'📊 Base Mensal'!R9</f>
        <v>6156</v>
      </c>
      <c r="O92" s="79">
        <f>'📊 Base Mensal'!R5</f>
        <v>3500</v>
      </c>
      <c r="P92" s="15">
        <f>'📊 Base Mensal'!R24</f>
        <v>185983.59333500001</v>
      </c>
      <c r="Q92" s="15">
        <f>'📊 Base Mensal'!R25</f>
        <v>1403670.2972299999</v>
      </c>
      <c r="R92" s="79">
        <f>'📊 Base Mensal'!R6</f>
        <v>2909</v>
      </c>
      <c r="S92" s="79">
        <f>'📊 Base Mensal'!R7</f>
        <v>2449</v>
      </c>
      <c r="T92" s="79">
        <f>'📊 Base Mensal'!R8</f>
        <v>798</v>
      </c>
      <c r="U92" s="15">
        <f>'📊 Base Mensal'!R18</f>
        <v>53400.934665000001</v>
      </c>
      <c r="V92" s="15">
        <f>'📊 Base Mensal'!R20</f>
        <v>70000</v>
      </c>
      <c r="W92" s="15">
        <f>'📊 Base Mensal'!R26</f>
        <v>0.84983472360793044</v>
      </c>
      <c r="X92" s="15"/>
      <c r="Y92" s="15"/>
      <c r="Z92" s="15"/>
    </row>
    <row r="93" spans="1:26" ht="20" customHeight="1" outlineLevel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 t="s">
        <v>178</v>
      </c>
      <c r="M93" s="15">
        <f>'📊 Base Mensal'!S11</f>
        <v>372495.79999999993</v>
      </c>
      <c r="N93" s="79">
        <f>'📊 Base Mensal'!S9</f>
        <v>6442</v>
      </c>
      <c r="O93" s="79">
        <f>'📊 Base Mensal'!S5</f>
        <v>3500</v>
      </c>
      <c r="P93" s="15">
        <f>'📊 Base Mensal'!S24</f>
        <v>198127.13319499991</v>
      </c>
      <c r="Q93" s="15">
        <f>'📊 Base Mensal'!S25</f>
        <v>1601797.4304249999</v>
      </c>
      <c r="R93" s="79">
        <f>'📊 Base Mensal'!S6</f>
        <v>3026</v>
      </c>
      <c r="S93" s="79">
        <f>'📊 Base Mensal'!S7</f>
        <v>2572</v>
      </c>
      <c r="T93" s="79">
        <f>'📊 Base Mensal'!S8</f>
        <v>844</v>
      </c>
      <c r="U93" s="15">
        <f>'📊 Base Mensal'!S18</f>
        <v>55944.21280500001</v>
      </c>
      <c r="V93" s="15">
        <f>'📊 Base Mensal'!S20</f>
        <v>70000</v>
      </c>
      <c r="W93" s="15">
        <f>'📊 Base Mensal'!S26</f>
        <v>0.84981250042282352</v>
      </c>
      <c r="X93" s="15"/>
      <c r="Y93" s="15"/>
      <c r="Z93" s="15"/>
    </row>
    <row r="94" spans="1:26" ht="20" customHeight="1" outlineLevel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 t="s">
        <v>249</v>
      </c>
      <c r="M94" s="15">
        <f>'📊 Base Mensal'!T11</f>
        <v>388428.9</v>
      </c>
      <c r="N94" s="79">
        <f>'📊 Base Mensal'!T9</f>
        <v>6711</v>
      </c>
      <c r="O94" s="79">
        <f>'📊 Base Mensal'!T5</f>
        <v>3500</v>
      </c>
      <c r="P94" s="15">
        <f>'📊 Base Mensal'!T24</f>
        <v>209582.57013500002</v>
      </c>
      <c r="Q94" s="15">
        <f>'📊 Base Mensal'!T25</f>
        <v>1811380.0005599998</v>
      </c>
      <c r="R94" s="79">
        <f>'📊 Base Mensal'!T6</f>
        <v>3134</v>
      </c>
      <c r="S94" s="79">
        <f>'📊 Base Mensal'!T7</f>
        <v>2688</v>
      </c>
      <c r="T94" s="79">
        <f>'📊 Base Mensal'!T8</f>
        <v>889</v>
      </c>
      <c r="U94" s="15">
        <f>'📊 Base Mensal'!T18</f>
        <v>58350.572865000009</v>
      </c>
      <c r="V94" s="15">
        <f>'📊 Base Mensal'!T20</f>
        <v>70000</v>
      </c>
      <c r="W94" s="15">
        <f>'📊 Base Mensal'!T26</f>
        <v>0.84977798288180928</v>
      </c>
      <c r="X94" s="15"/>
      <c r="Y94" s="15"/>
      <c r="Z94" s="15"/>
    </row>
    <row r="95" spans="1:26" ht="20" customHeight="1" outlineLevel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 t="s">
        <v>179</v>
      </c>
      <c r="M95" s="15">
        <f>'📊 Base Mensal'!U11</f>
        <v>403453.6</v>
      </c>
      <c r="N95" s="79">
        <f>'📊 Base Mensal'!U9</f>
        <v>6964</v>
      </c>
      <c r="O95" s="79">
        <f>'📊 Base Mensal'!U5</f>
        <v>3500</v>
      </c>
      <c r="P95" s="15">
        <f>'📊 Base Mensal'!U24</f>
        <v>220377.54801499998</v>
      </c>
      <c r="Q95" s="15">
        <f>'📊 Base Mensal'!U25</f>
        <v>2031757.5485749999</v>
      </c>
      <c r="R95" s="79">
        <f>'📊 Base Mensal'!U6</f>
        <v>3233</v>
      </c>
      <c r="S95" s="79">
        <f>'📊 Base Mensal'!U7</f>
        <v>2799</v>
      </c>
      <c r="T95" s="79">
        <f>'📊 Base Mensal'!U8</f>
        <v>932</v>
      </c>
      <c r="U95" s="15">
        <f>'📊 Base Mensal'!U18</f>
        <v>60627.083985000005</v>
      </c>
      <c r="V95" s="15">
        <f>'📊 Base Mensal'!U20</f>
        <v>70000</v>
      </c>
      <c r="W95" s="15">
        <f>'📊 Base Mensal'!U26</f>
        <v>0.84972972360390386</v>
      </c>
      <c r="X95" s="15"/>
      <c r="Y95" s="15"/>
      <c r="Z95" s="15"/>
    </row>
    <row r="96" spans="1:26" ht="20" customHeight="1" outlineLevel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 t="s">
        <v>180</v>
      </c>
      <c r="M96" s="15">
        <f>'📊 Base Mensal'!V11</f>
        <v>417639.80000000005</v>
      </c>
      <c r="N96" s="79">
        <f>'📊 Base Mensal'!V9</f>
        <v>7202</v>
      </c>
      <c r="O96" s="79">
        <f>'📊 Base Mensal'!V5</f>
        <v>3500</v>
      </c>
      <c r="P96" s="15">
        <f>'📊 Base Mensal'!V24</f>
        <v>230563.95039500005</v>
      </c>
      <c r="Q96" s="15">
        <f>'📊 Base Mensal'!V25</f>
        <v>2262321.4989700001</v>
      </c>
      <c r="R96" s="79">
        <f>'📊 Base Mensal'!V6</f>
        <v>3324</v>
      </c>
      <c r="S96" s="79">
        <f>'📊 Base Mensal'!V7</f>
        <v>2904</v>
      </c>
      <c r="T96" s="79">
        <f>'📊 Base Mensal'!V8</f>
        <v>974</v>
      </c>
      <c r="U96" s="15">
        <f>'📊 Base Mensal'!V18</f>
        <v>62782.675605000004</v>
      </c>
      <c r="V96" s="15">
        <f>'📊 Base Mensal'!V20</f>
        <v>70000</v>
      </c>
      <c r="W96" s="15">
        <f>'📊 Base Mensal'!V26</f>
        <v>0.84967267103135291</v>
      </c>
      <c r="X96" s="15"/>
      <c r="Y96" s="15"/>
      <c r="Z96" s="15"/>
    </row>
    <row r="97" spans="1:26" ht="20" customHeight="1" outlineLevel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 t="s">
        <v>181</v>
      </c>
      <c r="M97" s="15">
        <f>'📊 Base Mensal'!W11</f>
        <v>431097.3</v>
      </c>
      <c r="N97" s="79">
        <f>'📊 Base Mensal'!W9</f>
        <v>7427</v>
      </c>
      <c r="O97" s="79">
        <f>'📊 Base Mensal'!W5</f>
        <v>3500</v>
      </c>
      <c r="P97" s="15">
        <f>'📊 Base Mensal'!W24</f>
        <v>240221.30469499997</v>
      </c>
      <c r="Q97" s="15">
        <f>'📊 Base Mensal'!W25</f>
        <v>2502542.803665</v>
      </c>
      <c r="R97" s="79">
        <f>'📊 Base Mensal'!W6</f>
        <v>3408</v>
      </c>
      <c r="S97" s="79">
        <f>'📊 Base Mensal'!W7</f>
        <v>3004</v>
      </c>
      <c r="T97" s="79">
        <f>'📊 Base Mensal'!W8</f>
        <v>1015</v>
      </c>
      <c r="U97" s="15">
        <f>'📊 Base Mensal'!W18</f>
        <v>64833.346304999999</v>
      </c>
      <c r="V97" s="15">
        <f>'📊 Base Mensal'!W20</f>
        <v>70000</v>
      </c>
      <c r="W97" s="15">
        <f>'📊 Base Mensal'!W26</f>
        <v>0.84960855402017132</v>
      </c>
      <c r="X97" s="15"/>
      <c r="Y97" s="15"/>
      <c r="Z97" s="15"/>
    </row>
    <row r="98" spans="1:26" ht="20" customHeight="1" outlineLevel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 t="s">
        <v>182</v>
      </c>
      <c r="M98" s="15">
        <f>'📊 Base Mensal'!X11</f>
        <v>443826.1</v>
      </c>
      <c r="N98" s="79">
        <f>'📊 Base Mensal'!X9</f>
        <v>7639</v>
      </c>
      <c r="O98" s="79">
        <f>'📊 Base Mensal'!X5</f>
        <v>3500</v>
      </c>
      <c r="P98" s="15">
        <f>'📊 Base Mensal'!X24</f>
        <v>249349.61091499997</v>
      </c>
      <c r="Q98" s="15">
        <f>'📊 Base Mensal'!X25</f>
        <v>2751892.4145800001</v>
      </c>
      <c r="R98" s="79">
        <f>'📊 Base Mensal'!X6</f>
        <v>3485</v>
      </c>
      <c r="S98" s="79">
        <f>'📊 Base Mensal'!X7</f>
        <v>3099</v>
      </c>
      <c r="T98" s="79">
        <f>'📊 Base Mensal'!X8</f>
        <v>1055</v>
      </c>
      <c r="U98" s="15">
        <f>'📊 Base Mensal'!X18</f>
        <v>66779.096085000012</v>
      </c>
      <c r="V98" s="15">
        <f>'📊 Base Mensal'!X20</f>
        <v>70000</v>
      </c>
      <c r="W98" s="15">
        <f>'📊 Base Mensal'!X26</f>
        <v>0.84953769937144297</v>
      </c>
      <c r="X98" s="15"/>
      <c r="Y98" s="15"/>
      <c r="Z98" s="15"/>
    </row>
    <row r="99" spans="1:26" ht="20" customHeight="1" outlineLevel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 t="s">
        <v>183</v>
      </c>
      <c r="M99" s="15">
        <f>'📊 Base Mensal'!Y11</f>
        <v>455796.2</v>
      </c>
      <c r="N99" s="79">
        <f>'📊 Base Mensal'!Y9</f>
        <v>7838</v>
      </c>
      <c r="O99" s="79">
        <f>'📊 Base Mensal'!Y5</f>
        <v>3500</v>
      </c>
      <c r="P99" s="15">
        <f>'📊 Base Mensal'!Y24</f>
        <v>257930.21025500001</v>
      </c>
      <c r="Q99" s="15">
        <f>'📊 Base Mensal'!Y25</f>
        <v>3009822.6248349999</v>
      </c>
      <c r="R99" s="79">
        <f>'📊 Base Mensal'!Y6</f>
        <v>3556</v>
      </c>
      <c r="S99" s="79">
        <f>'📊 Base Mensal'!Y7</f>
        <v>3189</v>
      </c>
      <c r="T99" s="79">
        <f>'📊 Base Mensal'!Y8</f>
        <v>1093</v>
      </c>
      <c r="U99" s="15">
        <f>'📊 Base Mensal'!Y18</f>
        <v>68612.483745000005</v>
      </c>
      <c r="V99" s="15">
        <f>'📊 Base Mensal'!Y20</f>
        <v>70000</v>
      </c>
      <c r="W99" s="15">
        <f>'📊 Base Mensal'!Y26</f>
        <v>0.84946674907557362</v>
      </c>
      <c r="X99" s="15"/>
      <c r="Y99" s="15"/>
      <c r="Z99" s="15"/>
    </row>
    <row r="100" spans="1:26" ht="20" customHeight="1" outlineLevel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 t="s">
        <v>250</v>
      </c>
      <c r="M100" s="15">
        <f>'📊 Base Mensal'!Z11</f>
        <v>467197.3</v>
      </c>
      <c r="N100" s="79">
        <f>'📊 Base Mensal'!Z9</f>
        <v>8027</v>
      </c>
      <c r="O100" s="79">
        <f>'📊 Base Mensal'!Z5</f>
        <v>3500</v>
      </c>
      <c r="P100" s="15">
        <f>'📊 Base Mensal'!Z24</f>
        <v>266098.87299499998</v>
      </c>
      <c r="Q100" s="15">
        <f>'📊 Base Mensal'!Z25</f>
        <v>3275921.4978299998</v>
      </c>
      <c r="R100" s="79">
        <f>'📊 Base Mensal'!Z6</f>
        <v>3622</v>
      </c>
      <c r="S100" s="79">
        <f>'📊 Base Mensal'!Z7</f>
        <v>3275</v>
      </c>
      <c r="T100" s="79">
        <f>'📊 Base Mensal'!Z8</f>
        <v>1130</v>
      </c>
      <c r="U100" s="15">
        <f>'📊 Base Mensal'!Z18</f>
        <v>70362.778005</v>
      </c>
      <c r="V100" s="15">
        <f>'📊 Base Mensal'!Z20</f>
        <v>70000</v>
      </c>
      <c r="W100" s="15">
        <f>'📊 Base Mensal'!Z26</f>
        <v>0.84939386848982212</v>
      </c>
      <c r="X100" s="15"/>
      <c r="Y100" s="15"/>
      <c r="Z100" s="15"/>
    </row>
    <row r="101" spans="1:26" ht="20" customHeight="1" outlineLevel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20" customHeight="1" outlineLevel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 t="s">
        <v>264</v>
      </c>
      <c r="M102" s="15" t="s">
        <v>346</v>
      </c>
      <c r="N102" s="15" t="s">
        <v>291</v>
      </c>
      <c r="O102" s="15" t="str">
        <f>"Retorno Anjo ("&amp;TEXT('🎛️ Premissas'!$B$59,"0%")&amp;")"</f>
        <v>Retorno Anjo (15%)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20" customHeight="1" outlineLevel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 t="s">
        <v>3</v>
      </c>
      <c r="M103" s="15">
        <f>'🎛️ Premissas'!$B$58/1000000</f>
        <v>1</v>
      </c>
      <c r="N103" s="15">
        <f>'📊 Resumo Cenários'!B21/1000000</f>
        <v>19.914786599999996</v>
      </c>
      <c r="O103" s="15">
        <f>'📊 Resumo Cenários'!B22/1000000</f>
        <v>2.9872179899999987</v>
      </c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20" customHeight="1" outlineLevel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 t="s">
        <v>257</v>
      </c>
      <c r="M104" s="15">
        <f>'🎛️ Premissas'!$B$58/1000000</f>
        <v>1</v>
      </c>
      <c r="N104" s="15">
        <f>'📊 Resumo Cenários'!C21/1000000</f>
        <v>50.824493500000003</v>
      </c>
      <c r="O104" s="15">
        <f>'📊 Resumo Cenários'!C22/1000000</f>
        <v>7.6236740249999997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20" customHeight="1" outlineLevel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 t="s">
        <v>5</v>
      </c>
      <c r="M105" s="15">
        <f>'🎛️ Premissas'!$B$58/1000000</f>
        <v>1</v>
      </c>
      <c r="N105" s="15">
        <f>'📊 Resumo Cenários'!D21/1000000</f>
        <v>101.18222659999999</v>
      </c>
      <c r="O105" s="15">
        <f>'📊 Resumo Cenários'!D22/1000000</f>
        <v>15.177333989999997</v>
      </c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20" customHeight="1" outlineLevel="1" x14ac:dyDescent="0.2"/>
    <row r="107" spans="1:26" ht="20" customHeight="1" x14ac:dyDescent="0.2"/>
    <row r="108" spans="1:26" ht="20" customHeight="1" x14ac:dyDescent="0.2"/>
    <row r="109" spans="1:26" ht="20" customHeight="1" x14ac:dyDescent="0.2"/>
    <row r="110" spans="1:26" ht="20" customHeight="1" x14ac:dyDescent="0.2"/>
    <row r="111" spans="1:26" ht="20" customHeight="1" x14ac:dyDescent="0.2"/>
    <row r="112" spans="1:26" ht="20" customHeight="1" x14ac:dyDescent="0.2"/>
    <row r="113" ht="20" customHeight="1" x14ac:dyDescent="0.2"/>
  </sheetData>
  <mergeCells count="38">
    <mergeCell ref="A2:B2"/>
    <mergeCell ref="A3:H3"/>
    <mergeCell ref="C2:E2"/>
    <mergeCell ref="A16:E17"/>
    <mergeCell ref="F16:J17"/>
    <mergeCell ref="I9:J9"/>
    <mergeCell ref="G9:H9"/>
    <mergeCell ref="E9:F9"/>
    <mergeCell ref="C9:D9"/>
    <mergeCell ref="C8:D8"/>
    <mergeCell ref="E8:F8"/>
    <mergeCell ref="G8:H8"/>
    <mergeCell ref="I8:J8"/>
    <mergeCell ref="C15:D15"/>
    <mergeCell ref="A15:B15"/>
    <mergeCell ref="A13:B13"/>
    <mergeCell ref="C13:D13"/>
    <mergeCell ref="E13:F13"/>
    <mergeCell ref="A14:B14"/>
    <mergeCell ref="C14:D14"/>
    <mergeCell ref="E14:F14"/>
    <mergeCell ref="G10:H10"/>
    <mergeCell ref="I10:J10"/>
    <mergeCell ref="I15:J15"/>
    <mergeCell ref="G15:H15"/>
    <mergeCell ref="E15:F15"/>
    <mergeCell ref="G13:H13"/>
    <mergeCell ref="I14:J14"/>
    <mergeCell ref="I13:J13"/>
    <mergeCell ref="G14:H14"/>
    <mergeCell ref="A8:B8"/>
    <mergeCell ref="A9:B9"/>
    <mergeCell ref="A10:B10"/>
    <mergeCell ref="C10:D10"/>
    <mergeCell ref="E10:F10"/>
    <mergeCell ref="A35:J35"/>
    <mergeCell ref="A54:J54"/>
    <mergeCell ref="A53:J5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6F97-CD38-D247-AA06-39C448B4D766}">
  <sheetPr>
    <tabColor rgb="FF7D4E5E"/>
  </sheetPr>
  <dimension ref="B2:H46"/>
  <sheetViews>
    <sheetView showGridLines="0" zoomScale="125" zoomScaleNormal="125" workbookViewId="0">
      <selection activeCell="E33" sqref="E33:H33"/>
    </sheetView>
  </sheetViews>
  <sheetFormatPr baseColWidth="10" defaultRowHeight="15" x14ac:dyDescent="0.2"/>
  <cols>
    <col min="1" max="1" width="3" customWidth="1"/>
    <col min="2" max="2" width="34" customWidth="1"/>
    <col min="3" max="4" width="26" customWidth="1"/>
    <col min="5" max="5" width="57.33203125" customWidth="1"/>
    <col min="6" max="6" width="26" customWidth="1"/>
    <col min="7" max="8" width="18" customWidth="1"/>
  </cols>
  <sheetData>
    <row r="2" spans="2:8" ht="26" x14ac:dyDescent="0.3">
      <c r="B2" s="80" t="s">
        <v>386</v>
      </c>
      <c r="C2" s="15"/>
      <c r="D2" s="15"/>
      <c r="E2" s="15"/>
      <c r="F2" s="15"/>
      <c r="G2" s="15"/>
      <c r="H2" s="15"/>
    </row>
    <row r="3" spans="2:8" x14ac:dyDescent="0.2">
      <c r="B3" s="81" t="s">
        <v>387</v>
      </c>
      <c r="C3" s="81"/>
      <c r="D3" s="81"/>
      <c r="E3" s="81"/>
      <c r="F3" s="81"/>
      <c r="G3" s="81"/>
      <c r="H3" s="81"/>
    </row>
    <row r="4" spans="2:8" ht="5" customHeight="1" x14ac:dyDescent="0.2">
      <c r="B4" s="82"/>
      <c r="C4" s="82"/>
      <c r="D4" s="82"/>
      <c r="E4" s="82"/>
      <c r="F4" s="82"/>
      <c r="G4" s="83"/>
      <c r="H4" s="83"/>
    </row>
    <row r="5" spans="2:8" x14ac:dyDescent="0.2">
      <c r="B5" s="15"/>
      <c r="C5" s="15"/>
      <c r="D5" s="15"/>
      <c r="E5" s="15"/>
      <c r="F5" s="15"/>
      <c r="G5" s="15"/>
      <c r="H5" s="15"/>
    </row>
    <row r="6" spans="2:8" x14ac:dyDescent="0.2">
      <c r="B6" s="84" t="s">
        <v>388</v>
      </c>
      <c r="C6" s="84"/>
      <c r="D6" s="84"/>
      <c r="E6" s="84"/>
      <c r="F6" s="84"/>
      <c r="G6" s="84"/>
      <c r="H6" s="84"/>
    </row>
    <row r="7" spans="2:8" ht="28" customHeight="1" x14ac:dyDescent="0.2">
      <c r="B7" s="85" t="s">
        <v>389</v>
      </c>
      <c r="C7" s="86" t="s">
        <v>390</v>
      </c>
      <c r="D7" s="86"/>
      <c r="E7" s="86"/>
      <c r="F7" s="86"/>
      <c r="G7" s="86"/>
      <c r="H7" s="86"/>
    </row>
    <row r="8" spans="2:8" ht="28" customHeight="1" x14ac:dyDescent="0.2">
      <c r="B8" s="85" t="s">
        <v>391</v>
      </c>
      <c r="C8" s="86" t="s">
        <v>392</v>
      </c>
      <c r="D8" s="86"/>
      <c r="E8" s="86"/>
      <c r="F8" s="86"/>
      <c r="G8" s="86"/>
      <c r="H8" s="86"/>
    </row>
    <row r="9" spans="2:8" ht="28" customHeight="1" x14ac:dyDescent="0.2">
      <c r="B9" s="85" t="s">
        <v>393</v>
      </c>
      <c r="C9" s="86" t="s">
        <v>394</v>
      </c>
      <c r="D9" s="86"/>
      <c r="E9" s="86"/>
      <c r="F9" s="86"/>
      <c r="G9" s="86"/>
      <c r="H9" s="86"/>
    </row>
    <row r="10" spans="2:8" ht="28" customHeight="1" x14ac:dyDescent="0.2">
      <c r="B10" s="85" t="s">
        <v>395</v>
      </c>
      <c r="C10" s="86" t="s">
        <v>396</v>
      </c>
      <c r="D10" s="86"/>
      <c r="E10" s="86"/>
      <c r="F10" s="86"/>
      <c r="G10" s="86"/>
      <c r="H10" s="86"/>
    </row>
    <row r="11" spans="2:8" x14ac:dyDescent="0.2">
      <c r="B11" s="15"/>
      <c r="C11" s="15"/>
      <c r="D11" s="15"/>
      <c r="E11" s="15"/>
      <c r="F11" s="15"/>
      <c r="G11" s="15"/>
      <c r="H11" s="15"/>
    </row>
    <row r="12" spans="2:8" x14ac:dyDescent="0.2">
      <c r="B12" s="84" t="s">
        <v>397</v>
      </c>
      <c r="C12" s="84"/>
      <c r="D12" s="84"/>
      <c r="E12" s="84"/>
      <c r="F12" s="84"/>
      <c r="G12" s="84"/>
      <c r="H12" s="84"/>
    </row>
    <row r="13" spans="2:8" x14ac:dyDescent="0.2">
      <c r="B13" s="87" t="s">
        <v>398</v>
      </c>
      <c r="C13" s="88" t="s">
        <v>399</v>
      </c>
      <c r="D13" s="88" t="s">
        <v>400</v>
      </c>
      <c r="E13" s="88" t="s">
        <v>401</v>
      </c>
      <c r="F13" s="88" t="s">
        <v>402</v>
      </c>
      <c r="G13" s="15"/>
      <c r="H13" s="15"/>
    </row>
    <row r="14" spans="2:8" x14ac:dyDescent="0.2">
      <c r="B14" s="89" t="s">
        <v>236</v>
      </c>
      <c r="C14" s="90">
        <v>0</v>
      </c>
      <c r="D14" s="91" t="s">
        <v>403</v>
      </c>
      <c r="E14" s="91" t="s">
        <v>404</v>
      </c>
      <c r="F14" s="91" t="s">
        <v>405</v>
      </c>
      <c r="G14" s="15"/>
      <c r="H14" s="15"/>
    </row>
    <row r="15" spans="2:8" x14ac:dyDescent="0.2">
      <c r="B15" s="89" t="s">
        <v>240</v>
      </c>
      <c r="C15" s="92">
        <f>'🔧 Cenário Ativo'!B6</f>
        <v>39.9</v>
      </c>
      <c r="D15" s="91" t="s">
        <v>406</v>
      </c>
      <c r="E15" s="93" t="s">
        <v>648</v>
      </c>
      <c r="F15" s="91" t="s">
        <v>407</v>
      </c>
      <c r="G15" s="15"/>
      <c r="H15" s="15"/>
    </row>
    <row r="16" spans="2:8" x14ac:dyDescent="0.2">
      <c r="B16" s="89" t="s">
        <v>241</v>
      </c>
      <c r="C16" s="92">
        <f>'🔧 Cenário Ativo'!B7</f>
        <v>59.9</v>
      </c>
      <c r="D16" s="91" t="s">
        <v>406</v>
      </c>
      <c r="E16" s="91" t="s">
        <v>408</v>
      </c>
      <c r="F16" s="91" t="s">
        <v>409</v>
      </c>
      <c r="G16" s="15"/>
      <c r="H16" s="15"/>
    </row>
    <row r="17" spans="2:8" x14ac:dyDescent="0.2">
      <c r="B17" s="94" t="s">
        <v>242</v>
      </c>
      <c r="C17" s="95">
        <f>'🔧 Cenário Ativo'!B8</f>
        <v>79.900000000000006</v>
      </c>
      <c r="D17" s="96" t="s">
        <v>406</v>
      </c>
      <c r="E17" s="96" t="s">
        <v>410</v>
      </c>
      <c r="F17" s="96" t="s">
        <v>411</v>
      </c>
      <c r="G17" s="15"/>
      <c r="H17" s="15"/>
    </row>
    <row r="18" spans="2:8" x14ac:dyDescent="0.2">
      <c r="B18" s="97" t="s">
        <v>412</v>
      </c>
      <c r="C18" s="97"/>
      <c r="D18" s="97"/>
      <c r="E18" s="97"/>
      <c r="F18" s="97"/>
      <c r="G18" s="97"/>
      <c r="H18" s="97"/>
    </row>
    <row r="19" spans="2:8" x14ac:dyDescent="0.2">
      <c r="B19" s="15"/>
      <c r="C19" s="15"/>
      <c r="D19" s="15"/>
      <c r="E19" s="15"/>
      <c r="F19" s="15"/>
      <c r="G19" s="15"/>
      <c r="H19" s="15"/>
    </row>
    <row r="20" spans="2:8" x14ac:dyDescent="0.2">
      <c r="B20" s="84" t="s">
        <v>413</v>
      </c>
      <c r="C20" s="84"/>
      <c r="D20" s="84"/>
      <c r="E20" s="84"/>
      <c r="F20" s="84"/>
      <c r="G20" s="84"/>
      <c r="H20" s="84"/>
    </row>
    <row r="21" spans="2:8" x14ac:dyDescent="0.2">
      <c r="B21" s="98" t="s">
        <v>350</v>
      </c>
      <c r="C21" s="99">
        <f>'🎛️ Premissas'!B58</f>
        <v>1000000</v>
      </c>
      <c r="D21" s="100" t="s">
        <v>414</v>
      </c>
      <c r="E21" s="15"/>
      <c r="F21" s="15"/>
      <c r="G21" s="15"/>
      <c r="H21" s="15"/>
    </row>
    <row r="22" spans="2:8" x14ac:dyDescent="0.2">
      <c r="B22" s="98" t="s">
        <v>351</v>
      </c>
      <c r="C22" s="101">
        <f>'🎛️ Premissas'!B59</f>
        <v>0.15</v>
      </c>
      <c r="D22" s="100" t="s">
        <v>415</v>
      </c>
      <c r="E22" s="15"/>
      <c r="F22" s="15"/>
      <c r="G22" s="15"/>
      <c r="H22" s="15"/>
    </row>
    <row r="23" spans="2:8" x14ac:dyDescent="0.2">
      <c r="B23" s="98" t="s">
        <v>353</v>
      </c>
      <c r="C23" s="102">
        <f>'🎛️ Premissas'!B60</f>
        <v>5666666.666666667</v>
      </c>
      <c r="D23" s="103" t="s">
        <v>416</v>
      </c>
      <c r="E23" s="15"/>
      <c r="F23" s="15"/>
      <c r="G23" s="15"/>
      <c r="H23" s="15"/>
    </row>
    <row r="24" spans="2:8" x14ac:dyDescent="0.2">
      <c r="B24" s="98" t="s">
        <v>352</v>
      </c>
      <c r="C24" s="102">
        <f>'🎛️ Premissas'!B61</f>
        <v>6666666.666666667</v>
      </c>
      <c r="D24" s="103" t="s">
        <v>356</v>
      </c>
      <c r="E24" s="15"/>
      <c r="F24" s="15"/>
      <c r="G24" s="15"/>
      <c r="H24" s="15"/>
    </row>
    <row r="25" spans="2:8" x14ac:dyDescent="0.2">
      <c r="B25" s="98" t="s">
        <v>417</v>
      </c>
      <c r="C25" s="104" t="s">
        <v>418</v>
      </c>
      <c r="D25" s="104"/>
      <c r="E25" s="104"/>
      <c r="F25" s="104"/>
      <c r="G25" s="104"/>
      <c r="H25" s="104"/>
    </row>
    <row r="26" spans="2:8" x14ac:dyDescent="0.2">
      <c r="B26" s="15"/>
      <c r="C26" s="15"/>
      <c r="D26" s="15"/>
      <c r="E26" s="15"/>
      <c r="F26" s="15"/>
      <c r="G26" s="15"/>
      <c r="H26" s="15"/>
    </row>
    <row r="27" spans="2:8" x14ac:dyDescent="0.2">
      <c r="B27" s="105" t="s">
        <v>419</v>
      </c>
      <c r="C27" s="106" t="str">
        <f>'🔧 Cenário Ativo'!B2</f>
        <v>Conservador</v>
      </c>
      <c r="D27" s="107"/>
      <c r="E27" s="107"/>
      <c r="F27" s="107"/>
      <c r="G27" s="107"/>
      <c r="H27" s="107"/>
    </row>
    <row r="28" spans="2:8" x14ac:dyDescent="0.2">
      <c r="B28" s="87" t="s">
        <v>2</v>
      </c>
      <c r="C28" s="88" t="s">
        <v>248</v>
      </c>
      <c r="D28" s="88" t="s">
        <v>250</v>
      </c>
      <c r="E28" s="88" t="s">
        <v>420</v>
      </c>
      <c r="F28" s="15"/>
      <c r="G28" s="15"/>
      <c r="H28" s="15"/>
    </row>
    <row r="29" spans="2:8" x14ac:dyDescent="0.2">
      <c r="B29" s="108" t="s">
        <v>358</v>
      </c>
      <c r="C29" s="109">
        <f>'📊 Base Mensal'!N9</f>
        <v>4819</v>
      </c>
      <c r="D29" s="109">
        <f>'📊 Base Mensal'!Z9</f>
        <v>8027</v>
      </c>
      <c r="E29" s="110" t="s">
        <v>421</v>
      </c>
      <c r="F29" s="110"/>
      <c r="G29" s="110"/>
      <c r="H29" s="110"/>
    </row>
    <row r="30" spans="2:8" x14ac:dyDescent="0.2">
      <c r="B30" s="108" t="s">
        <v>359</v>
      </c>
      <c r="C30" s="111">
        <f>'📊 Base Mensal'!N11</f>
        <v>277318.09999999998</v>
      </c>
      <c r="D30" s="111">
        <f>'📊 Base Mensal'!Z11</f>
        <v>467197.3</v>
      </c>
      <c r="E30" s="110" t="s">
        <v>422</v>
      </c>
      <c r="F30" s="110"/>
      <c r="G30" s="110"/>
      <c r="H30" s="110"/>
    </row>
    <row r="31" spans="2:8" x14ac:dyDescent="0.2">
      <c r="B31" s="108" t="s">
        <v>360</v>
      </c>
      <c r="C31" s="111">
        <f>'📊 Base Mensal'!N12</f>
        <v>1947589.4</v>
      </c>
      <c r="D31" s="111">
        <f>'📊 Base Mensal'!Z12</f>
        <v>6638262.1999999983</v>
      </c>
      <c r="E31" s="112" t="s">
        <v>639</v>
      </c>
      <c r="F31" s="110"/>
      <c r="G31" s="110"/>
      <c r="H31" s="110"/>
    </row>
    <row r="32" spans="2:8" x14ac:dyDescent="0.2">
      <c r="B32" s="108" t="s">
        <v>362</v>
      </c>
      <c r="C32" s="113">
        <f>'📊 Base Mensal'!N24</f>
        <v>144705.10258999997</v>
      </c>
      <c r="D32" s="113">
        <f>'📊 Base Mensal'!Z24</f>
        <v>266098.87299499998</v>
      </c>
      <c r="E32" s="110" t="s">
        <v>423</v>
      </c>
      <c r="F32" s="110"/>
      <c r="G32" s="110"/>
      <c r="H32" s="110"/>
    </row>
    <row r="33" spans="2:8" x14ac:dyDescent="0.2">
      <c r="B33" s="108" t="s">
        <v>424</v>
      </c>
      <c r="C33" s="114">
        <f>'📊 Base Mensal'!N26</f>
        <v>0.85013006936799285</v>
      </c>
      <c r="D33" s="114">
        <f>'📊 Base Mensal'!Z26</f>
        <v>0.84939386848982212</v>
      </c>
      <c r="E33" s="110" t="s">
        <v>425</v>
      </c>
      <c r="F33" s="110"/>
      <c r="G33" s="110"/>
      <c r="H33" s="110"/>
    </row>
    <row r="34" spans="2:8" x14ac:dyDescent="0.2">
      <c r="B34" s="108" t="s">
        <v>426</v>
      </c>
      <c r="C34" s="115" t="str" cm="1">
        <f t="array" ref="C34">IFERROR("M"&amp;MATCH(TRUE,INDEX('📊 Base Mensal'!C25:Z25&gt;0,0),0),"&gt;24m")</f>
        <v>M5</v>
      </c>
      <c r="D34" s="15"/>
      <c r="E34" s="110" t="s">
        <v>427</v>
      </c>
      <c r="F34" s="110"/>
      <c r="G34" s="110"/>
      <c r="H34" s="110"/>
    </row>
    <row r="35" spans="2:8" x14ac:dyDescent="0.2">
      <c r="B35" s="108" t="s">
        <v>428</v>
      </c>
      <c r="C35" s="116">
        <f>'🔧 Cenário Ativo'!B56</f>
        <v>6.886103125</v>
      </c>
      <c r="D35" s="15"/>
      <c r="E35" s="110" t="str">
        <f>IF(C35&gt;=8,"✅ top quartile",IF(C35&gt;=3,"✅ saudável","⚠️ rever CAC"))</f>
        <v>✅ saudável</v>
      </c>
      <c r="F35" s="110"/>
      <c r="G35" s="110"/>
      <c r="H35" s="110"/>
    </row>
    <row r="36" spans="2:8" x14ac:dyDescent="0.2">
      <c r="B36" s="108" t="s">
        <v>429</v>
      </c>
      <c r="C36" s="117">
        <f>IF('🔧 Cenário Ativo'!B2="Conservador",'📊 Resumo Cenários'!B21,IF('🔧 Cenário Ativo'!B2="Base",'📊 Resumo Cenários'!C21,'📊 Resumo Cenários'!D21))</f>
        <v>19914786.599999994</v>
      </c>
      <c r="D36" s="15"/>
      <c r="E36" s="110" t="s">
        <v>430</v>
      </c>
      <c r="F36" s="110"/>
      <c r="G36" s="110"/>
      <c r="H36" s="110"/>
    </row>
    <row r="37" spans="2:8" x14ac:dyDescent="0.2">
      <c r="B37" s="118" t="s">
        <v>431</v>
      </c>
      <c r="C37" s="119">
        <f>C36*'🎛️ Premissas'!B59</f>
        <v>2987217.9899999988</v>
      </c>
      <c r="D37" s="120">
        <f>C37/'🎛️ Premissas'!B58</f>
        <v>2.9872179899999987</v>
      </c>
      <c r="E37" s="121" t="s">
        <v>432</v>
      </c>
      <c r="F37" s="121"/>
      <c r="G37" s="121"/>
      <c r="H37" s="121"/>
    </row>
    <row r="38" spans="2:8" x14ac:dyDescent="0.2">
      <c r="B38" s="15"/>
      <c r="C38" s="15"/>
      <c r="D38" s="15"/>
      <c r="E38" s="15"/>
      <c r="F38" s="15"/>
      <c r="G38" s="15"/>
      <c r="H38" s="15"/>
    </row>
    <row r="39" spans="2:8" x14ac:dyDescent="0.2">
      <c r="B39" s="84" t="s">
        <v>433</v>
      </c>
      <c r="C39" s="84"/>
      <c r="D39" s="84"/>
      <c r="E39" s="84"/>
      <c r="F39" s="84"/>
      <c r="G39" s="84"/>
      <c r="H39" s="84"/>
    </row>
    <row r="40" spans="2:8" ht="16" customHeight="1" x14ac:dyDescent="0.2">
      <c r="B40" s="122" t="s">
        <v>434</v>
      </c>
      <c r="C40" s="122"/>
      <c r="D40" s="122"/>
      <c r="E40" s="122"/>
      <c r="F40" s="122"/>
      <c r="G40" s="122"/>
      <c r="H40" s="122"/>
    </row>
    <row r="41" spans="2:8" ht="16" customHeight="1" x14ac:dyDescent="0.2">
      <c r="B41" s="122" t="s">
        <v>435</v>
      </c>
      <c r="C41" s="122"/>
      <c r="D41" s="122"/>
      <c r="E41" s="122"/>
      <c r="F41" s="122"/>
      <c r="G41" s="122"/>
      <c r="H41" s="122"/>
    </row>
    <row r="42" spans="2:8" ht="16" customHeight="1" x14ac:dyDescent="0.2">
      <c r="B42" s="122" t="s">
        <v>436</v>
      </c>
      <c r="C42" s="122"/>
      <c r="D42" s="122"/>
      <c r="E42" s="122"/>
      <c r="F42" s="122"/>
      <c r="G42" s="122"/>
      <c r="H42" s="122"/>
    </row>
    <row r="43" spans="2:8" ht="16" customHeight="1" x14ac:dyDescent="0.2">
      <c r="B43" s="122" t="s">
        <v>437</v>
      </c>
      <c r="C43" s="122"/>
      <c r="D43" s="122"/>
      <c r="E43" s="122"/>
      <c r="F43" s="122"/>
      <c r="G43" s="122"/>
      <c r="H43" s="122"/>
    </row>
    <row r="44" spans="2:8" ht="16" customHeight="1" x14ac:dyDescent="0.2">
      <c r="B44" s="122" t="s">
        <v>438</v>
      </c>
      <c r="C44" s="122"/>
      <c r="D44" s="122"/>
      <c r="E44" s="122"/>
      <c r="F44" s="122"/>
      <c r="G44" s="122"/>
      <c r="H44" s="122"/>
    </row>
    <row r="45" spans="2:8" x14ac:dyDescent="0.2">
      <c r="B45" s="15"/>
      <c r="C45" s="15"/>
      <c r="D45" s="15"/>
      <c r="E45" s="15"/>
      <c r="F45" s="15"/>
      <c r="G45" s="15"/>
      <c r="H45" s="15"/>
    </row>
    <row r="46" spans="2:8" x14ac:dyDescent="0.2">
      <c r="B46" s="123" t="s">
        <v>439</v>
      </c>
      <c r="C46" s="123"/>
      <c r="D46" s="123"/>
      <c r="E46" s="123"/>
      <c r="F46" s="123"/>
      <c r="G46" s="123"/>
      <c r="H46" s="123"/>
    </row>
  </sheetData>
  <mergeCells count="27">
    <mergeCell ref="B44:H44"/>
    <mergeCell ref="B46:H46"/>
    <mergeCell ref="B6:H6"/>
    <mergeCell ref="B12:H12"/>
    <mergeCell ref="B20:H20"/>
    <mergeCell ref="B39:H39"/>
    <mergeCell ref="D27:H27"/>
    <mergeCell ref="C7:H7"/>
    <mergeCell ref="C8:H8"/>
    <mergeCell ref="C9:H9"/>
    <mergeCell ref="C10:H10"/>
    <mergeCell ref="C25:H25"/>
    <mergeCell ref="E32:H32"/>
    <mergeCell ref="B40:H40"/>
    <mergeCell ref="B41:H41"/>
    <mergeCell ref="B42:H42"/>
    <mergeCell ref="B43:H43"/>
    <mergeCell ref="B18:H18"/>
    <mergeCell ref="B3:H3"/>
    <mergeCell ref="E29:H29"/>
    <mergeCell ref="E30:H30"/>
    <mergeCell ref="E31:H31"/>
    <mergeCell ref="E33:H33"/>
    <mergeCell ref="E34:H34"/>
    <mergeCell ref="E35:H35"/>
    <mergeCell ref="E36:H36"/>
    <mergeCell ref="E37:H3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17F1-5854-0645-B649-460B259DA79A}">
  <sheetPr>
    <tabColor rgb="FF9B6A7D"/>
  </sheetPr>
  <dimension ref="B2:H38"/>
  <sheetViews>
    <sheetView showGridLines="0" zoomScale="150" zoomScaleNormal="150" workbookViewId="0">
      <selection activeCell="D18" sqref="D18"/>
    </sheetView>
  </sheetViews>
  <sheetFormatPr baseColWidth="10" defaultRowHeight="15" x14ac:dyDescent="0.2"/>
  <cols>
    <col min="1" max="1" width="3" customWidth="1"/>
    <col min="2" max="2" width="38" customWidth="1"/>
    <col min="3" max="5" width="20" customWidth="1"/>
    <col min="6" max="8" width="26" customWidth="1"/>
  </cols>
  <sheetData>
    <row r="2" spans="2:8" ht="26" x14ac:dyDescent="0.3">
      <c r="B2" s="80" t="s">
        <v>440</v>
      </c>
      <c r="C2" s="15"/>
      <c r="D2" s="15"/>
      <c r="E2" s="15"/>
      <c r="F2" s="15"/>
      <c r="G2" s="15"/>
      <c r="H2" s="15"/>
    </row>
    <row r="3" spans="2:8" x14ac:dyDescent="0.2">
      <c r="B3" s="124" t="s">
        <v>441</v>
      </c>
      <c r="C3" s="124"/>
      <c r="D3" s="124"/>
      <c r="E3" s="124"/>
      <c r="F3" s="124"/>
      <c r="G3" s="124"/>
      <c r="H3" s="124"/>
    </row>
    <row r="4" spans="2:8" ht="5" customHeight="1" x14ac:dyDescent="0.2">
      <c r="B4" s="82"/>
      <c r="C4" s="82"/>
      <c r="D4" s="82"/>
      <c r="E4" s="82"/>
      <c r="F4" s="82"/>
      <c r="G4" s="83"/>
      <c r="H4" s="83"/>
    </row>
    <row r="5" spans="2:8" x14ac:dyDescent="0.2">
      <c r="B5" s="15"/>
      <c r="C5" s="15"/>
      <c r="D5" s="15"/>
      <c r="E5" s="15"/>
      <c r="F5" s="15"/>
      <c r="G5" s="15"/>
      <c r="H5" s="15"/>
    </row>
    <row r="6" spans="2:8" x14ac:dyDescent="0.2">
      <c r="B6" s="84" t="s">
        <v>442</v>
      </c>
      <c r="C6" s="84"/>
      <c r="D6" s="84"/>
      <c r="E6" s="84"/>
      <c r="F6" s="84"/>
      <c r="G6" s="84"/>
      <c r="H6" s="84"/>
    </row>
    <row r="7" spans="2:8" x14ac:dyDescent="0.2">
      <c r="B7" s="87" t="s">
        <v>443</v>
      </c>
      <c r="C7" s="88" t="s">
        <v>444</v>
      </c>
      <c r="D7" s="88" t="s">
        <v>445</v>
      </c>
      <c r="E7" s="88" t="s">
        <v>446</v>
      </c>
      <c r="F7" s="88" t="s">
        <v>447</v>
      </c>
      <c r="G7" s="15"/>
      <c r="H7" s="15"/>
    </row>
    <row r="8" spans="2:8" x14ac:dyDescent="0.2">
      <c r="B8" s="89" t="s">
        <v>448</v>
      </c>
      <c r="C8" s="125">
        <v>54000000</v>
      </c>
      <c r="D8" s="126">
        <f>C8*'🔧 Cenário Ativo'!B6*12</f>
        <v>25855200000</v>
      </c>
      <c r="E8" s="91"/>
      <c r="F8" s="127" t="s">
        <v>449</v>
      </c>
      <c r="G8" s="127"/>
      <c r="H8" s="127"/>
    </row>
    <row r="9" spans="2:8" x14ac:dyDescent="0.2">
      <c r="B9" s="89" t="s">
        <v>450</v>
      </c>
      <c r="C9" s="125">
        <v>12000000</v>
      </c>
      <c r="D9" s="126">
        <f>C9*'🔧 Cenário Ativo'!B6*12</f>
        <v>5745600000</v>
      </c>
      <c r="E9" s="128">
        <f>C9/C8</f>
        <v>0.22222222222222221</v>
      </c>
      <c r="F9" s="127" t="s">
        <v>451</v>
      </c>
      <c r="G9" s="127"/>
      <c r="H9" s="127"/>
    </row>
    <row r="10" spans="2:8" x14ac:dyDescent="0.2">
      <c r="B10" s="89" t="s">
        <v>452</v>
      </c>
      <c r="C10" s="109">
        <f>('🔧 Cenário Ativo'!B30+'🔧 Cenário Ativo'!B31)*12</f>
        <v>78000</v>
      </c>
      <c r="D10" s="129">
        <f>'📊 Base Mensal'!Z11*12</f>
        <v>5606367.5999999996</v>
      </c>
      <c r="E10" s="130">
        <f>C10/C9</f>
        <v>6.4999999999999997E-3</v>
      </c>
      <c r="F10" s="131" t="s">
        <v>641</v>
      </c>
      <c r="G10" s="127"/>
      <c r="H10" s="127"/>
    </row>
    <row r="11" spans="2:8" x14ac:dyDescent="0.2">
      <c r="B11" s="94" t="s">
        <v>453</v>
      </c>
      <c r="C11" s="132">
        <f>'📊 Base Mensal'!Z9</f>
        <v>8027</v>
      </c>
      <c r="D11" s="133">
        <f>'📊 Base Mensal'!Z11</f>
        <v>467197.3</v>
      </c>
      <c r="E11" s="134">
        <f>C11/C10</f>
        <v>0.1029102564102564</v>
      </c>
      <c r="F11" s="135" t="s">
        <v>454</v>
      </c>
      <c r="G11" s="127"/>
      <c r="H11" s="127"/>
    </row>
    <row r="12" spans="2:8" x14ac:dyDescent="0.2">
      <c r="B12" s="136" t="s">
        <v>455</v>
      </c>
      <c r="C12" s="136"/>
      <c r="D12" s="136"/>
      <c r="E12" s="136"/>
      <c r="F12" s="136"/>
      <c r="G12" s="136"/>
      <c r="H12" s="136"/>
    </row>
    <row r="13" spans="2:8" x14ac:dyDescent="0.2">
      <c r="B13" s="15"/>
      <c r="C13" s="15"/>
      <c r="D13" s="15"/>
      <c r="E13" s="15"/>
      <c r="F13" s="15"/>
      <c r="G13" s="15"/>
      <c r="H13" s="15"/>
    </row>
    <row r="14" spans="2:8" x14ac:dyDescent="0.2">
      <c r="B14" s="84" t="s">
        <v>456</v>
      </c>
      <c r="C14" s="84"/>
      <c r="D14" s="84"/>
      <c r="E14" s="84"/>
      <c r="F14" s="84"/>
      <c r="G14" s="84"/>
      <c r="H14" s="84"/>
    </row>
    <row r="15" spans="2:8" x14ac:dyDescent="0.2">
      <c r="B15" s="87" t="s">
        <v>457</v>
      </c>
      <c r="C15" s="88" t="s">
        <v>458</v>
      </c>
      <c r="D15" s="88" t="s">
        <v>459</v>
      </c>
      <c r="E15" s="88"/>
      <c r="F15" s="137" t="s">
        <v>383</v>
      </c>
      <c r="G15" s="137"/>
      <c r="H15" s="137"/>
    </row>
    <row r="16" spans="2:8" x14ac:dyDescent="0.2">
      <c r="B16" s="108" t="s">
        <v>460</v>
      </c>
      <c r="C16" s="109">
        <f>'🔧 Cenário Ativo'!B30</f>
        <v>3000</v>
      </c>
      <c r="D16" s="138" t="s">
        <v>461</v>
      </c>
      <c r="E16" s="15"/>
      <c r="F16" s="127" t="s">
        <v>462</v>
      </c>
      <c r="G16" s="127"/>
      <c r="H16" s="127"/>
    </row>
    <row r="17" spans="2:8" x14ac:dyDescent="0.2">
      <c r="B17" s="108" t="s">
        <v>463</v>
      </c>
      <c r="C17" s="109">
        <f>'🔧 Cenário Ativo'!B31</f>
        <v>3500</v>
      </c>
      <c r="D17" s="138" t="s">
        <v>461</v>
      </c>
      <c r="E17" s="15"/>
      <c r="F17" s="127" t="s">
        <v>464</v>
      </c>
      <c r="G17" s="127"/>
      <c r="H17" s="127"/>
    </row>
    <row r="18" spans="2:8" x14ac:dyDescent="0.2">
      <c r="B18" s="108" t="s">
        <v>465</v>
      </c>
      <c r="C18" s="114">
        <f>'🔧 Cenário Ativo'!B32</f>
        <v>0.1</v>
      </c>
      <c r="D18" s="138" t="s">
        <v>466</v>
      </c>
      <c r="E18" s="15"/>
      <c r="F18" s="127" t="s">
        <v>467</v>
      </c>
      <c r="G18" s="127"/>
      <c r="H18" s="127"/>
    </row>
    <row r="19" spans="2:8" x14ac:dyDescent="0.2">
      <c r="B19" s="108" t="s">
        <v>468</v>
      </c>
      <c r="C19" s="114">
        <f>'🔧 Cenário Ativo'!B33</f>
        <v>7.0000000000000007E-2</v>
      </c>
      <c r="D19" s="138" t="s">
        <v>466</v>
      </c>
      <c r="E19" s="15"/>
      <c r="F19" s="127" t="s">
        <v>469</v>
      </c>
      <c r="G19" s="127"/>
      <c r="H19" s="127"/>
    </row>
    <row r="20" spans="2:8" x14ac:dyDescent="0.2">
      <c r="B20" s="108" t="s">
        <v>470</v>
      </c>
      <c r="C20" s="114">
        <f>'🔧 Cenário Ativo'!B34</f>
        <v>0.02</v>
      </c>
      <c r="D20" s="138" t="s">
        <v>466</v>
      </c>
      <c r="E20" s="15"/>
      <c r="F20" s="127" t="s">
        <v>471</v>
      </c>
      <c r="G20" s="127"/>
      <c r="H20" s="127"/>
    </row>
    <row r="21" spans="2:8" x14ac:dyDescent="0.2">
      <c r="B21" s="108" t="s">
        <v>472</v>
      </c>
      <c r="C21" s="139" t="str">
        <f>TEXT('🔧 Cenário Ativo'!B35,"0%")&amp;" / "&amp;TEXT('🔧 Cenário Ativo'!B36,"0%")&amp;" / "&amp;TEXT('🔧 Cenário Ativo'!B37,"0%")</f>
        <v>8% / 5% / 3%</v>
      </c>
      <c r="D21" s="138" t="s">
        <v>207</v>
      </c>
      <c r="E21" s="15"/>
      <c r="F21" s="127" t="s">
        <v>473</v>
      </c>
      <c r="G21" s="127"/>
      <c r="H21" s="127"/>
    </row>
    <row r="22" spans="2:8" x14ac:dyDescent="0.2">
      <c r="B22" s="108" t="s">
        <v>82</v>
      </c>
      <c r="C22" s="111">
        <f>'🔧 Cenário Ativo'!B47</f>
        <v>80</v>
      </c>
      <c r="D22" s="138" t="s">
        <v>474</v>
      </c>
      <c r="E22" s="15"/>
      <c r="F22" s="127" t="str">
        <f>"payback em "&amp;TEXT('🔧 Cenário Ativo'!B57,"0,0")&amp;" meses"</f>
        <v>payback em 1,8 meses</v>
      </c>
      <c r="G22" s="127"/>
      <c r="H22" s="127"/>
    </row>
    <row r="23" spans="2:8" x14ac:dyDescent="0.2">
      <c r="B23" s="118" t="s">
        <v>475</v>
      </c>
      <c r="C23" s="140">
        <f>'🔧 Cenário Ativo'!B48</f>
        <v>0.5</v>
      </c>
      <c r="D23" s="141" t="s">
        <v>476</v>
      </c>
      <c r="E23" s="142"/>
      <c r="F23" s="135" t="s">
        <v>477</v>
      </c>
      <c r="G23" s="127"/>
      <c r="H23" s="127"/>
    </row>
    <row r="24" spans="2:8" x14ac:dyDescent="0.2">
      <c r="B24" s="15"/>
      <c r="C24" s="15"/>
      <c r="D24" s="15"/>
      <c r="E24" s="15"/>
      <c r="F24" s="15"/>
      <c r="G24" s="15"/>
      <c r="H24" s="15"/>
    </row>
    <row r="25" spans="2:8" x14ac:dyDescent="0.2">
      <c r="B25" s="84" t="s">
        <v>478</v>
      </c>
      <c r="C25" s="84"/>
      <c r="D25" s="84"/>
      <c r="E25" s="84"/>
      <c r="F25" s="84"/>
      <c r="G25" s="84"/>
      <c r="H25" s="84"/>
    </row>
    <row r="26" spans="2:8" ht="26" customHeight="1" x14ac:dyDescent="0.2">
      <c r="B26" s="85" t="s">
        <v>479</v>
      </c>
      <c r="C26" s="86" t="s">
        <v>480</v>
      </c>
      <c r="D26" s="86"/>
      <c r="E26" s="86"/>
      <c r="F26" s="86"/>
      <c r="G26" s="86"/>
      <c r="H26" s="86"/>
    </row>
    <row r="27" spans="2:8" ht="26" customHeight="1" x14ac:dyDescent="0.2">
      <c r="B27" s="85" t="s">
        <v>481</v>
      </c>
      <c r="C27" s="86" t="s">
        <v>482</v>
      </c>
      <c r="D27" s="86"/>
      <c r="E27" s="86"/>
      <c r="F27" s="86"/>
      <c r="G27" s="86"/>
      <c r="H27" s="86"/>
    </row>
    <row r="28" spans="2:8" ht="26" customHeight="1" x14ac:dyDescent="0.2">
      <c r="B28" s="85" t="s">
        <v>483</v>
      </c>
      <c r="C28" s="86" t="s">
        <v>484</v>
      </c>
      <c r="D28" s="86"/>
      <c r="E28" s="86"/>
      <c r="F28" s="86"/>
      <c r="G28" s="86"/>
      <c r="H28" s="86"/>
    </row>
    <row r="29" spans="2:8" ht="26" customHeight="1" x14ac:dyDescent="0.2">
      <c r="B29" s="85" t="s">
        <v>485</v>
      </c>
      <c r="C29" s="86" t="s">
        <v>486</v>
      </c>
      <c r="D29" s="86"/>
      <c r="E29" s="86"/>
      <c r="F29" s="86"/>
      <c r="G29" s="86"/>
      <c r="H29" s="86"/>
    </row>
    <row r="30" spans="2:8" x14ac:dyDescent="0.2">
      <c r="B30" s="15"/>
      <c r="C30" s="15"/>
      <c r="D30" s="15"/>
      <c r="E30" s="15"/>
      <c r="F30" s="15"/>
      <c r="G30" s="15"/>
      <c r="H30" s="15"/>
    </row>
    <row r="31" spans="2:8" x14ac:dyDescent="0.2">
      <c r="B31" s="84" t="s">
        <v>487</v>
      </c>
      <c r="C31" s="84"/>
      <c r="D31" s="84"/>
      <c r="E31" s="84"/>
      <c r="F31" s="84"/>
      <c r="G31" s="84"/>
      <c r="H31" s="84"/>
    </row>
    <row r="32" spans="2:8" x14ac:dyDescent="0.2">
      <c r="B32" s="87" t="s">
        <v>488</v>
      </c>
      <c r="C32" s="88" t="s">
        <v>399</v>
      </c>
      <c r="D32" s="143" t="s">
        <v>489</v>
      </c>
      <c r="E32" s="143"/>
      <c r="F32" s="137" t="s">
        <v>490</v>
      </c>
      <c r="G32" s="137"/>
      <c r="H32" s="137"/>
    </row>
    <row r="33" spans="2:8" ht="24" customHeight="1" x14ac:dyDescent="0.2">
      <c r="B33" s="144" t="s">
        <v>491</v>
      </c>
      <c r="C33" s="93" t="s">
        <v>492</v>
      </c>
      <c r="D33" s="145" t="s">
        <v>493</v>
      </c>
      <c r="E33" s="145"/>
      <c r="F33" s="146" t="s">
        <v>494</v>
      </c>
      <c r="G33" s="146"/>
      <c r="H33" s="146"/>
    </row>
    <row r="34" spans="2:8" ht="24" customHeight="1" x14ac:dyDescent="0.2">
      <c r="B34" s="144" t="s">
        <v>495</v>
      </c>
      <c r="C34" s="93" t="s">
        <v>496</v>
      </c>
      <c r="D34" s="145" t="s">
        <v>497</v>
      </c>
      <c r="E34" s="145"/>
      <c r="F34" s="146" t="s">
        <v>498</v>
      </c>
      <c r="G34" s="146"/>
      <c r="H34" s="146"/>
    </row>
    <row r="35" spans="2:8" ht="24" customHeight="1" x14ac:dyDescent="0.2">
      <c r="B35" s="144" t="s">
        <v>499</v>
      </c>
      <c r="C35" s="93" t="s">
        <v>500</v>
      </c>
      <c r="D35" s="145" t="s">
        <v>501</v>
      </c>
      <c r="E35" s="145"/>
      <c r="F35" s="146" t="s">
        <v>502</v>
      </c>
      <c r="G35" s="146"/>
      <c r="H35" s="146"/>
    </row>
    <row r="36" spans="2:8" ht="24" customHeight="1" x14ac:dyDescent="0.2">
      <c r="B36" s="147" t="s">
        <v>503</v>
      </c>
      <c r="C36" s="148" t="str">
        <f>"R$ "&amp;TEXT('🔧 Cenário Ativo'!B6,"0,00")&amp;"–"&amp;TEXT('🔧 Cenário Ativo'!B8,"0,00")</f>
        <v>R$ 39,90–79,90</v>
      </c>
      <c r="D36" s="149" t="s">
        <v>504</v>
      </c>
      <c r="E36" s="149"/>
      <c r="F36" s="150" t="s">
        <v>505</v>
      </c>
      <c r="G36" s="151"/>
      <c r="H36" s="151"/>
    </row>
    <row r="37" spans="2:8" x14ac:dyDescent="0.2">
      <c r="B37" s="15"/>
      <c r="C37" s="15"/>
      <c r="D37" s="15"/>
      <c r="E37" s="15"/>
      <c r="F37" s="15"/>
      <c r="G37" s="15"/>
      <c r="H37" s="15"/>
    </row>
    <row r="38" spans="2:8" x14ac:dyDescent="0.2">
      <c r="B38" s="152" t="s">
        <v>506</v>
      </c>
      <c r="C38" s="152"/>
      <c r="D38" s="152"/>
      <c r="E38" s="152"/>
      <c r="F38" s="152"/>
      <c r="G38" s="152"/>
      <c r="H38" s="152"/>
    </row>
  </sheetData>
  <mergeCells count="34">
    <mergeCell ref="B38:H38"/>
    <mergeCell ref="F19:H19"/>
    <mergeCell ref="F20:H20"/>
    <mergeCell ref="F21:H21"/>
    <mergeCell ref="F22:H22"/>
    <mergeCell ref="F23:H23"/>
    <mergeCell ref="F32:H32"/>
    <mergeCell ref="B25:H25"/>
    <mergeCell ref="B31:H31"/>
    <mergeCell ref="C26:H26"/>
    <mergeCell ref="C27:H27"/>
    <mergeCell ref="C28:H28"/>
    <mergeCell ref="C29:H29"/>
    <mergeCell ref="D36:E36"/>
    <mergeCell ref="F33:H33"/>
    <mergeCell ref="F34:H34"/>
    <mergeCell ref="F35:H35"/>
    <mergeCell ref="F36:H36"/>
    <mergeCell ref="B3:H3"/>
    <mergeCell ref="D32:E32"/>
    <mergeCell ref="D33:E33"/>
    <mergeCell ref="D34:E34"/>
    <mergeCell ref="D35:E35"/>
    <mergeCell ref="B12:H12"/>
    <mergeCell ref="F10:H10"/>
    <mergeCell ref="F11:H11"/>
    <mergeCell ref="F15:H15"/>
    <mergeCell ref="F16:H16"/>
    <mergeCell ref="F17:H17"/>
    <mergeCell ref="F18:H18"/>
    <mergeCell ref="B6:H6"/>
    <mergeCell ref="B14:H14"/>
    <mergeCell ref="F8:H8"/>
    <mergeCell ref="F9:H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988B-D354-7C49-AE62-BB99C8E78F71}">
  <sheetPr>
    <tabColor rgb="FF92D050"/>
  </sheetPr>
  <dimension ref="A1:F52"/>
  <sheetViews>
    <sheetView showGridLines="0" workbookViewId="0">
      <selection activeCell="A15" sqref="A15"/>
    </sheetView>
  </sheetViews>
  <sheetFormatPr baseColWidth="10" defaultRowHeight="15" x14ac:dyDescent="0.2"/>
  <cols>
    <col min="1" max="1" width="3" customWidth="1"/>
    <col min="2" max="2" width="42" customWidth="1"/>
    <col min="3" max="3" width="20.5" customWidth="1"/>
    <col min="4" max="4" width="21.6640625" customWidth="1"/>
    <col min="5" max="6" width="18.33203125" customWidth="1"/>
  </cols>
  <sheetData>
    <row r="1" spans="1:6" ht="16" x14ac:dyDescent="0.2">
      <c r="A1" s="456"/>
      <c r="B1" s="456"/>
      <c r="C1" s="456"/>
      <c r="D1" s="456"/>
      <c r="E1" s="456"/>
      <c r="F1" s="456"/>
    </row>
    <row r="2" spans="1:6" ht="28" customHeight="1" x14ac:dyDescent="0.3">
      <c r="A2" s="153"/>
      <c r="B2" s="453" t="s">
        <v>347</v>
      </c>
      <c r="C2" s="154"/>
      <c r="D2" s="154"/>
      <c r="E2" s="154"/>
      <c r="F2" s="153"/>
    </row>
    <row r="3" spans="1:6" ht="16" x14ac:dyDescent="0.2">
      <c r="A3" s="153"/>
      <c r="B3" s="454" t="s">
        <v>348</v>
      </c>
      <c r="C3" s="153"/>
      <c r="D3" s="153"/>
      <c r="E3" s="153"/>
      <c r="F3" s="153"/>
    </row>
    <row r="4" spans="1:6" ht="16" x14ac:dyDescent="0.2">
      <c r="A4" s="153"/>
      <c r="B4" s="154"/>
      <c r="C4" s="154"/>
      <c r="D4" s="154"/>
      <c r="E4" s="154"/>
      <c r="F4" s="455"/>
    </row>
    <row r="5" spans="1:6" ht="16" x14ac:dyDescent="0.2">
      <c r="A5" s="153"/>
      <c r="B5" s="155" t="s">
        <v>349</v>
      </c>
      <c r="C5" s="156"/>
      <c r="D5" s="156"/>
      <c r="E5" s="156"/>
      <c r="F5" s="153"/>
    </row>
    <row r="6" spans="1:6" ht="16" x14ac:dyDescent="0.2">
      <c r="A6" s="153"/>
      <c r="B6" s="153" t="s">
        <v>350</v>
      </c>
      <c r="C6" s="157">
        <f>'🎛️ Premissas'!B58</f>
        <v>1000000</v>
      </c>
      <c r="D6" s="158" t="s">
        <v>354</v>
      </c>
      <c r="E6" s="153"/>
      <c r="F6" s="153"/>
    </row>
    <row r="7" spans="1:6" ht="16" x14ac:dyDescent="0.2">
      <c r="A7" s="153"/>
      <c r="B7" s="153" t="s">
        <v>351</v>
      </c>
      <c r="C7" s="159">
        <f>'🎛️ Premissas'!B59</f>
        <v>0.15</v>
      </c>
      <c r="D7" s="158" t="s">
        <v>355</v>
      </c>
      <c r="E7" s="153"/>
      <c r="F7" s="153"/>
    </row>
    <row r="8" spans="1:6" ht="16" x14ac:dyDescent="0.2">
      <c r="A8" s="153"/>
      <c r="B8" s="153" t="s">
        <v>352</v>
      </c>
      <c r="C8" s="157">
        <f>'🎛️ Premissas'!B61</f>
        <v>6666666.666666667</v>
      </c>
      <c r="D8" s="160" t="s">
        <v>356</v>
      </c>
      <c r="E8" s="153"/>
      <c r="F8" s="153"/>
    </row>
    <row r="9" spans="1:6" ht="16" x14ac:dyDescent="0.2">
      <c r="A9" s="153"/>
      <c r="B9" s="153" t="s">
        <v>353</v>
      </c>
      <c r="C9" s="157">
        <f>'🎛️ Premissas'!B60</f>
        <v>5666666.666666667</v>
      </c>
      <c r="D9" s="153"/>
      <c r="E9" s="153"/>
      <c r="F9" s="153"/>
    </row>
    <row r="10" spans="1:6" ht="16" x14ac:dyDescent="0.2">
      <c r="A10" s="153"/>
      <c r="B10" s="153"/>
      <c r="C10" s="153"/>
      <c r="D10" s="153"/>
      <c r="E10" s="153"/>
      <c r="F10" s="153"/>
    </row>
    <row r="11" spans="1:6" ht="16" x14ac:dyDescent="0.2">
      <c r="A11" s="153"/>
      <c r="B11" s="155" t="s">
        <v>357</v>
      </c>
      <c r="C11" s="156"/>
      <c r="D11" s="156"/>
      <c r="E11" s="156"/>
      <c r="F11" s="153"/>
    </row>
    <row r="12" spans="1:6" ht="16" x14ac:dyDescent="0.2">
      <c r="A12" s="153"/>
      <c r="B12" s="161" t="s">
        <v>2</v>
      </c>
      <c r="C12" s="162" t="s">
        <v>248</v>
      </c>
      <c r="D12" s="162" t="s">
        <v>250</v>
      </c>
      <c r="E12" s="153"/>
      <c r="F12" s="153"/>
    </row>
    <row r="13" spans="1:6" ht="16" x14ac:dyDescent="0.2">
      <c r="A13" s="153"/>
      <c r="B13" s="153" t="s">
        <v>358</v>
      </c>
      <c r="C13" s="163">
        <f>'📊 Base Mensal'!N9</f>
        <v>4819</v>
      </c>
      <c r="D13" s="164">
        <f>'📊 Base Mensal'!Z9</f>
        <v>8027</v>
      </c>
      <c r="E13" s="153"/>
      <c r="F13" s="153"/>
    </row>
    <row r="14" spans="1:6" ht="16" x14ac:dyDescent="0.2">
      <c r="A14" s="153"/>
      <c r="B14" s="153" t="s">
        <v>359</v>
      </c>
      <c r="C14" s="165">
        <f>'📊 Base Mensal'!N11</f>
        <v>277318.09999999998</v>
      </c>
      <c r="D14" s="166">
        <f>'📊 Base Mensal'!Z11</f>
        <v>467197.3</v>
      </c>
      <c r="E14" s="153"/>
      <c r="F14" s="153"/>
    </row>
    <row r="15" spans="1:6" ht="16" x14ac:dyDescent="0.2">
      <c r="A15" s="153"/>
      <c r="B15" s="153" t="s">
        <v>360</v>
      </c>
      <c r="C15" s="165">
        <f>'📊 Base Mensal'!N12</f>
        <v>1947589.4</v>
      </c>
      <c r="D15" s="166">
        <f>'📊 Base Mensal'!Z12</f>
        <v>6638262.1999999983</v>
      </c>
      <c r="E15" s="153"/>
      <c r="F15" s="153"/>
    </row>
    <row r="16" spans="1:6" ht="16" x14ac:dyDescent="0.2">
      <c r="A16" s="153"/>
      <c r="B16" s="153" t="s">
        <v>361</v>
      </c>
      <c r="C16" s="167">
        <f>'📊 Base Mensal'!N26</f>
        <v>0.85013006936799285</v>
      </c>
      <c r="D16" s="168">
        <f>'📊 Base Mensal'!Z26</f>
        <v>0.84939386848982212</v>
      </c>
      <c r="E16" s="153"/>
      <c r="F16" s="153"/>
    </row>
    <row r="17" spans="1:6" ht="16" x14ac:dyDescent="0.2">
      <c r="A17" s="153"/>
      <c r="B17" s="153" t="s">
        <v>362</v>
      </c>
      <c r="C17" s="169">
        <f>'📊 Base Mensal'!N24</f>
        <v>144705.10258999997</v>
      </c>
      <c r="D17" s="170">
        <f>'📊 Base Mensal'!Z24</f>
        <v>266098.87299499998</v>
      </c>
      <c r="E17" s="153"/>
      <c r="F17" s="153"/>
    </row>
    <row r="18" spans="1:6" ht="16" x14ac:dyDescent="0.2">
      <c r="A18" s="153"/>
      <c r="B18" s="153"/>
      <c r="C18" s="153"/>
      <c r="D18" s="153"/>
      <c r="E18" s="153"/>
      <c r="F18" s="153"/>
    </row>
    <row r="19" spans="1:6" ht="16" x14ac:dyDescent="0.2">
      <c r="A19" s="153"/>
      <c r="B19" s="155" t="s">
        <v>363</v>
      </c>
      <c r="C19" s="156"/>
      <c r="D19" s="156"/>
      <c r="E19" s="156"/>
      <c r="F19" s="153"/>
    </row>
    <row r="20" spans="1:6" ht="16" x14ac:dyDescent="0.2">
      <c r="A20" s="153"/>
      <c r="B20" s="161" t="s">
        <v>264</v>
      </c>
      <c r="C20" s="162" t="s">
        <v>364</v>
      </c>
      <c r="D20" s="162" t="s">
        <v>365</v>
      </c>
      <c r="E20" s="162" t="s">
        <v>366</v>
      </c>
      <c r="F20" s="153"/>
    </row>
    <row r="21" spans="1:6" ht="16" x14ac:dyDescent="0.2">
      <c r="A21" s="153"/>
      <c r="B21" s="153" t="s">
        <v>3</v>
      </c>
      <c r="C21" s="171">
        <f>'📊 Resumo Cenários'!B21</f>
        <v>19914786.599999994</v>
      </c>
      <c r="D21" s="171">
        <f>C21*'🎛️ Premissas'!$B$59</f>
        <v>2987217.9899999988</v>
      </c>
      <c r="E21" s="172">
        <f>D21/'🎛️ Premissas'!$B$58</f>
        <v>2.9872179899999987</v>
      </c>
      <c r="F21" s="153"/>
    </row>
    <row r="22" spans="1:6" ht="16" x14ac:dyDescent="0.2">
      <c r="A22" s="153"/>
      <c r="B22" s="173" t="s">
        <v>257</v>
      </c>
      <c r="C22" s="174">
        <f>'📊 Resumo Cenários'!C21</f>
        <v>50824493.5</v>
      </c>
      <c r="D22" s="175">
        <f>C22*'🎛️ Premissas'!$B$59</f>
        <v>7623674.0249999994</v>
      </c>
      <c r="E22" s="176">
        <f>D22/'🎛️ Premissas'!$B$58</f>
        <v>7.6236740249999997</v>
      </c>
      <c r="F22" s="153"/>
    </row>
    <row r="23" spans="1:6" ht="16" x14ac:dyDescent="0.2">
      <c r="A23" s="153"/>
      <c r="B23" s="153" t="s">
        <v>5</v>
      </c>
      <c r="C23" s="171">
        <f>'📊 Resumo Cenários'!D21</f>
        <v>101182226.59999999</v>
      </c>
      <c r="D23" s="171">
        <f>C23*'🎛️ Premissas'!$B$59</f>
        <v>15177333.989999998</v>
      </c>
      <c r="E23" s="172">
        <f>D23/'🎛️ Premissas'!$B$58</f>
        <v>15.177333989999997</v>
      </c>
      <c r="F23" s="153"/>
    </row>
    <row r="24" spans="1:6" ht="16" x14ac:dyDescent="0.2">
      <c r="A24" s="153"/>
      <c r="B24" s="153"/>
      <c r="C24" s="153"/>
      <c r="D24" s="153"/>
      <c r="E24" s="153"/>
      <c r="F24" s="153"/>
    </row>
    <row r="25" spans="1:6" ht="16" x14ac:dyDescent="0.2">
      <c r="A25" s="153"/>
      <c r="B25" s="155" t="s">
        <v>367</v>
      </c>
      <c r="C25" s="156"/>
      <c r="D25" s="156"/>
      <c r="E25" s="156"/>
      <c r="F25" s="153"/>
    </row>
    <row r="26" spans="1:6" ht="16" x14ac:dyDescent="0.2">
      <c r="A26" s="153"/>
      <c r="B26" s="153" t="s">
        <v>368</v>
      </c>
      <c r="C26" s="177">
        <v>0.4</v>
      </c>
      <c r="D26" s="178">
        <f>C26*'🎛️ Premissas'!$B$58</f>
        <v>400000</v>
      </c>
      <c r="E26" s="153"/>
      <c r="F26" s="153"/>
    </row>
    <row r="27" spans="1:6" ht="16" x14ac:dyDescent="0.2">
      <c r="A27" s="153"/>
      <c r="B27" s="153" t="s">
        <v>369</v>
      </c>
      <c r="C27" s="177">
        <v>0.3</v>
      </c>
      <c r="D27" s="178">
        <f>C27*'🎛️ Premissas'!$B$58</f>
        <v>300000</v>
      </c>
      <c r="E27" s="153"/>
      <c r="F27" s="153"/>
    </row>
    <row r="28" spans="1:6" ht="16" x14ac:dyDescent="0.2">
      <c r="A28" s="153"/>
      <c r="B28" s="153" t="s">
        <v>370</v>
      </c>
      <c r="C28" s="177">
        <v>0.2</v>
      </c>
      <c r="D28" s="178">
        <f>C28*'🎛️ Premissas'!$B$58</f>
        <v>200000</v>
      </c>
      <c r="E28" s="153"/>
      <c r="F28" s="153"/>
    </row>
    <row r="29" spans="1:6" ht="16" x14ac:dyDescent="0.2">
      <c r="A29" s="153"/>
      <c r="B29" s="153" t="s">
        <v>371</v>
      </c>
      <c r="C29" s="177">
        <v>0.1</v>
      </c>
      <c r="D29" s="178">
        <f>C29*'🎛️ Premissas'!$B$58</f>
        <v>100000</v>
      </c>
      <c r="E29" s="153"/>
      <c r="F29" s="153"/>
    </row>
    <row r="30" spans="1:6" ht="16" x14ac:dyDescent="0.2">
      <c r="A30" s="153"/>
      <c r="B30" s="179" t="s">
        <v>372</v>
      </c>
      <c r="C30" s="168">
        <f>SUM(C26:C29)</f>
        <v>0.99999999999999989</v>
      </c>
      <c r="D30" s="157">
        <f>SUM(D26:D29)</f>
        <v>1000000</v>
      </c>
      <c r="E30" s="153"/>
      <c r="F30" s="153"/>
    </row>
    <row r="31" spans="1:6" ht="16" x14ac:dyDescent="0.2">
      <c r="A31" s="153"/>
      <c r="B31" s="153"/>
      <c r="C31" s="153"/>
      <c r="D31" s="153"/>
      <c r="E31" s="153"/>
      <c r="F31" s="153"/>
    </row>
    <row r="32" spans="1:6" ht="16" x14ac:dyDescent="0.2">
      <c r="A32" s="153"/>
      <c r="B32" s="180" t="s">
        <v>373</v>
      </c>
      <c r="C32" s="154"/>
      <c r="D32" s="154"/>
      <c r="E32" s="154"/>
      <c r="F32" s="153"/>
    </row>
    <row r="33" spans="1:6" ht="16" x14ac:dyDescent="0.2">
      <c r="A33" s="153"/>
      <c r="B33" s="181" t="str">
        <f>"• Mesmo no cenário Conservador, o aporte retorna ~"&amp;TEXT('📊 Resumo Cenários'!B23,"0,0")&amp;"× em 24 meses (fatia "&amp;TEXT('🎛️ Premissas'!B59,"0%")&amp;" = R$ "&amp;TEXT('📊 Resumo Cenários'!B22/1000000,"0,0")&amp;" M)."</f>
        <v>• Mesmo no cenário Conservador, o aporte retorna ~3,0× em 24 meses (fatia 15% = R$ 3,0 M).</v>
      </c>
      <c r="C33" s="153"/>
      <c r="D33" s="153"/>
      <c r="E33" s="153"/>
      <c r="F33" s="153"/>
    </row>
    <row r="34" spans="1:6" ht="16" x14ac:dyDescent="0.2">
      <c r="A34" s="153"/>
      <c r="B34" s="181" t="s">
        <v>374</v>
      </c>
      <c r="C34" s="153"/>
      <c r="D34" s="153"/>
      <c r="E34" s="153"/>
      <c r="F34" s="153"/>
    </row>
    <row r="35" spans="1:6" ht="16" x14ac:dyDescent="0.2">
      <c r="A35" s="153"/>
      <c r="B35" s="181" t="s">
        <v>375</v>
      </c>
      <c r="C35" s="153"/>
      <c r="D35" s="153"/>
      <c r="E35" s="153"/>
      <c r="F35" s="153"/>
    </row>
    <row r="36" spans="1:6" ht="16" x14ac:dyDescent="0.2">
      <c r="A36" s="153"/>
      <c r="B36" s="181" t="s">
        <v>376</v>
      </c>
      <c r="C36" s="153"/>
      <c r="D36" s="153"/>
      <c r="E36" s="153"/>
      <c r="F36" s="153"/>
    </row>
    <row r="37" spans="1:6" ht="16" x14ac:dyDescent="0.2">
      <c r="A37" s="153"/>
      <c r="B37" s="181" t="s">
        <v>377</v>
      </c>
      <c r="C37" s="153"/>
      <c r="D37" s="153"/>
      <c r="E37" s="153"/>
      <c r="F37" s="153"/>
    </row>
    <row r="38" spans="1:6" ht="16" x14ac:dyDescent="0.2">
      <c r="A38" s="153"/>
      <c r="B38" s="153"/>
      <c r="C38" s="153"/>
      <c r="D38" s="153"/>
      <c r="E38" s="153"/>
      <c r="F38" s="153"/>
    </row>
    <row r="39" spans="1:6" ht="16" x14ac:dyDescent="0.2">
      <c r="A39" s="153"/>
      <c r="B39" s="182" t="s">
        <v>378</v>
      </c>
      <c r="C39" s="182"/>
      <c r="D39" s="182"/>
      <c r="E39" s="182"/>
      <c r="F39" s="182"/>
    </row>
    <row r="40" spans="1:6" ht="16" x14ac:dyDescent="0.2">
      <c r="A40" s="153"/>
      <c r="B40" s="182"/>
      <c r="C40" s="182"/>
      <c r="D40" s="182"/>
      <c r="E40" s="182"/>
      <c r="F40" s="182"/>
    </row>
    <row r="41" spans="1:6" ht="16" x14ac:dyDescent="0.2">
      <c r="A41" s="183"/>
      <c r="B41" s="183"/>
      <c r="C41" s="183"/>
      <c r="D41" s="183"/>
      <c r="E41" s="183"/>
      <c r="F41" s="183"/>
    </row>
    <row r="42" spans="1:6" ht="16" x14ac:dyDescent="0.2">
      <c r="A42" s="183"/>
      <c r="B42" s="184" t="s">
        <v>379</v>
      </c>
      <c r="C42" s="184"/>
      <c r="D42" s="184"/>
      <c r="E42" s="184"/>
      <c r="F42" s="184"/>
    </row>
    <row r="43" spans="1:6" ht="16" x14ac:dyDescent="0.2">
      <c r="A43" s="183"/>
      <c r="B43" s="185" t="s">
        <v>380</v>
      </c>
      <c r="C43" s="185" t="s">
        <v>381</v>
      </c>
      <c r="D43" s="185" t="s">
        <v>382</v>
      </c>
      <c r="E43" s="185" t="s">
        <v>11</v>
      </c>
      <c r="F43" s="185" t="s">
        <v>383</v>
      </c>
    </row>
    <row r="44" spans="1:6" ht="16" x14ac:dyDescent="0.2">
      <c r="A44" s="183"/>
      <c r="B44" s="186">
        <v>0.05</v>
      </c>
      <c r="C44" s="187">
        <f>1/B44</f>
        <v>20</v>
      </c>
      <c r="D44" s="188">
        <f>'📊 Resumo Cenários'!$C$13*C44</f>
        <v>867.11119999999994</v>
      </c>
      <c r="E44" s="189">
        <f>D44/'🎛️ Premissas'!$C$48</f>
        <v>14.451853333333332</v>
      </c>
      <c r="F44" s="190" t="str">
        <f>IF(E44&gt;=8,"✅ top quartile",IF(E44&gt;=3,"✅ saudável","⚠️ rever CAC"))</f>
        <v>✅ top quartile</v>
      </c>
    </row>
    <row r="45" spans="1:6" ht="16" x14ac:dyDescent="0.2">
      <c r="A45" s="183"/>
      <c r="B45" s="186">
        <v>0.06</v>
      </c>
      <c r="C45" s="187">
        <f t="shared" ref="C45:C50" si="0">1/B45</f>
        <v>16.666666666666668</v>
      </c>
      <c r="D45" s="188">
        <f>'📊 Resumo Cenários'!$C$13*C45</f>
        <v>722.59266666666667</v>
      </c>
      <c r="E45" s="189">
        <f>D45/'🎛️ Premissas'!$C$48</f>
        <v>12.043211111111111</v>
      </c>
      <c r="F45" s="190" t="str">
        <f t="shared" ref="F45:F50" si="1">IF(E45&gt;=8,"✅ top quartile",IF(E45&gt;=3,"✅ saudável","⚠️ rever CAC"))</f>
        <v>✅ top quartile</v>
      </c>
    </row>
    <row r="46" spans="1:6" ht="16" x14ac:dyDescent="0.2">
      <c r="A46" s="183"/>
      <c r="B46" s="186">
        <v>7.0000000000000007E-2</v>
      </c>
      <c r="C46" s="187">
        <f t="shared" si="0"/>
        <v>14.285714285714285</v>
      </c>
      <c r="D46" s="188">
        <f>'📊 Resumo Cenários'!$C$13*C46</f>
        <v>619.36514285714281</v>
      </c>
      <c r="E46" s="189">
        <f>D46/'🎛️ Premissas'!$C$48</f>
        <v>10.32275238095238</v>
      </c>
      <c r="F46" s="190" t="str">
        <f t="shared" si="1"/>
        <v>✅ top quartile</v>
      </c>
    </row>
    <row r="47" spans="1:6" ht="16" x14ac:dyDescent="0.2">
      <c r="A47" s="183"/>
      <c r="B47" s="191">
        <v>0.08</v>
      </c>
      <c r="C47" s="192">
        <f t="shared" si="0"/>
        <v>12.5</v>
      </c>
      <c r="D47" s="193">
        <f>'📊 Resumo Cenários'!$C$13*C47</f>
        <v>541.94449999999995</v>
      </c>
      <c r="E47" s="194">
        <f>D47/'🎛️ Premissas'!$C$48</f>
        <v>9.0324083333333327</v>
      </c>
      <c r="F47" s="195" t="str">
        <f t="shared" si="1"/>
        <v>✅ top quartile</v>
      </c>
    </row>
    <row r="48" spans="1:6" ht="16" x14ac:dyDescent="0.2">
      <c r="A48" s="183"/>
      <c r="B48" s="186">
        <v>0.1</v>
      </c>
      <c r="C48" s="187">
        <f t="shared" si="0"/>
        <v>10</v>
      </c>
      <c r="D48" s="188">
        <f>'📊 Resumo Cenários'!$C$13*C48</f>
        <v>433.55559999999997</v>
      </c>
      <c r="E48" s="189">
        <f>D48/'🎛️ Premissas'!$C$48</f>
        <v>7.2259266666666662</v>
      </c>
      <c r="F48" s="190" t="str">
        <f t="shared" si="1"/>
        <v>✅ saudável</v>
      </c>
    </row>
    <row r="49" spans="1:6" ht="16" x14ac:dyDescent="0.2">
      <c r="A49" s="183"/>
      <c r="B49" s="186">
        <v>0.12</v>
      </c>
      <c r="C49" s="187">
        <f t="shared" si="0"/>
        <v>8.3333333333333339</v>
      </c>
      <c r="D49" s="188">
        <f>'📊 Resumo Cenários'!$C$13*C49</f>
        <v>361.29633333333334</v>
      </c>
      <c r="E49" s="189">
        <f>D49/'🎛️ Premissas'!$C$48</f>
        <v>6.0216055555555554</v>
      </c>
      <c r="F49" s="190" t="str">
        <f t="shared" si="1"/>
        <v>✅ saudável</v>
      </c>
    </row>
    <row r="50" spans="1:6" ht="16" x14ac:dyDescent="0.2">
      <c r="A50" s="183"/>
      <c r="B50" s="186">
        <v>0.15</v>
      </c>
      <c r="C50" s="187">
        <f t="shared" si="0"/>
        <v>6.666666666666667</v>
      </c>
      <c r="D50" s="188">
        <f>'📊 Resumo Cenários'!$C$13*C50</f>
        <v>289.03706666666665</v>
      </c>
      <c r="E50" s="189">
        <f>D50/'🎛️ Premissas'!$C$48</f>
        <v>4.8172844444444438</v>
      </c>
      <c r="F50" s="190" t="str">
        <f t="shared" si="1"/>
        <v>✅ saudável</v>
      </c>
    </row>
    <row r="51" spans="1:6" ht="16" x14ac:dyDescent="0.2">
      <c r="A51" s="183"/>
      <c r="B51" s="196" t="s">
        <v>384</v>
      </c>
      <c r="C51" s="196"/>
      <c r="D51" s="196"/>
      <c r="E51" s="196"/>
      <c r="F51" s="196"/>
    </row>
    <row r="52" spans="1:6" x14ac:dyDescent="0.2">
      <c r="A52" s="15"/>
      <c r="B52" s="197"/>
      <c r="C52" s="197"/>
      <c r="D52" s="197"/>
      <c r="E52" s="197"/>
      <c r="F52" s="197"/>
    </row>
  </sheetData>
  <mergeCells count="2">
    <mergeCell ref="B39:F40"/>
    <mergeCell ref="B51:F52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1764-CEC1-CA46-8168-81A947331983}">
  <sheetPr>
    <tabColor rgb="FFC08497"/>
  </sheetPr>
  <dimension ref="B2:F24"/>
  <sheetViews>
    <sheetView showGridLines="0" zoomScale="150" zoomScaleNormal="150" workbookViewId="0">
      <selection activeCell="B13" sqref="B13"/>
    </sheetView>
  </sheetViews>
  <sheetFormatPr baseColWidth="10" defaultRowHeight="15" x14ac:dyDescent="0.2"/>
  <cols>
    <col min="1" max="1" width="3" customWidth="1"/>
    <col min="2" max="2" width="40" customWidth="1"/>
    <col min="3" max="5" width="18" customWidth="1"/>
    <col min="6" max="6" width="34" customWidth="1"/>
  </cols>
  <sheetData>
    <row r="2" spans="2:6" ht="26" x14ac:dyDescent="0.3">
      <c r="B2" s="80" t="s">
        <v>507</v>
      </c>
      <c r="C2" s="15"/>
      <c r="D2" s="15"/>
      <c r="E2" s="15"/>
      <c r="F2" s="15"/>
    </row>
    <row r="3" spans="2:6" x14ac:dyDescent="0.2">
      <c r="B3" s="81" t="str">
        <f>"Consolidado da 📊 Base Mensal · cenário ativo: "&amp;'🔧 Cenário Ativo'!B2&amp;" · valores recalculam ao trocar o cenário"</f>
        <v>Consolidado da 📊 Base Mensal · cenário ativo: Conservador · valores recalculam ao trocar o cenário</v>
      </c>
      <c r="C3" s="81"/>
      <c r="D3" s="81"/>
      <c r="E3" s="81"/>
      <c r="F3" s="81"/>
    </row>
    <row r="4" spans="2:6" ht="5" customHeight="1" x14ac:dyDescent="0.2">
      <c r="B4" s="82"/>
      <c r="C4" s="82"/>
      <c r="D4" s="82"/>
      <c r="E4" s="82"/>
      <c r="F4" s="83"/>
    </row>
    <row r="5" spans="2:6" x14ac:dyDescent="0.2">
      <c r="B5" s="15"/>
      <c r="C5" s="15"/>
      <c r="D5" s="15"/>
      <c r="E5" s="15"/>
      <c r="F5" s="15"/>
    </row>
    <row r="6" spans="2:6" x14ac:dyDescent="0.2">
      <c r="B6" s="198" t="s">
        <v>508</v>
      </c>
      <c r="C6" s="199" t="s">
        <v>509</v>
      </c>
      <c r="D6" s="199" t="s">
        <v>510</v>
      </c>
      <c r="E6" s="199" t="s">
        <v>511</v>
      </c>
      <c r="F6" s="200" t="s">
        <v>420</v>
      </c>
    </row>
    <row r="7" spans="2:6" x14ac:dyDescent="0.2">
      <c r="B7" s="89" t="s">
        <v>512</v>
      </c>
      <c r="C7" s="201">
        <f>SUM('📊 Base Mensal'!C11:N11)</f>
        <v>1947589.4</v>
      </c>
      <c r="D7" s="201">
        <f>SUM('📊 Base Mensal'!O11:Z11)</f>
        <v>4690672.8</v>
      </c>
      <c r="E7" s="202">
        <f>C7+D7</f>
        <v>6638262.1999999993</v>
      </c>
      <c r="F7" s="203" t="s">
        <v>513</v>
      </c>
    </row>
    <row r="8" spans="2:6" x14ac:dyDescent="0.2">
      <c r="B8" s="108" t="s">
        <v>514</v>
      </c>
      <c r="C8" s="201">
        <f>-SUM('📊 Base Mensal'!C21:N21)</f>
        <v>-253186.622</v>
      </c>
      <c r="D8" s="201">
        <f>-SUM('📊 Base Mensal'!O21:Z21)</f>
        <v>-609787.46399999992</v>
      </c>
      <c r="E8" s="201">
        <f>C8+D8</f>
        <v>-862974.08599999989</v>
      </c>
      <c r="F8" s="203" t="str">
        <f>"Simples Nacional "&amp;TEXT('🔧 Cenário Ativo'!B59,"0,0%")&amp;" sobre o MRR"</f>
        <v>Simples Nacional 13,0% sobre o MRR</v>
      </c>
    </row>
    <row r="9" spans="2:6" x14ac:dyDescent="0.2">
      <c r="B9" s="89" t="s">
        <v>515</v>
      </c>
      <c r="C9" s="202">
        <f>C7+C8</f>
        <v>1694402.7779999999</v>
      </c>
      <c r="D9" s="202">
        <f>D7+D8</f>
        <v>4080885.3360000001</v>
      </c>
      <c r="E9" s="202">
        <f>C9+D9</f>
        <v>5775288.1140000001</v>
      </c>
      <c r="F9" s="15"/>
    </row>
    <row r="10" spans="2:6" x14ac:dyDescent="0.2">
      <c r="B10" s="108" t="s">
        <v>516</v>
      </c>
      <c r="C10" s="201">
        <f>-SUM('📊 Base Mensal'!C18:N18)</f>
        <v>-294218.78499000007</v>
      </c>
      <c r="D10" s="201">
        <f>-SUM('📊 Base Mensal'!O18:Z18)</f>
        <v>-705147.83117999998</v>
      </c>
      <c r="E10" s="201">
        <f>C10+D10</f>
        <v>-999366.61617000005</v>
      </c>
      <c r="F10" s="203" t="s">
        <v>517</v>
      </c>
    </row>
    <row r="11" spans="2:6" x14ac:dyDescent="0.2">
      <c r="B11" s="89" t="s">
        <v>518</v>
      </c>
      <c r="C11" s="202">
        <f>C9+C10</f>
        <v>1400183.9930099999</v>
      </c>
      <c r="D11" s="202">
        <f>D9+D10</f>
        <v>3375737.5048200004</v>
      </c>
      <c r="E11" s="202">
        <f>C11+D11</f>
        <v>4775921.4978299998</v>
      </c>
      <c r="F11" s="15"/>
    </row>
    <row r="12" spans="2:6" x14ac:dyDescent="0.2">
      <c r="B12" s="204" t="s">
        <v>519</v>
      </c>
      <c r="C12" s="205">
        <f>IF(C7=0,0,C11/C7)</f>
        <v>0.71893182054184512</v>
      </c>
      <c r="D12" s="205">
        <f>IF(D7=0,0,D11/D7)</f>
        <v>0.7196702155008553</v>
      </c>
      <c r="E12" s="205">
        <f>IF(E7=0,0,E11/E7)</f>
        <v>0.71945357895474515</v>
      </c>
      <c r="F12" s="15"/>
    </row>
    <row r="13" spans="2:6" x14ac:dyDescent="0.2">
      <c r="B13" s="108" t="s">
        <v>520</v>
      </c>
      <c r="C13" s="201">
        <f>-SUM('📊 Base Mensal'!C20:N20)</f>
        <v>-660000</v>
      </c>
      <c r="D13" s="201">
        <f>-SUM('📊 Base Mensal'!O20:Z20)</f>
        <v>-840000</v>
      </c>
      <c r="E13" s="201">
        <f t="shared" ref="E13:E18" si="0">C13+D13</f>
        <v>-1500000</v>
      </c>
      <c r="F13" s="203" t="s">
        <v>521</v>
      </c>
    </row>
    <row r="14" spans="2:6" x14ac:dyDescent="0.2">
      <c r="B14" s="206" t="s">
        <v>522</v>
      </c>
      <c r="C14" s="207">
        <f>-'🔧 Cenário Ativo'!B39*12</f>
        <v>-480000</v>
      </c>
      <c r="D14" s="207">
        <f>-'🔧 Cenário Ativo'!B40*12</f>
        <v>-600000</v>
      </c>
      <c r="E14" s="207">
        <f t="shared" si="0"/>
        <v>-1080000</v>
      </c>
      <c r="F14" s="15"/>
    </row>
    <row r="15" spans="2:6" x14ac:dyDescent="0.2">
      <c r="B15" s="206" t="s">
        <v>523</v>
      </c>
      <c r="C15" s="207">
        <f>-'🔧 Cenário Ativo'!B41*12</f>
        <v>-60000</v>
      </c>
      <c r="D15" s="207">
        <f>-'🔧 Cenário Ativo'!B42*12</f>
        <v>-84000</v>
      </c>
      <c r="E15" s="207">
        <f t="shared" si="0"/>
        <v>-144000</v>
      </c>
      <c r="F15" s="15"/>
    </row>
    <row r="16" spans="2:6" x14ac:dyDescent="0.2">
      <c r="B16" s="206" t="s">
        <v>524</v>
      </c>
      <c r="C16" s="207">
        <f>-'🔧 Cenário Ativo'!B43*12</f>
        <v>-60000</v>
      </c>
      <c r="D16" s="207">
        <f>-'🔧 Cenário Ativo'!B44*12</f>
        <v>-96000</v>
      </c>
      <c r="E16" s="207">
        <f t="shared" si="0"/>
        <v>-156000</v>
      </c>
      <c r="F16" s="15"/>
    </row>
    <row r="17" spans="2:6" x14ac:dyDescent="0.2">
      <c r="B17" s="206" t="s">
        <v>525</v>
      </c>
      <c r="C17" s="207">
        <f>-'🔧 Cenário Ativo'!B45*12</f>
        <v>-60000</v>
      </c>
      <c r="D17" s="207">
        <f>-'🔧 Cenário Ativo'!B45*12</f>
        <v>-60000</v>
      </c>
      <c r="E17" s="207">
        <f t="shared" si="0"/>
        <v>-120000</v>
      </c>
      <c r="F17" s="15"/>
    </row>
    <row r="18" spans="2:6" x14ac:dyDescent="0.2">
      <c r="B18" s="105" t="s">
        <v>526</v>
      </c>
      <c r="C18" s="208">
        <f>C11+C13</f>
        <v>740183.99300999986</v>
      </c>
      <c r="D18" s="208">
        <f>D11+D13</f>
        <v>2535737.5048200004</v>
      </c>
      <c r="E18" s="208">
        <f t="shared" si="0"/>
        <v>3275921.4978300002</v>
      </c>
      <c r="F18" s="203" t="s">
        <v>527</v>
      </c>
    </row>
    <row r="19" spans="2:6" x14ac:dyDescent="0.2">
      <c r="B19" s="209" t="s">
        <v>528</v>
      </c>
      <c r="C19" s="205">
        <f>IF(C7=0,0,C18/C7)</f>
        <v>0.38005135631257797</v>
      </c>
      <c r="D19" s="205">
        <f>IF(D7=0,0,D18/D7)</f>
        <v>0.5405914274856265</v>
      </c>
      <c r="E19" s="205">
        <f>IF(E7=0,0,E18/E7)</f>
        <v>0.49349082623310669</v>
      </c>
      <c r="F19" s="15"/>
    </row>
    <row r="20" spans="2:6" x14ac:dyDescent="0.2">
      <c r="B20" s="15"/>
      <c r="C20" s="210"/>
      <c r="D20" s="210"/>
      <c r="E20" s="210"/>
      <c r="F20" s="15"/>
    </row>
    <row r="21" spans="2:6" x14ac:dyDescent="0.2">
      <c r="B21" s="89" t="s">
        <v>529</v>
      </c>
      <c r="C21" s="211">
        <f>'📊 Base Mensal'!N25</f>
        <v>740183.99300999986</v>
      </c>
      <c r="D21" s="211">
        <f>'📊 Base Mensal'!Z25</f>
        <v>3275921.4978299998</v>
      </c>
      <c r="E21" s="210"/>
      <c r="F21" s="203" t="s">
        <v>530</v>
      </c>
    </row>
    <row r="22" spans="2:6" x14ac:dyDescent="0.2">
      <c r="B22" s="212" t="s">
        <v>531</v>
      </c>
      <c r="C22" s="213" t="str">
        <f>IF(ROUND(E18-D21,0)=0,"✅ confere","⚠️ diverge em R$ "&amp;TEXT(E18-D21,"#.##0"))</f>
        <v>✅ confere</v>
      </c>
      <c r="D22" s="214"/>
      <c r="E22" s="214"/>
      <c r="F22" s="142"/>
    </row>
    <row r="23" spans="2:6" x14ac:dyDescent="0.2">
      <c r="B23" s="15"/>
      <c r="C23" s="15"/>
      <c r="D23" s="15"/>
      <c r="E23" s="15"/>
      <c r="F23" s="15"/>
    </row>
    <row r="24" spans="2:6" ht="24" customHeight="1" x14ac:dyDescent="0.2">
      <c r="B24" s="131" t="s">
        <v>532</v>
      </c>
      <c r="C24" s="131"/>
      <c r="D24" s="131"/>
      <c r="E24" s="131"/>
      <c r="F24" s="131"/>
    </row>
  </sheetData>
  <mergeCells count="2">
    <mergeCell ref="B3:F3"/>
    <mergeCell ref="B24:F24"/>
  </mergeCells>
  <pageMargins left="0.511811024" right="0.511811024" top="0.78740157499999996" bottom="0.78740157499999996" header="0.31496062000000002" footer="0.31496062000000002"/>
  <ignoredErrors>
    <ignoredError sqref="E12 C10:D1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2255-AF50-384C-B3B1-5961380D5562}">
  <sheetPr>
    <tabColor rgb="FFC08497"/>
  </sheetPr>
  <dimension ref="B2:Z19"/>
  <sheetViews>
    <sheetView showGridLines="0" zoomScale="150" zoomScaleNormal="150" workbookViewId="0">
      <pane xSplit="2" topLeftCell="C1" activePane="topRight" state="frozen"/>
      <selection pane="topRight" activeCell="H26" sqref="H26"/>
    </sheetView>
  </sheetViews>
  <sheetFormatPr baseColWidth="10" defaultRowHeight="15" x14ac:dyDescent="0.2"/>
  <cols>
    <col min="1" max="1" width="3" customWidth="1"/>
    <col min="2" max="2" width="30" customWidth="1"/>
    <col min="3" max="26" width="11.33203125" customWidth="1"/>
  </cols>
  <sheetData>
    <row r="2" spans="2:26" ht="26" x14ac:dyDescent="0.3">
      <c r="B2" s="80" t="s">
        <v>533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2:26" x14ac:dyDescent="0.2">
      <c r="B3" s="124" t="str">
        <f>"Aporte de R$ "&amp;TEXT('🎛️ Premissas'!B58,"#.##0")&amp;" no M1 + resultado operacional mensal · cenário: "&amp;'🔧 Cenário Ativo'!B2</f>
        <v>Aporte de R$ 1.000.000 no M1 + resultado operacional mensal · cenário: Conservador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2:26" ht="5" customHeight="1" x14ac:dyDescent="0.2">
      <c r="B4" s="82"/>
      <c r="C4" s="82"/>
      <c r="D4" s="82"/>
      <c r="E4" s="82"/>
      <c r="F4" s="82"/>
      <c r="G4" s="83"/>
      <c r="H4" s="83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2:26" x14ac:dyDescent="0.2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2:26" x14ac:dyDescent="0.2">
      <c r="B6" s="84" t="s">
        <v>534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2:26" x14ac:dyDescent="0.2">
      <c r="B7" s="215" t="s">
        <v>238</v>
      </c>
      <c r="C7" s="216" t="str">
        <f>'📊 Base Mensal'!C3</f>
        <v>M01</v>
      </c>
      <c r="D7" s="216" t="str">
        <f>'📊 Base Mensal'!D3</f>
        <v>M02</v>
      </c>
      <c r="E7" s="216" t="str">
        <f>'📊 Base Mensal'!E3</f>
        <v>M03</v>
      </c>
      <c r="F7" s="216" t="str">
        <f>'📊 Base Mensal'!F3</f>
        <v>M04</v>
      </c>
      <c r="G7" s="216" t="str">
        <f>'📊 Base Mensal'!G3</f>
        <v>M05</v>
      </c>
      <c r="H7" s="216" t="str">
        <f>'📊 Base Mensal'!H3</f>
        <v xml:space="preserve">M06 </v>
      </c>
      <c r="I7" s="216" t="str">
        <f>'📊 Base Mensal'!I3</f>
        <v>M07</v>
      </c>
      <c r="J7" s="216" t="str">
        <f>'📊 Base Mensal'!J3</f>
        <v>M08</v>
      </c>
      <c r="K7" s="216" t="str">
        <f>'📊 Base Mensal'!K3</f>
        <v>M09</v>
      </c>
      <c r="L7" s="216" t="str">
        <f>'📊 Base Mensal'!L3</f>
        <v>M10</v>
      </c>
      <c r="M7" s="216" t="str">
        <f>'📊 Base Mensal'!M3</f>
        <v xml:space="preserve">M11 </v>
      </c>
      <c r="N7" s="216" t="str">
        <f>'📊 Base Mensal'!N3</f>
        <v>M12 ★</v>
      </c>
      <c r="O7" s="216" t="str">
        <f>'📊 Base Mensal'!O3</f>
        <v>M13</v>
      </c>
      <c r="P7" s="216" t="str">
        <f>'📊 Base Mensal'!P3</f>
        <v>M14</v>
      </c>
      <c r="Q7" s="216" t="str">
        <f>'📊 Base Mensal'!Q3</f>
        <v>M15</v>
      </c>
      <c r="R7" s="216" t="str">
        <f>'📊 Base Mensal'!R3</f>
        <v>M16</v>
      </c>
      <c r="S7" s="216" t="str">
        <f>'📊 Base Mensal'!S3</f>
        <v>M17</v>
      </c>
      <c r="T7" s="216" t="str">
        <f>'📊 Base Mensal'!T3</f>
        <v xml:space="preserve">M18 </v>
      </c>
      <c r="U7" s="216" t="str">
        <f>'📊 Base Mensal'!U3</f>
        <v>M19</v>
      </c>
      <c r="V7" s="216" t="str">
        <f>'📊 Base Mensal'!V3</f>
        <v>M20</v>
      </c>
      <c r="W7" s="216" t="str">
        <f>'📊 Base Mensal'!W3</f>
        <v>M21</v>
      </c>
      <c r="X7" s="216" t="str">
        <f>'📊 Base Mensal'!X3</f>
        <v>M22</v>
      </c>
      <c r="Y7" s="216" t="str">
        <f>'📊 Base Mensal'!Y3</f>
        <v>M23</v>
      </c>
      <c r="Z7" s="216" t="str">
        <f>'📊 Base Mensal'!Z3</f>
        <v>M24 ★</v>
      </c>
    </row>
    <row r="8" spans="2:26" x14ac:dyDescent="0.2">
      <c r="B8" s="217" t="s">
        <v>535</v>
      </c>
      <c r="C8" s="218">
        <f>IF(C7="M01",'🎛️ Premissas'!$B$58,0)</f>
        <v>1000000</v>
      </c>
      <c r="D8" s="218">
        <f>IF(D7="M01",'🎛️ Premissas'!$B$58,0)</f>
        <v>0</v>
      </c>
      <c r="E8" s="218">
        <f>IF(E7="M01",'🎛️ Premissas'!$B$58,0)</f>
        <v>0</v>
      </c>
      <c r="F8" s="218">
        <f>IF(F7="M01",'🎛️ Premissas'!$B$58,0)</f>
        <v>0</v>
      </c>
      <c r="G8" s="218">
        <f>IF(G7="M01",'🎛️ Premissas'!$B$58,0)</f>
        <v>0</v>
      </c>
      <c r="H8" s="218">
        <f>IF(H7="M01",'🎛️ Premissas'!$B$58,0)</f>
        <v>0</v>
      </c>
      <c r="I8" s="218">
        <f>IF(I7="M01",'🎛️ Premissas'!$B$58,0)</f>
        <v>0</v>
      </c>
      <c r="J8" s="218">
        <f>IF(J7="M01",'🎛️ Premissas'!$B$58,0)</f>
        <v>0</v>
      </c>
      <c r="K8" s="218">
        <f>IF(K7="M01",'🎛️ Premissas'!$B$58,0)</f>
        <v>0</v>
      </c>
      <c r="L8" s="218">
        <f>IF(L7="M01",'🎛️ Premissas'!$B$58,0)</f>
        <v>0</v>
      </c>
      <c r="M8" s="218">
        <f>IF(M7="M01",'🎛️ Premissas'!$B$58,0)</f>
        <v>0</v>
      </c>
      <c r="N8" s="218">
        <f>IF(N7="M01",'🎛️ Premissas'!$B$58,0)</f>
        <v>0</v>
      </c>
      <c r="O8" s="218">
        <f>IF(O7="M01",'🎛️ Premissas'!$B$58,0)</f>
        <v>0</v>
      </c>
      <c r="P8" s="218">
        <f>IF(P7="M01",'🎛️ Premissas'!$B$58,0)</f>
        <v>0</v>
      </c>
      <c r="Q8" s="218">
        <f>IF(Q7="M01",'🎛️ Premissas'!$B$58,0)</f>
        <v>0</v>
      </c>
      <c r="R8" s="218">
        <f>IF(R7="M01",'🎛️ Premissas'!$B$58,0)</f>
        <v>0</v>
      </c>
      <c r="S8" s="218">
        <f>IF(S7="M01",'🎛️ Premissas'!$B$58,0)</f>
        <v>0</v>
      </c>
      <c r="T8" s="218">
        <f>IF(T7="M01",'🎛️ Premissas'!$B$58,0)</f>
        <v>0</v>
      </c>
      <c r="U8" s="218">
        <f>IF(U7="M01",'🎛️ Premissas'!$B$58,0)</f>
        <v>0</v>
      </c>
      <c r="V8" s="218">
        <f>IF(V7="M01",'🎛️ Premissas'!$B$58,0)</f>
        <v>0</v>
      </c>
      <c r="W8" s="218">
        <f>IF(W7="M01",'🎛️ Premissas'!$B$58,0)</f>
        <v>0</v>
      </c>
      <c r="X8" s="218">
        <f>IF(X7="M01",'🎛️ Premissas'!$B$58,0)</f>
        <v>0</v>
      </c>
      <c r="Y8" s="218">
        <f>IF(Y7="M01",'🎛️ Premissas'!$B$58,0)</f>
        <v>0</v>
      </c>
      <c r="Z8" s="218">
        <f>IF(Z7="M01",'🎛️ Premissas'!$B$58,0)</f>
        <v>0</v>
      </c>
    </row>
    <row r="9" spans="2:26" x14ac:dyDescent="0.2">
      <c r="B9" s="217" t="s">
        <v>536</v>
      </c>
      <c r="C9" s="218">
        <f>'📊 Base Mensal'!C24</f>
        <v>-39903.990699999995</v>
      </c>
      <c r="D9" s="218">
        <f>'📊 Base Mensal'!D24</f>
        <v>-17668.580590000005</v>
      </c>
      <c r="E9" s="218">
        <f>'📊 Base Mensal'!E24</f>
        <v>3441.7705699999933</v>
      </c>
      <c r="F9" s="218">
        <f>'📊 Base Mensal'!F24</f>
        <v>23230.937149999998</v>
      </c>
      <c r="G9" s="218">
        <f>'📊 Base Mensal'!G24</f>
        <v>41872.273489999992</v>
      </c>
      <c r="H9" s="218">
        <f>'📊 Base Mensal'!H24</f>
        <v>59384.704850000009</v>
      </c>
      <c r="I9" s="218">
        <f>'📊 Base Mensal'!I24</f>
        <v>75810.174589999981</v>
      </c>
      <c r="J9" s="218">
        <f>'📊 Base Mensal'!J24</f>
        <v>91280.09368999998</v>
      </c>
      <c r="K9" s="218">
        <f>'📊 Base Mensal'!K24</f>
        <v>105873.98957000001</v>
      </c>
      <c r="L9" s="218">
        <f>'📊 Base Mensal'!L24</f>
        <v>119610.78748999996</v>
      </c>
      <c r="M9" s="218">
        <f>'📊 Base Mensal'!M24</f>
        <v>132546.73030999998</v>
      </c>
      <c r="N9" s="218">
        <f>'📊 Base Mensal'!N24</f>
        <v>144705.10258999997</v>
      </c>
      <c r="O9" s="218">
        <f>'📊 Base Mensal'!O24</f>
        <v>144949.37427500001</v>
      </c>
      <c r="P9" s="218">
        <f>'📊 Base Mensal'!P24</f>
        <v>159453.26961500003</v>
      </c>
      <c r="Q9" s="218">
        <f>'📊 Base Mensal'!Q24</f>
        <v>173100.06699499997</v>
      </c>
      <c r="R9" s="218">
        <f>'📊 Base Mensal'!R24</f>
        <v>185983.59333500001</v>
      </c>
      <c r="S9" s="218">
        <f>'📊 Base Mensal'!S24</f>
        <v>198127.13319499991</v>
      </c>
      <c r="T9" s="218">
        <f>'📊 Base Mensal'!T24</f>
        <v>209582.57013500002</v>
      </c>
      <c r="U9" s="218">
        <f>'📊 Base Mensal'!U24</f>
        <v>220377.54801499998</v>
      </c>
      <c r="V9" s="218">
        <f>'📊 Base Mensal'!V24</f>
        <v>230563.95039500005</v>
      </c>
      <c r="W9" s="218">
        <f>'📊 Base Mensal'!W24</f>
        <v>240221.30469499997</v>
      </c>
      <c r="X9" s="218">
        <f>'📊 Base Mensal'!X24</f>
        <v>249349.61091499997</v>
      </c>
      <c r="Y9" s="218">
        <f>'📊 Base Mensal'!Y24</f>
        <v>257930.21025500001</v>
      </c>
      <c r="Z9" s="218">
        <f>'📊 Base Mensal'!Z24</f>
        <v>266098.87299499998</v>
      </c>
    </row>
    <row r="10" spans="2:26" x14ac:dyDescent="0.2">
      <c r="B10" s="219" t="s">
        <v>537</v>
      </c>
      <c r="C10" s="220">
        <f>C8+C9</f>
        <v>960096.00930000003</v>
      </c>
      <c r="D10" s="220">
        <f>C10+D8+D9</f>
        <v>942427.42871000001</v>
      </c>
      <c r="E10" s="220">
        <f t="shared" ref="E10:Z10" si="0">D10+E8+E9</f>
        <v>945869.19928000006</v>
      </c>
      <c r="F10" s="220">
        <f t="shared" si="0"/>
        <v>969100.13643000007</v>
      </c>
      <c r="G10" s="220">
        <f t="shared" si="0"/>
        <v>1010972.40992</v>
      </c>
      <c r="H10" s="220">
        <f t="shared" si="0"/>
        <v>1070357.1147700001</v>
      </c>
      <c r="I10" s="220">
        <f t="shared" si="0"/>
        <v>1146167.2893600001</v>
      </c>
      <c r="J10" s="220">
        <f t="shared" si="0"/>
        <v>1237447.3830500001</v>
      </c>
      <c r="K10" s="220">
        <f t="shared" si="0"/>
        <v>1343321.37262</v>
      </c>
      <c r="L10" s="220">
        <f t="shared" si="0"/>
        <v>1462932.1601100001</v>
      </c>
      <c r="M10" s="220">
        <f t="shared" si="0"/>
        <v>1595478.8904200001</v>
      </c>
      <c r="N10" s="220">
        <f t="shared" si="0"/>
        <v>1740183.9930100001</v>
      </c>
      <c r="O10" s="220">
        <f t="shared" si="0"/>
        <v>1885133.3672850002</v>
      </c>
      <c r="P10" s="220">
        <f t="shared" si="0"/>
        <v>2044586.6369000003</v>
      </c>
      <c r="Q10" s="220">
        <f t="shared" si="0"/>
        <v>2217686.7038950003</v>
      </c>
      <c r="R10" s="220">
        <f t="shared" si="0"/>
        <v>2403670.2972300001</v>
      </c>
      <c r="S10" s="220">
        <f t="shared" si="0"/>
        <v>2601797.4304249999</v>
      </c>
      <c r="T10" s="220">
        <f t="shared" si="0"/>
        <v>2811380.0005600001</v>
      </c>
      <c r="U10" s="220">
        <f t="shared" si="0"/>
        <v>3031757.5485749999</v>
      </c>
      <c r="V10" s="220">
        <f t="shared" si="0"/>
        <v>3262321.4989700001</v>
      </c>
      <c r="W10" s="220">
        <f t="shared" si="0"/>
        <v>3502542.803665</v>
      </c>
      <c r="X10" s="220">
        <f t="shared" si="0"/>
        <v>3751892.4145800001</v>
      </c>
      <c r="Y10" s="220">
        <f t="shared" si="0"/>
        <v>4009822.6248349999</v>
      </c>
      <c r="Z10" s="220">
        <f t="shared" si="0"/>
        <v>4275921.4978299998</v>
      </c>
    </row>
    <row r="11" spans="2:26" x14ac:dyDescent="0.2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2:26" x14ac:dyDescent="0.2">
      <c r="B12" s="84" t="s">
        <v>538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2:26" x14ac:dyDescent="0.2">
      <c r="B13" s="98" t="s">
        <v>539</v>
      </c>
      <c r="C13" s="221">
        <f>MIN(C10:Z10)</f>
        <v>942427.42871000001</v>
      </c>
      <c r="D13" s="221"/>
      <c r="E13" s="221"/>
      <c r="F13" s="221"/>
      <c r="G13" s="222" t="str">
        <f>"ocorre em "&amp;INDEX(C7:Z7,MATCH(MIN(C10:Z10),C10:Z10,0))&amp;" — "&amp;IF(MIN(C10:Z10)&gt;0,"o aporte cobre toda a curva: caixa nunca fica negativo ✅","⚠️ caixa fica negativo: rever premissas ou aporte")</f>
        <v>ocorre em M02 — o aporte cobre toda a curva: caixa nunca fica negativo ✅</v>
      </c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15"/>
      <c r="V13" s="15"/>
      <c r="W13" s="15"/>
      <c r="X13" s="15"/>
      <c r="Y13" s="15"/>
      <c r="Z13" s="15"/>
    </row>
    <row r="14" spans="2:26" x14ac:dyDescent="0.2">
      <c r="B14" s="98" t="s">
        <v>540</v>
      </c>
      <c r="C14" s="221">
        <f>Z10</f>
        <v>4275921.4978299998</v>
      </c>
      <c r="D14" s="221"/>
      <c r="E14" s="221"/>
      <c r="F14" s="221"/>
      <c r="G14" s="222" t="s">
        <v>541</v>
      </c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15"/>
      <c r="V14" s="15"/>
      <c r="W14" s="15"/>
      <c r="X14" s="15"/>
      <c r="Y14" s="15"/>
      <c r="Z14" s="15"/>
    </row>
    <row r="15" spans="2:26" x14ac:dyDescent="0.2">
      <c r="B15" s="98" t="s">
        <v>542</v>
      </c>
      <c r="C15" s="221">
        <f>IFERROR(AVERAGEIF(C9:Z9,"&lt;0"),0)</f>
        <v>-28786.285645</v>
      </c>
      <c r="D15" s="221"/>
      <c r="E15" s="221"/>
      <c r="F15" s="221"/>
      <c r="G15" s="222" t="s">
        <v>543</v>
      </c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15"/>
      <c r="V15" s="15"/>
      <c r="W15" s="15"/>
      <c r="X15" s="15"/>
      <c r="Y15" s="15"/>
      <c r="Z15" s="15"/>
    </row>
    <row r="16" spans="2:26" x14ac:dyDescent="0.2">
      <c r="B16" s="98" t="s">
        <v>544</v>
      </c>
      <c r="C16" s="223">
        <f>'🎛️ Premissas'!B58/AVERAGE('📊 Base Mensal'!C20:N20)</f>
        <v>18.181818181818183</v>
      </c>
      <c r="D16" s="223"/>
      <c r="E16" s="223"/>
      <c r="F16" s="223"/>
      <c r="G16" s="222" t="s">
        <v>545</v>
      </c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15"/>
      <c r="V16" s="15"/>
      <c r="W16" s="15"/>
      <c r="X16" s="15"/>
      <c r="Y16" s="15"/>
      <c r="Z16" s="15"/>
    </row>
    <row r="17" spans="2:26" x14ac:dyDescent="0.2">
      <c r="B17" s="98" t="s">
        <v>546</v>
      </c>
      <c r="C17" s="457" t="str" cm="1">
        <f t="array" ref="C17">IFERROR("M"&amp;MATCH(TRUE,INDEX('📊 Base Mensal'!C25:Z25&gt;0,0),0),"&gt;24m")</f>
        <v>M5</v>
      </c>
      <c r="D17" s="457"/>
      <c r="E17" s="457"/>
      <c r="F17" s="457"/>
      <c r="G17" s="222" t="s">
        <v>547</v>
      </c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15"/>
      <c r="V17" s="15"/>
      <c r="W17" s="15"/>
      <c r="X17" s="15"/>
      <c r="Y17" s="15"/>
      <c r="Z17" s="15"/>
    </row>
    <row r="18" spans="2:26" x14ac:dyDescent="0.2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2:26" x14ac:dyDescent="0.2">
      <c r="B19" s="136" t="s">
        <v>548</v>
      </c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</sheetData>
  <mergeCells count="14">
    <mergeCell ref="B3:N3"/>
    <mergeCell ref="B19:N19"/>
    <mergeCell ref="C13:F13"/>
    <mergeCell ref="C14:F14"/>
    <mergeCell ref="C15:F15"/>
    <mergeCell ref="C16:F16"/>
    <mergeCell ref="C17:F17"/>
    <mergeCell ref="G13:T13"/>
    <mergeCell ref="G14:T14"/>
    <mergeCell ref="G15:T15"/>
    <mergeCell ref="G16:T16"/>
    <mergeCell ref="G17:T17"/>
    <mergeCell ref="B6:Z6"/>
    <mergeCell ref="B12:Z1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FA0D-8CC6-CB47-92D4-DBD3FD36D199}">
  <sheetPr>
    <tabColor rgb="FF9B6A7D"/>
  </sheetPr>
  <dimension ref="B2:F32"/>
  <sheetViews>
    <sheetView showGridLines="0" topLeftCell="A11" zoomScale="150" zoomScaleNormal="150" workbookViewId="0">
      <selection activeCell="C30" sqref="C30"/>
    </sheetView>
  </sheetViews>
  <sheetFormatPr baseColWidth="10" defaultRowHeight="15" x14ac:dyDescent="0.2"/>
  <cols>
    <col min="1" max="1" width="3" customWidth="1"/>
    <col min="2" max="2" width="40" customWidth="1"/>
    <col min="3" max="4" width="16" customWidth="1"/>
    <col min="5" max="5" width="70" customWidth="1"/>
    <col min="6" max="6" width="24" customWidth="1"/>
  </cols>
  <sheetData>
    <row r="2" spans="2:6" ht="26" x14ac:dyDescent="0.3">
      <c r="B2" s="80" t="s">
        <v>549</v>
      </c>
      <c r="C2" s="15"/>
      <c r="D2" s="15"/>
      <c r="E2" s="15"/>
      <c r="F2" s="15"/>
    </row>
    <row r="3" spans="2:6" x14ac:dyDescent="0.2">
      <c r="B3" s="124" t="s">
        <v>550</v>
      </c>
      <c r="C3" s="124"/>
      <c r="D3" s="124"/>
      <c r="E3" s="124"/>
      <c r="F3" s="124"/>
    </row>
    <row r="4" spans="2:6" ht="5" customHeight="1" x14ac:dyDescent="0.2">
      <c r="B4" s="82"/>
      <c r="C4" s="82"/>
      <c r="D4" s="82"/>
      <c r="E4" s="82"/>
      <c r="F4" s="83"/>
    </row>
    <row r="5" spans="2:6" x14ac:dyDescent="0.2">
      <c r="B5" s="15"/>
      <c r="C5" s="15"/>
      <c r="D5" s="15"/>
      <c r="E5" s="15"/>
      <c r="F5" s="15"/>
    </row>
    <row r="6" spans="2:6" x14ac:dyDescent="0.2">
      <c r="B6" s="84" t="s">
        <v>551</v>
      </c>
      <c r="C6" s="84"/>
      <c r="D6" s="84"/>
      <c r="E6" s="84"/>
      <c r="F6" s="84"/>
    </row>
    <row r="7" spans="2:6" x14ac:dyDescent="0.2">
      <c r="B7" s="87" t="s">
        <v>552</v>
      </c>
      <c r="C7" s="88" t="s">
        <v>553</v>
      </c>
      <c r="D7" s="88" t="s">
        <v>554</v>
      </c>
      <c r="E7" s="87" t="s">
        <v>555</v>
      </c>
      <c r="F7" s="87" t="s">
        <v>556</v>
      </c>
    </row>
    <row r="8" spans="2:6" ht="30" customHeight="1" x14ac:dyDescent="0.2">
      <c r="B8" s="224" t="s">
        <v>557</v>
      </c>
      <c r="C8" s="225" t="s">
        <v>558</v>
      </c>
      <c r="D8" s="226" t="s">
        <v>559</v>
      </c>
      <c r="E8" s="227" t="s">
        <v>560</v>
      </c>
      <c r="F8" s="228" t="s">
        <v>561</v>
      </c>
    </row>
    <row r="9" spans="2:6" ht="30" customHeight="1" x14ac:dyDescent="0.2">
      <c r="B9" s="224" t="s">
        <v>562</v>
      </c>
      <c r="C9" s="225" t="s">
        <v>558</v>
      </c>
      <c r="D9" s="226" t="s">
        <v>559</v>
      </c>
      <c r="E9" s="227" t="s">
        <v>563</v>
      </c>
      <c r="F9" s="228" t="s">
        <v>564</v>
      </c>
    </row>
    <row r="10" spans="2:6" ht="30" customHeight="1" x14ac:dyDescent="0.2">
      <c r="B10" s="224" t="s">
        <v>565</v>
      </c>
      <c r="C10" s="225" t="s">
        <v>566</v>
      </c>
      <c r="D10" s="226" t="s">
        <v>559</v>
      </c>
      <c r="E10" s="227" t="s">
        <v>567</v>
      </c>
      <c r="F10" s="228" t="s">
        <v>568</v>
      </c>
    </row>
    <row r="11" spans="2:6" ht="30" customHeight="1" x14ac:dyDescent="0.2">
      <c r="B11" s="224" t="s">
        <v>569</v>
      </c>
      <c r="C11" s="225" t="s">
        <v>558</v>
      </c>
      <c r="D11" s="226" t="s">
        <v>570</v>
      </c>
      <c r="E11" s="227" t="s">
        <v>571</v>
      </c>
      <c r="F11" s="228" t="s">
        <v>572</v>
      </c>
    </row>
    <row r="12" spans="2:6" ht="30" customHeight="1" x14ac:dyDescent="0.2">
      <c r="B12" s="224" t="s">
        <v>573</v>
      </c>
      <c r="C12" s="226" t="s">
        <v>574</v>
      </c>
      <c r="D12" s="226" t="s">
        <v>570</v>
      </c>
      <c r="E12" s="227" t="s">
        <v>575</v>
      </c>
      <c r="F12" s="228" t="s">
        <v>576</v>
      </c>
    </row>
    <row r="13" spans="2:6" ht="30" customHeight="1" x14ac:dyDescent="0.2">
      <c r="B13" s="224" t="s">
        <v>577</v>
      </c>
      <c r="C13" s="225" t="s">
        <v>566</v>
      </c>
      <c r="D13" s="226" t="s">
        <v>559</v>
      </c>
      <c r="E13" s="227" t="s">
        <v>578</v>
      </c>
      <c r="F13" s="228" t="s">
        <v>579</v>
      </c>
    </row>
    <row r="14" spans="2:6" ht="30" customHeight="1" x14ac:dyDescent="0.2">
      <c r="B14" s="224" t="s">
        <v>580</v>
      </c>
      <c r="C14" s="225" t="s">
        <v>558</v>
      </c>
      <c r="D14" s="226" t="s">
        <v>559</v>
      </c>
      <c r="E14" s="227" t="s">
        <v>581</v>
      </c>
      <c r="F14" s="228" t="s">
        <v>582</v>
      </c>
    </row>
    <row r="15" spans="2:6" ht="30" customHeight="1" x14ac:dyDescent="0.2">
      <c r="B15" s="229" t="s">
        <v>583</v>
      </c>
      <c r="C15" s="230" t="s">
        <v>558</v>
      </c>
      <c r="D15" s="231" t="s">
        <v>570</v>
      </c>
      <c r="E15" s="232" t="s">
        <v>584</v>
      </c>
      <c r="F15" s="233" t="s">
        <v>585</v>
      </c>
    </row>
    <row r="16" spans="2:6" x14ac:dyDescent="0.2">
      <c r="B16" s="15"/>
      <c r="C16" s="15"/>
      <c r="D16" s="15"/>
      <c r="E16" s="15"/>
      <c r="F16" s="15"/>
    </row>
    <row r="17" spans="2:6" x14ac:dyDescent="0.2">
      <c r="B17" s="84" t="s">
        <v>586</v>
      </c>
      <c r="C17" s="84"/>
      <c r="D17" s="84"/>
      <c r="E17" s="84"/>
      <c r="F17" s="84"/>
    </row>
    <row r="18" spans="2:6" x14ac:dyDescent="0.2">
      <c r="B18" s="87" t="s">
        <v>587</v>
      </c>
      <c r="C18" s="143" t="s">
        <v>588</v>
      </c>
      <c r="D18" s="143"/>
      <c r="E18" s="87" t="s">
        <v>589</v>
      </c>
      <c r="F18" s="87" t="s">
        <v>590</v>
      </c>
    </row>
    <row r="19" spans="2:6" ht="30" customHeight="1" x14ac:dyDescent="0.2">
      <c r="B19" s="234" t="s">
        <v>591</v>
      </c>
      <c r="C19" s="235" t="s">
        <v>592</v>
      </c>
      <c r="D19" s="235"/>
      <c r="E19" s="227" t="s">
        <v>593</v>
      </c>
      <c r="F19" s="236" t="str">
        <f>TEXT('📊 Base Mensal'!E9,"#.##0")&amp;" pagantes no M3"</f>
        <v>1.437 pagantes no M3</v>
      </c>
    </row>
    <row r="20" spans="2:6" ht="30" customHeight="1" x14ac:dyDescent="0.2">
      <c r="B20" s="234" t="s">
        <v>594</v>
      </c>
      <c r="C20" s="235" t="s">
        <v>595</v>
      </c>
      <c r="D20" s="235"/>
      <c r="E20" s="227" t="s">
        <v>596</v>
      </c>
      <c r="F20" s="236" t="str" cm="1">
        <f t="array" ref="F20">"Breakeven de caixa em "&amp;IFERROR("M"&amp;MATCH(TRUE,INDEX('📊 Base Mensal'!C25:Z25&gt;0,0),0),"&gt;24m")</f>
        <v>Breakeven de caixa em M5</v>
      </c>
    </row>
    <row r="21" spans="2:6" ht="30" customHeight="1" x14ac:dyDescent="0.2">
      <c r="B21" s="234" t="s">
        <v>597</v>
      </c>
      <c r="C21" s="235" t="s">
        <v>598</v>
      </c>
      <c r="D21" s="235"/>
      <c r="E21" s="227" t="s">
        <v>599</v>
      </c>
      <c r="F21" s="236" t="str">
        <f>TEXT('📊 Base Mensal'!N9,"#.##0")&amp;" pagantes · MRR R$ "&amp;TEXT('📊 Base Mensal'!N11,"#.##0")&amp;" no M12"</f>
        <v>4.819 pagantes · MRR R$ 277.318 no M12</v>
      </c>
    </row>
    <row r="22" spans="2:6" ht="30" customHeight="1" x14ac:dyDescent="0.2">
      <c r="B22" s="234" t="s">
        <v>600</v>
      </c>
      <c r="C22" s="235" t="s">
        <v>601</v>
      </c>
      <c r="D22" s="235"/>
      <c r="E22" s="227" t="s">
        <v>602</v>
      </c>
      <c r="F22" s="236" t="str">
        <f>"MRR R$ "&amp;TEXT('📊 Base Mensal'!T11,"#.##0")&amp;" no M18"</f>
        <v>MRR R$ 388.429 no M18</v>
      </c>
    </row>
    <row r="23" spans="2:6" ht="30" customHeight="1" x14ac:dyDescent="0.2">
      <c r="B23" s="237" t="s">
        <v>603</v>
      </c>
      <c r="C23" s="238" t="s">
        <v>604</v>
      </c>
      <c r="D23" s="238"/>
      <c r="E23" s="232" t="s">
        <v>605</v>
      </c>
      <c r="F23" s="239" t="str">
        <f>TEXT('📊 Base Mensal'!Z9,"#.##0")&amp;" pagantes · valuation R$ "&amp;TEXT(IF('🔧 Cenário Ativo'!B2="Conservador",'📊 Resumo Cenários'!B21,IF('🔧 Cenário Ativo'!B2="Base",'📊 Resumo Cenários'!C21,'📊 Resumo Cenários'!D21))/1000000,"#.##0,0")&amp;" M"</f>
        <v>8.027 pagantes · valuation R$ 19,9 M</v>
      </c>
    </row>
    <row r="24" spans="2:6" x14ac:dyDescent="0.2">
      <c r="B24" s="15"/>
      <c r="C24" s="15"/>
      <c r="D24" s="15"/>
      <c r="E24" s="15"/>
      <c r="F24" s="15"/>
    </row>
    <row r="25" spans="2:6" x14ac:dyDescent="0.2">
      <c r="B25" s="84" t="s">
        <v>606</v>
      </c>
      <c r="C25" s="84"/>
      <c r="D25" s="84"/>
      <c r="E25" s="84"/>
      <c r="F25" s="84"/>
    </row>
    <row r="26" spans="2:6" x14ac:dyDescent="0.2">
      <c r="B26" s="87" t="s">
        <v>2</v>
      </c>
      <c r="C26" s="88" t="s">
        <v>607</v>
      </c>
      <c r="D26" s="88" t="s">
        <v>608</v>
      </c>
      <c r="E26" s="87" t="s">
        <v>609</v>
      </c>
      <c r="F26" s="15"/>
    </row>
    <row r="27" spans="2:6" x14ac:dyDescent="0.2">
      <c r="B27" s="217" t="s">
        <v>428</v>
      </c>
      <c r="C27" s="240">
        <f>'🔧 Cenário Ativo'!B56</f>
        <v>6.886103125</v>
      </c>
      <c r="D27" s="138" t="s">
        <v>610</v>
      </c>
      <c r="E27" s="241" t="str">
        <f>IF(C27&gt;=3,"✅ dentro do guard-rail","⚠️ abaixo do mínimo — frear paid e revisar funil")</f>
        <v>✅ dentro do guard-rail</v>
      </c>
      <c r="F27" s="241"/>
    </row>
    <row r="28" spans="2:6" x14ac:dyDescent="0.2">
      <c r="B28" s="217" t="s">
        <v>611</v>
      </c>
      <c r="C28" s="242">
        <f>'🔧 Cenário Ativo'!B57</f>
        <v>1.8152501891263793</v>
      </c>
      <c r="D28" s="138" t="s">
        <v>612</v>
      </c>
      <c r="E28" s="241" t="str">
        <f>IF(C28&lt;=6,"✅ dentro do guard-rail","⚠️ payback longo — revisar CAC ou preços")</f>
        <v>✅ dentro do guard-rail</v>
      </c>
      <c r="F28" s="241"/>
    </row>
    <row r="29" spans="2:6" x14ac:dyDescent="0.2">
      <c r="B29" s="217" t="s">
        <v>613</v>
      </c>
      <c r="C29" s="243">
        <f>'📊 Base Mensal'!Z26</f>
        <v>0.84939386848982212</v>
      </c>
      <c r="D29" s="138" t="s">
        <v>614</v>
      </c>
      <c r="E29" s="241" t="str">
        <f>IF(C29&gt;=0.7,"✅ dentro do guard-rail","⚠️ margem comprimida — renegociar API/repassar preço")</f>
        <v>✅ dentro do guard-rail</v>
      </c>
      <c r="F29" s="241"/>
    </row>
    <row r="30" spans="2:6" x14ac:dyDescent="0.2">
      <c r="B30" s="244" t="s">
        <v>615</v>
      </c>
      <c r="C30" s="245">
        <f>MIN('💰 Caixa &amp; Runway'!C10:Z10)</f>
        <v>942427.42871000001</v>
      </c>
      <c r="D30" s="141" t="s">
        <v>616</v>
      </c>
      <c r="E30" s="246" t="str">
        <f>IF(C30&gt;0,"✅ aporte cobre toda a curva de caixa","⚠️ caixa negativo — aumentar aporte ou cortar custo")</f>
        <v>✅ aporte cobre toda a curva de caixa</v>
      </c>
      <c r="F30" s="246"/>
    </row>
    <row r="31" spans="2:6" x14ac:dyDescent="0.2">
      <c r="B31" s="15"/>
      <c r="C31" s="15"/>
      <c r="D31" s="15"/>
      <c r="E31" s="15"/>
      <c r="F31" s="15"/>
    </row>
    <row r="32" spans="2:6" x14ac:dyDescent="0.2">
      <c r="B32" s="152" t="s">
        <v>617</v>
      </c>
      <c r="C32" s="152"/>
      <c r="D32" s="152"/>
      <c r="E32" s="152"/>
      <c r="F32" s="152"/>
    </row>
  </sheetData>
  <mergeCells count="15">
    <mergeCell ref="B6:F6"/>
    <mergeCell ref="B17:F17"/>
    <mergeCell ref="B25:F25"/>
    <mergeCell ref="B3:F3"/>
    <mergeCell ref="B32:F32"/>
    <mergeCell ref="C18:D18"/>
    <mergeCell ref="C19:D19"/>
    <mergeCell ref="C20:D20"/>
    <mergeCell ref="C21:D21"/>
    <mergeCell ref="C22:D22"/>
    <mergeCell ref="C23:D23"/>
    <mergeCell ref="E27:F27"/>
    <mergeCell ref="E28:F28"/>
    <mergeCell ref="E29:F29"/>
    <mergeCell ref="E30:F30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B6A7D"/>
  </sheetPr>
  <dimension ref="A1:C59"/>
  <sheetViews>
    <sheetView showGridLines="0" zoomScale="150" zoomScaleNormal="150" workbookViewId="0">
      <selection activeCell="B2" sqref="B2"/>
    </sheetView>
  </sheetViews>
  <sheetFormatPr baseColWidth="10" defaultColWidth="8.6640625" defaultRowHeight="15" x14ac:dyDescent="0.2"/>
  <cols>
    <col min="1" max="1" width="42" customWidth="1"/>
    <col min="2" max="2" width="20" customWidth="1"/>
    <col min="3" max="3" width="39.33203125" customWidth="1"/>
  </cols>
  <sheetData>
    <row r="1" spans="1:3" ht="39.75" customHeight="1" thickBot="1" x14ac:dyDescent="0.25">
      <c r="A1" s="247" t="s">
        <v>341</v>
      </c>
      <c r="B1" s="248"/>
      <c r="C1" s="249"/>
    </row>
    <row r="2" spans="1:3" ht="36" customHeight="1" thickBot="1" x14ac:dyDescent="0.25">
      <c r="A2" s="250" t="s">
        <v>256</v>
      </c>
      <c r="B2" s="251" t="s">
        <v>3</v>
      </c>
      <c r="C2" s="252" t="s">
        <v>15</v>
      </c>
    </row>
    <row r="3" spans="1:3" ht="19.5" customHeight="1" x14ac:dyDescent="0.2">
      <c r="A3" s="253" t="s">
        <v>16</v>
      </c>
      <c r="B3" s="254">
        <f>MATCH(B2,{"Conservador","Base","Otimista"},0)+1</f>
        <v>2</v>
      </c>
      <c r="C3" s="255"/>
    </row>
    <row r="4" spans="1:3" ht="25.5" customHeight="1" x14ac:dyDescent="0.2">
      <c r="A4" s="256" t="s">
        <v>17</v>
      </c>
      <c r="B4" s="257"/>
      <c r="C4" s="258"/>
    </row>
    <row r="5" spans="1:3" ht="21.75" customHeight="1" x14ac:dyDescent="0.2">
      <c r="A5" s="259" t="s">
        <v>18</v>
      </c>
      <c r="B5" s="260"/>
      <c r="C5" s="261"/>
    </row>
    <row r="6" spans="1:3" ht="21.75" customHeight="1" x14ac:dyDescent="0.2">
      <c r="A6" s="262" t="s">
        <v>19</v>
      </c>
      <c r="B6" s="263">
        <f>INDEX('🎛️ Premissas'!B5:D5,1,MATCH($B$2,{"Conservador","Base","Otimista"},0))</f>
        <v>39.9</v>
      </c>
      <c r="C6" s="264" t="s">
        <v>20</v>
      </c>
    </row>
    <row r="7" spans="1:3" ht="21.75" customHeight="1" x14ac:dyDescent="0.2">
      <c r="A7" s="262" t="s">
        <v>21</v>
      </c>
      <c r="B7" s="263">
        <f>INDEX('🎛️ Premissas'!B6:D6,1,MATCH($B$2,{"Conservador","Base","Otimista"},0))</f>
        <v>59.9</v>
      </c>
      <c r="C7" s="264" t="s">
        <v>22</v>
      </c>
    </row>
    <row r="8" spans="1:3" ht="21.75" customHeight="1" x14ac:dyDescent="0.2">
      <c r="A8" s="262" t="s">
        <v>23</v>
      </c>
      <c r="B8" s="263">
        <f>INDEX('🎛️ Premissas'!B7:D7,1,MATCH($B$2,{"Conservador","Base","Otimista"},0))</f>
        <v>79.900000000000006</v>
      </c>
      <c r="C8" s="264" t="s">
        <v>24</v>
      </c>
    </row>
    <row r="9" spans="1:3" ht="21.75" customHeight="1" x14ac:dyDescent="0.2">
      <c r="A9" s="265" t="s">
        <v>643</v>
      </c>
      <c r="B9" s="266">
        <f>INDEX('🎛️ Premissas'!B8:D8,1,MATCH($B$2,{"Conservador","Base","Otimista"},0))</f>
        <v>10</v>
      </c>
      <c r="C9" s="264" t="s">
        <v>644</v>
      </c>
    </row>
    <row r="10" spans="1:3" ht="21.75" customHeight="1" x14ac:dyDescent="0.2">
      <c r="A10" s="259" t="s">
        <v>25</v>
      </c>
      <c r="B10" s="260"/>
      <c r="C10" s="261"/>
    </row>
    <row r="11" spans="1:3" ht="21.75" customHeight="1" x14ac:dyDescent="0.2">
      <c r="A11" s="262" t="s">
        <v>26</v>
      </c>
      <c r="B11" s="267">
        <f>INDEX('🎛️ Premissas'!B10:D10,1,MATCH($B$2,{"Conservador","Base","Otimista"},0))</f>
        <v>5.3</v>
      </c>
      <c r="C11" s="264" t="s">
        <v>655</v>
      </c>
    </row>
    <row r="12" spans="1:3" ht="21.75" customHeight="1" x14ac:dyDescent="0.2">
      <c r="A12" s="262" t="s">
        <v>27</v>
      </c>
      <c r="B12" s="268">
        <f>INDEX('🎛️ Premissas'!B13:D13,1,MATCH($B$2,{"Conservador","Base","Otimista"},0))</f>
        <v>3</v>
      </c>
      <c r="C12" s="264" t="s">
        <v>656</v>
      </c>
    </row>
    <row r="13" spans="1:3" ht="21.75" customHeight="1" x14ac:dyDescent="0.2">
      <c r="A13" s="458" t="s">
        <v>28</v>
      </c>
      <c r="B13" s="474">
        <f>INDEX('🎛️ Premissas'!B14:D14,1,MATCH($B$2,{"Conservador","Base","Otimista"},0))</f>
        <v>15</v>
      </c>
      <c r="C13" s="264" t="s">
        <v>657</v>
      </c>
    </row>
    <row r="14" spans="1:3" ht="21.75" customHeight="1" x14ac:dyDescent="0.2">
      <c r="A14" s="460" t="s">
        <v>650</v>
      </c>
      <c r="B14" s="477">
        <f>INDEX('🎛️ Premissas'!B11:D11,1,MATCH($B$2,{"Conservador","Base","Otimista"},0))</f>
        <v>1</v>
      </c>
      <c r="C14" s="476" t="s">
        <v>652</v>
      </c>
    </row>
    <row r="15" spans="1:3" ht="21.75" customHeight="1" x14ac:dyDescent="0.2">
      <c r="A15" s="462" t="s">
        <v>651</v>
      </c>
      <c r="B15" s="478">
        <f>INDEX('🎛️ Premissas'!B12:D12,1,MATCH($B$2,{"Conservador","Base","Otimista"},0))</f>
        <v>5</v>
      </c>
      <c r="C15" s="476" t="s">
        <v>653</v>
      </c>
    </row>
    <row r="16" spans="1:3" ht="21.75" customHeight="1" x14ac:dyDescent="0.2">
      <c r="A16" s="459" t="s">
        <v>29</v>
      </c>
      <c r="B16" s="475">
        <f>INDEX('🎛️ Premissas'!B15:D15,1,MATCH($B$2,{"Conservador","Base","Otimista"},0))</f>
        <v>0.35</v>
      </c>
      <c r="C16" s="264" t="s">
        <v>658</v>
      </c>
    </row>
    <row r="17" spans="1:3" ht="21.75" customHeight="1" x14ac:dyDescent="0.2">
      <c r="A17" s="259" t="s">
        <v>30</v>
      </c>
      <c r="B17" s="260"/>
      <c r="C17" s="261"/>
    </row>
    <row r="18" spans="1:3" ht="21.75" customHeight="1" x14ac:dyDescent="0.2">
      <c r="A18" s="262" t="s">
        <v>31</v>
      </c>
      <c r="B18" s="270">
        <f>INDEX('🎛️ Premissas'!B17:D17,1,MATCH($B$2,{"Conservador","Base","Otimista"},0))</f>
        <v>50</v>
      </c>
      <c r="C18" s="264" t="s">
        <v>32</v>
      </c>
    </row>
    <row r="19" spans="1:3" ht="21.75" customHeight="1" x14ac:dyDescent="0.2">
      <c r="A19" s="262" t="s">
        <v>33</v>
      </c>
      <c r="B19" s="270">
        <f>INDEX('🎛️ Premissas'!B18:D18,1,MATCH($B$2,{"Conservador","Base","Otimista"},0))</f>
        <v>900</v>
      </c>
      <c r="C19" s="264" t="s">
        <v>34</v>
      </c>
    </row>
    <row r="20" spans="1:3" ht="21.75" customHeight="1" x14ac:dyDescent="0.2">
      <c r="A20" s="262" t="s">
        <v>35</v>
      </c>
      <c r="B20" s="270">
        <f>INDEX('🎛️ Premissas'!B19:D19,1,MATCH($B$2,{"Conservador","Base","Otimista"},0))</f>
        <v>450</v>
      </c>
      <c r="C20" s="264" t="s">
        <v>36</v>
      </c>
    </row>
    <row r="21" spans="1:3" ht="21.75" customHeight="1" x14ac:dyDescent="0.2">
      <c r="A21" s="262" t="s">
        <v>37</v>
      </c>
      <c r="B21" s="269">
        <f>INDEX('🎛️ Premissas'!B20:D20,1,MATCH($B$2,{"Conservador","Base","Otimista"},0))</f>
        <v>0.5</v>
      </c>
      <c r="C21" s="264" t="s">
        <v>38</v>
      </c>
    </row>
    <row r="22" spans="1:3" ht="21.75" customHeight="1" x14ac:dyDescent="0.2">
      <c r="A22" s="262" t="s">
        <v>39</v>
      </c>
      <c r="B22" s="270">
        <f>INDEX('🎛️ Premissas'!B21:D21,1,MATCH($B$2,{"Conservador","Base","Otimista"},0))</f>
        <v>120</v>
      </c>
      <c r="C22" s="264" t="s">
        <v>40</v>
      </c>
    </row>
    <row r="23" spans="1:3" ht="21.75" customHeight="1" x14ac:dyDescent="0.2">
      <c r="A23" s="262" t="s">
        <v>41</v>
      </c>
      <c r="B23" s="270">
        <f>INDEX('🎛️ Premissas'!B22:D22,1,MATCH($B$2,{"Conservador","Base","Otimista"},0))</f>
        <v>1200</v>
      </c>
      <c r="C23" s="264" t="s">
        <v>42</v>
      </c>
    </row>
    <row r="24" spans="1:3" ht="21.75" customHeight="1" x14ac:dyDescent="0.2">
      <c r="A24" s="262" t="s">
        <v>43</v>
      </c>
      <c r="B24" s="270">
        <f>INDEX('🎛️ Premissas'!B23:D23,1,MATCH($B$2,{"Conservador","Base","Otimista"},0))</f>
        <v>700</v>
      </c>
      <c r="C24" s="264" t="s">
        <v>44</v>
      </c>
    </row>
    <row r="25" spans="1:3" ht="21.75" customHeight="1" x14ac:dyDescent="0.2">
      <c r="A25" s="262" t="s">
        <v>45</v>
      </c>
      <c r="B25" s="270">
        <f>INDEX('🎛️ Premissas'!B25:D25,1,MATCH($B$2,{"Conservador","Base","Otimista"},0))</f>
        <v>35</v>
      </c>
      <c r="C25" s="264" t="s">
        <v>46</v>
      </c>
    </row>
    <row r="26" spans="1:3" ht="21.75" customHeight="1" x14ac:dyDescent="0.2">
      <c r="A26" s="262" t="s">
        <v>47</v>
      </c>
      <c r="B26" s="270">
        <f>INDEX('🎛️ Premissas'!B26:D26,1,MATCH($B$2,{"Conservador","Base","Otimista"},0))</f>
        <v>3000</v>
      </c>
      <c r="C26" s="264" t="s">
        <v>48</v>
      </c>
    </row>
    <row r="27" spans="1:3" ht="21.75" customHeight="1" x14ac:dyDescent="0.2">
      <c r="A27" s="262" t="s">
        <v>49</v>
      </c>
      <c r="B27" s="270">
        <f>INDEX('🎛️ Premissas'!B27:D27,1,MATCH($B$2,{"Conservador","Base","Otimista"},0))</f>
        <v>1800</v>
      </c>
      <c r="C27" s="264" t="s">
        <v>50</v>
      </c>
    </row>
    <row r="28" spans="1:3" ht="21.75" customHeight="1" x14ac:dyDescent="0.2">
      <c r="A28" s="262" t="s">
        <v>51</v>
      </c>
      <c r="B28" s="270">
        <f>INDEX('🎛️ Premissas'!B29:D29,1,MATCH($B$2,{"Conservador","Base","Otimista"},0))</f>
        <v>60</v>
      </c>
      <c r="C28" s="264" t="s">
        <v>52</v>
      </c>
    </row>
    <row r="29" spans="1:3" ht="21.75" customHeight="1" x14ac:dyDescent="0.2">
      <c r="A29" s="259" t="s">
        <v>53</v>
      </c>
      <c r="B29" s="260"/>
      <c r="C29" s="261"/>
    </row>
    <row r="30" spans="1:3" ht="21.75" customHeight="1" x14ac:dyDescent="0.2">
      <c r="A30" s="262" t="s">
        <v>54</v>
      </c>
      <c r="B30" s="270">
        <f>INDEX('🎛️ Premissas'!B31:D31,1,MATCH($B$2,{"Conservador","Base","Otimista"},0))</f>
        <v>3000</v>
      </c>
      <c r="C30" s="264" t="s">
        <v>55</v>
      </c>
    </row>
    <row r="31" spans="1:3" ht="21.75" customHeight="1" x14ac:dyDescent="0.2">
      <c r="A31" s="262" t="s">
        <v>56</v>
      </c>
      <c r="B31" s="270">
        <f>INDEX('🎛️ Premissas'!B32:D32,1,MATCH($B$2,{"Conservador","Base","Otimista"},0))</f>
        <v>3500</v>
      </c>
      <c r="C31" s="264" t="s">
        <v>57</v>
      </c>
    </row>
    <row r="32" spans="1:3" ht="21.75" customHeight="1" x14ac:dyDescent="0.2">
      <c r="A32" s="262" t="s">
        <v>58</v>
      </c>
      <c r="B32" s="269">
        <f>INDEX('🎛️ Premissas'!B33:D33,1,MATCH($B$2,{"Conservador","Base","Otimista"},0))</f>
        <v>0.1</v>
      </c>
      <c r="C32" s="264" t="s">
        <v>59</v>
      </c>
    </row>
    <row r="33" spans="1:3" ht="21.75" customHeight="1" x14ac:dyDescent="0.2">
      <c r="A33" s="262" t="s">
        <v>278</v>
      </c>
      <c r="B33" s="269">
        <f>INDEX('🎛️ Premissas'!B34:D34,1,MATCH($B$2,{"Conservador","Base","Otimista"},0))</f>
        <v>7.0000000000000007E-2</v>
      </c>
      <c r="C33" s="264" t="s">
        <v>280</v>
      </c>
    </row>
    <row r="34" spans="1:3" ht="21.75" customHeight="1" x14ac:dyDescent="0.2">
      <c r="A34" s="262" t="s">
        <v>279</v>
      </c>
      <c r="B34" s="269">
        <f>INDEX('🎛️ Premissas'!B35:D35,1,MATCH($B$2,{"Conservador","Base","Otimista"},0))</f>
        <v>0.02</v>
      </c>
      <c r="C34" s="264" t="s">
        <v>281</v>
      </c>
    </row>
    <row r="35" spans="1:3" ht="21.75" customHeight="1" x14ac:dyDescent="0.2">
      <c r="A35" s="262" t="s">
        <v>60</v>
      </c>
      <c r="B35" s="269">
        <f>INDEX('🎛️ Premissas'!B36:D36,1,MATCH($B$2,{"Conservador","Base","Otimista"},0))</f>
        <v>0.08</v>
      </c>
      <c r="C35" s="264" t="s">
        <v>61</v>
      </c>
    </row>
    <row r="36" spans="1:3" ht="21.75" customHeight="1" x14ac:dyDescent="0.2">
      <c r="A36" s="262" t="s">
        <v>62</v>
      </c>
      <c r="B36" s="269">
        <f>INDEX('🎛️ Premissas'!B37:D37,1,MATCH($B$2,{"Conservador","Base","Otimista"},0))</f>
        <v>0.05</v>
      </c>
      <c r="C36" s="264" t="s">
        <v>63</v>
      </c>
    </row>
    <row r="37" spans="1:3" ht="21.75" customHeight="1" x14ac:dyDescent="0.2">
      <c r="A37" s="262" t="s">
        <v>64</v>
      </c>
      <c r="B37" s="269">
        <f>INDEX('🎛️ Premissas'!B38:D38,1,MATCH($B$2,{"Conservador","Base","Otimista"},0))</f>
        <v>0.03</v>
      </c>
      <c r="C37" s="264" t="s">
        <v>65</v>
      </c>
    </row>
    <row r="38" spans="1:3" ht="21.75" customHeight="1" x14ac:dyDescent="0.2">
      <c r="A38" s="259" t="s">
        <v>66</v>
      </c>
      <c r="B38" s="260"/>
      <c r="C38" s="261"/>
    </row>
    <row r="39" spans="1:3" ht="21.75" customHeight="1" x14ac:dyDescent="0.2">
      <c r="A39" s="262" t="s">
        <v>67</v>
      </c>
      <c r="B39" s="271">
        <f>INDEX('🎛️ Premissas'!B40:D40,1,MATCH($B$2,{"Conservador","Base","Otimista"},0))</f>
        <v>40000</v>
      </c>
      <c r="C39" s="264" t="s">
        <v>68</v>
      </c>
    </row>
    <row r="40" spans="1:3" ht="21.75" customHeight="1" x14ac:dyDescent="0.2">
      <c r="A40" s="262" t="s">
        <v>69</v>
      </c>
      <c r="B40" s="271">
        <f>INDEX('🎛️ Premissas'!B41:D41,1,MATCH($B$2,{"Conservador","Base","Otimista"},0))</f>
        <v>50000</v>
      </c>
      <c r="C40" s="264" t="s">
        <v>70</v>
      </c>
    </row>
    <row r="41" spans="1:3" ht="21.75" customHeight="1" x14ac:dyDescent="0.2">
      <c r="A41" s="262" t="s">
        <v>71</v>
      </c>
      <c r="B41" s="271">
        <f>INDEX('🎛️ Premissas'!B42:D42,1,MATCH($B$2,{"Conservador","Base","Otimista"},0))</f>
        <v>5000</v>
      </c>
      <c r="C41" s="264" t="s">
        <v>72</v>
      </c>
    </row>
    <row r="42" spans="1:3" ht="21.75" customHeight="1" x14ac:dyDescent="0.2">
      <c r="A42" s="262" t="s">
        <v>73</v>
      </c>
      <c r="B42" s="271">
        <f>INDEX('🎛️ Premissas'!B43:D43,1,MATCH($B$2,{"Conservador","Base","Otimista"},0))</f>
        <v>7000</v>
      </c>
      <c r="C42" s="264" t="s">
        <v>74</v>
      </c>
    </row>
    <row r="43" spans="1:3" ht="21.75" customHeight="1" x14ac:dyDescent="0.2">
      <c r="A43" s="262" t="s">
        <v>75</v>
      </c>
      <c r="B43" s="271">
        <f>INDEX('🎛️ Premissas'!B44:D44,1,MATCH($B$2,{"Conservador","Base","Otimista"},0))</f>
        <v>5000</v>
      </c>
      <c r="C43" s="264" t="s">
        <v>76</v>
      </c>
    </row>
    <row r="44" spans="1:3" ht="21.75" customHeight="1" x14ac:dyDescent="0.2">
      <c r="A44" s="262" t="s">
        <v>77</v>
      </c>
      <c r="B44" s="271">
        <f>INDEX('🎛️ Premissas'!B45:D45,1,MATCH($B$2,{"Conservador","Base","Otimista"},0))</f>
        <v>8000</v>
      </c>
      <c r="C44" s="264" t="s">
        <v>78</v>
      </c>
    </row>
    <row r="45" spans="1:3" ht="21.75" customHeight="1" x14ac:dyDescent="0.2">
      <c r="A45" s="262" t="s">
        <v>79</v>
      </c>
      <c r="B45" s="271">
        <f>INDEX('🎛️ Premissas'!B46:D46,1,MATCH($B$2,{"Conservador","Base","Otimista"},0))</f>
        <v>5000</v>
      </c>
      <c r="C45" s="264" t="s">
        <v>80</v>
      </c>
    </row>
    <row r="46" spans="1:3" ht="21.75" customHeight="1" x14ac:dyDescent="0.2">
      <c r="A46" s="259" t="s">
        <v>81</v>
      </c>
      <c r="B46" s="260"/>
      <c r="C46" s="261"/>
    </row>
    <row r="47" spans="1:3" ht="21.75" customHeight="1" x14ac:dyDescent="0.2">
      <c r="A47" s="262" t="s">
        <v>82</v>
      </c>
      <c r="B47" s="271">
        <f>INDEX('🎛️ Premissas'!B48:D48,1,MATCH($B$2,{"Conservador","Base","Otimista"},0))</f>
        <v>80</v>
      </c>
      <c r="C47" s="264" t="s">
        <v>83</v>
      </c>
    </row>
    <row r="48" spans="1:3" ht="21.75" customHeight="1" x14ac:dyDescent="0.2">
      <c r="A48" s="262" t="s">
        <v>84</v>
      </c>
      <c r="B48" s="267">
        <f>INDEX('🎛️ Premissas'!B50:D50,1,MATCH($B$2,{"Conservador","Base","Otimista"},0))</f>
        <v>0.5</v>
      </c>
      <c r="C48" s="264" t="s">
        <v>85</v>
      </c>
    </row>
    <row r="49" spans="1:3" ht="21.75" customHeight="1" x14ac:dyDescent="0.2">
      <c r="A49" s="259" t="s">
        <v>86</v>
      </c>
      <c r="B49" s="260"/>
      <c r="C49" s="261"/>
    </row>
    <row r="50" spans="1:3" ht="21.75" customHeight="1" thickBot="1" x14ac:dyDescent="0.25">
      <c r="A50" s="272" t="s">
        <v>87</v>
      </c>
      <c r="B50" s="270">
        <f>INDEX('🎛️ Premissas'!B52:D52,1,MATCH($B$2,{"Conservador","Base","Otimista"},0))</f>
        <v>3</v>
      </c>
      <c r="C50" s="273" t="s">
        <v>88</v>
      </c>
    </row>
    <row r="51" spans="1:3" x14ac:dyDescent="0.2">
      <c r="A51" s="274" t="s">
        <v>315</v>
      </c>
      <c r="B51" s="275"/>
      <c r="C51" s="276"/>
    </row>
    <row r="52" spans="1:3" x14ac:dyDescent="0.2">
      <c r="A52" s="277" t="s">
        <v>258</v>
      </c>
      <c r="B52" s="6">
        <f>B22*(B23/1000000*B12+B24/1000000*B13)*(1-B16)*B11</f>
        <v>5.8289400000000002</v>
      </c>
      <c r="C52" s="278" t="s">
        <v>259</v>
      </c>
    </row>
    <row r="53" spans="1:3" x14ac:dyDescent="0.2">
      <c r="A53" s="277" t="s">
        <v>260</v>
      </c>
      <c r="B53" s="6">
        <f>B6+B9-B52</f>
        <v>44.071059999999996</v>
      </c>
      <c r="C53" s="278" t="s">
        <v>645</v>
      </c>
    </row>
    <row r="54" spans="1:3" x14ac:dyDescent="0.2">
      <c r="A54" s="277" t="s">
        <v>261</v>
      </c>
      <c r="B54" s="7">
        <f>1/B35</f>
        <v>12.5</v>
      </c>
      <c r="C54" s="278" t="s">
        <v>8</v>
      </c>
    </row>
    <row r="55" spans="1:3" x14ac:dyDescent="0.2">
      <c r="A55" s="277" t="s">
        <v>9</v>
      </c>
      <c r="B55" s="8">
        <f>B53*B54</f>
        <v>550.88824999999997</v>
      </c>
      <c r="C55" s="278" t="s">
        <v>10</v>
      </c>
    </row>
    <row r="56" spans="1:3" x14ac:dyDescent="0.2">
      <c r="A56" s="277" t="s">
        <v>11</v>
      </c>
      <c r="B56" s="9">
        <f>IFERROR(B55/B47,0)</f>
        <v>6.886103125</v>
      </c>
      <c r="C56" s="278" t="s">
        <v>12</v>
      </c>
    </row>
    <row r="57" spans="1:3" x14ac:dyDescent="0.2">
      <c r="A57" s="279" t="s">
        <v>13</v>
      </c>
      <c r="B57" s="10">
        <f>IFERROR(B47/B53,0)</f>
        <v>1.8152501891263793</v>
      </c>
      <c r="C57" s="280" t="s">
        <v>262</v>
      </c>
    </row>
    <row r="58" spans="1:3" x14ac:dyDescent="0.2">
      <c r="A58" s="259" t="s">
        <v>314</v>
      </c>
      <c r="B58" s="260"/>
      <c r="C58" s="261"/>
    </row>
    <row r="59" spans="1:3" ht="16" thickBot="1" x14ac:dyDescent="0.25">
      <c r="A59" s="281" t="s">
        <v>303</v>
      </c>
      <c r="B59" s="282">
        <f>IF($B$2="Conservador",'🎛️ Premissas'!B70,IF($B$2="Base",'🎛️ Premissas'!C70,'🎛️ Premissas'!D70))</f>
        <v>0.13</v>
      </c>
      <c r="C59" s="283" t="s">
        <v>311</v>
      </c>
    </row>
  </sheetData>
  <mergeCells count="11">
    <mergeCell ref="A58:C58"/>
    <mergeCell ref="A51:C51"/>
    <mergeCell ref="A29:C29"/>
    <mergeCell ref="A38:C38"/>
    <mergeCell ref="A46:C46"/>
    <mergeCell ref="A49:C49"/>
    <mergeCell ref="A1:C1"/>
    <mergeCell ref="A4:C4"/>
    <mergeCell ref="A5:C5"/>
    <mergeCell ref="A10:C10"/>
    <mergeCell ref="A17:C17"/>
  </mergeCells>
  <dataValidations count="1">
    <dataValidation type="list" errorTitle="Cenário inválido" error="Escolha: Conservador, Base ou Otimista" promptTitle="Cenário" prompt="Selecione o cenário: Conservador, Base ou Otimista" sqref="B2" xr:uid="{00000000-0002-0000-0100-000000000000}">
      <formula1>"Conservador,Base,Otimista"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8497"/>
  </sheetPr>
  <dimension ref="A1:G70"/>
  <sheetViews>
    <sheetView showGridLines="0" zoomScale="150" zoomScaleNormal="150" workbookViewId="0">
      <selection sqref="A1:E1"/>
    </sheetView>
  </sheetViews>
  <sheetFormatPr baseColWidth="10" defaultColWidth="8.6640625" defaultRowHeight="15" x14ac:dyDescent="0.2"/>
  <cols>
    <col min="1" max="1" width="42" customWidth="1"/>
    <col min="2" max="4" width="16" customWidth="1"/>
    <col min="5" max="5" width="24.5" customWidth="1"/>
  </cols>
  <sheetData>
    <row r="1" spans="1:7" ht="39.75" customHeight="1" x14ac:dyDescent="0.2">
      <c r="A1" s="284" t="s">
        <v>654</v>
      </c>
      <c r="B1" s="285"/>
      <c r="C1" s="285"/>
      <c r="D1" s="285"/>
      <c r="E1" s="286"/>
      <c r="F1" s="287"/>
      <c r="G1" s="15"/>
    </row>
    <row r="2" spans="1:7" ht="21.75" customHeight="1" x14ac:dyDescent="0.2">
      <c r="A2" s="479" t="s">
        <v>89</v>
      </c>
      <c r="B2" s="288" t="s">
        <v>90</v>
      </c>
      <c r="C2" s="289" t="s">
        <v>385</v>
      </c>
      <c r="D2" s="15"/>
      <c r="E2" s="255"/>
      <c r="F2" s="15"/>
      <c r="G2" s="15"/>
    </row>
    <row r="3" spans="1:7" ht="27.75" customHeight="1" x14ac:dyDescent="0.2">
      <c r="A3" s="290" t="s">
        <v>335</v>
      </c>
      <c r="B3" s="291" t="s">
        <v>3</v>
      </c>
      <c r="C3" s="292" t="s">
        <v>4</v>
      </c>
      <c r="D3" s="292" t="s">
        <v>5</v>
      </c>
      <c r="E3" s="293" t="s">
        <v>336</v>
      </c>
      <c r="F3" s="15"/>
      <c r="G3" s="15"/>
    </row>
    <row r="4" spans="1:7" ht="25.5" customHeight="1" x14ac:dyDescent="0.2">
      <c r="A4" s="294" t="s">
        <v>91</v>
      </c>
      <c r="B4" s="295"/>
      <c r="C4" s="295"/>
      <c r="D4" s="295"/>
      <c r="E4" s="296"/>
      <c r="F4" s="15"/>
      <c r="G4" s="15"/>
    </row>
    <row r="5" spans="1:7" ht="21.75" customHeight="1" x14ac:dyDescent="0.2">
      <c r="A5" s="262" t="s">
        <v>19</v>
      </c>
      <c r="B5" s="297">
        <v>39.9</v>
      </c>
      <c r="C5" s="298">
        <v>39.9</v>
      </c>
      <c r="D5" s="298">
        <v>39.9</v>
      </c>
      <c r="E5" s="299" t="s">
        <v>253</v>
      </c>
      <c r="F5" s="15"/>
      <c r="G5" s="15"/>
    </row>
    <row r="6" spans="1:7" ht="21.75" customHeight="1" x14ac:dyDescent="0.2">
      <c r="A6" s="262" t="s">
        <v>21</v>
      </c>
      <c r="B6" s="297">
        <v>59.9</v>
      </c>
      <c r="C6" s="298">
        <v>59.9</v>
      </c>
      <c r="D6" s="298">
        <v>62.9</v>
      </c>
      <c r="E6" s="299" t="s">
        <v>92</v>
      </c>
      <c r="F6" s="15"/>
      <c r="G6" s="15"/>
    </row>
    <row r="7" spans="1:7" ht="21.75" customHeight="1" x14ac:dyDescent="0.2">
      <c r="A7" s="262" t="s">
        <v>23</v>
      </c>
      <c r="B7" s="297">
        <v>79.900000000000006</v>
      </c>
      <c r="C7" s="298">
        <v>79.900000000000006</v>
      </c>
      <c r="D7" s="298">
        <v>79.900000000000006</v>
      </c>
      <c r="E7" s="299" t="s">
        <v>93</v>
      </c>
      <c r="F7" s="15"/>
      <c r="G7" s="15"/>
    </row>
    <row r="8" spans="1:7" ht="21.75" customHeight="1" x14ac:dyDescent="0.2">
      <c r="A8" s="265" t="s">
        <v>642</v>
      </c>
      <c r="B8" s="300">
        <v>10</v>
      </c>
      <c r="C8" s="301">
        <v>10</v>
      </c>
      <c r="D8" s="301">
        <v>10</v>
      </c>
      <c r="E8" s="302"/>
      <c r="F8" s="15"/>
      <c r="G8" s="15"/>
    </row>
    <row r="9" spans="1:7" ht="25.5" customHeight="1" x14ac:dyDescent="0.2">
      <c r="A9" s="294" t="s">
        <v>337</v>
      </c>
      <c r="B9" s="295"/>
      <c r="C9" s="295"/>
      <c r="D9" s="295"/>
      <c r="E9" s="296"/>
    </row>
    <row r="10" spans="1:7" ht="21.75" customHeight="1" x14ac:dyDescent="0.2">
      <c r="A10" s="458" t="s">
        <v>26</v>
      </c>
      <c r="B10" s="461">
        <v>5.3</v>
      </c>
      <c r="C10" s="465">
        <v>5.3</v>
      </c>
      <c r="D10" s="465">
        <v>5.3</v>
      </c>
      <c r="E10" s="471" t="s">
        <v>94</v>
      </c>
    </row>
    <row r="11" spans="1:7" ht="21.75" customHeight="1" x14ac:dyDescent="0.2">
      <c r="A11" s="460" t="s">
        <v>344</v>
      </c>
      <c r="B11" s="464">
        <v>1</v>
      </c>
      <c r="C11" s="468">
        <v>1</v>
      </c>
      <c r="D11" s="468">
        <v>1</v>
      </c>
      <c r="E11" s="472" t="s">
        <v>649</v>
      </c>
    </row>
    <row r="12" spans="1:7" ht="21.75" customHeight="1" x14ac:dyDescent="0.2">
      <c r="A12" s="462" t="s">
        <v>345</v>
      </c>
      <c r="B12" s="466">
        <v>5</v>
      </c>
      <c r="C12" s="469">
        <v>5</v>
      </c>
      <c r="D12" s="469">
        <v>5</v>
      </c>
      <c r="E12" s="470" t="s">
        <v>649</v>
      </c>
    </row>
    <row r="13" spans="1:7" ht="21.75" customHeight="1" x14ac:dyDescent="0.2">
      <c r="A13" s="459" t="s">
        <v>95</v>
      </c>
      <c r="B13" s="463">
        <v>3</v>
      </c>
      <c r="C13" s="467">
        <v>3</v>
      </c>
      <c r="D13" s="467">
        <v>3</v>
      </c>
      <c r="E13" s="473" t="s">
        <v>96</v>
      </c>
    </row>
    <row r="14" spans="1:7" ht="21.75" customHeight="1" x14ac:dyDescent="0.2">
      <c r="A14" s="262" t="s">
        <v>97</v>
      </c>
      <c r="B14" s="303">
        <v>15</v>
      </c>
      <c r="C14" s="304">
        <v>15</v>
      </c>
      <c r="D14" s="304">
        <v>15</v>
      </c>
      <c r="E14" s="299" t="s">
        <v>96</v>
      </c>
    </row>
    <row r="15" spans="1:7" ht="21.75" customHeight="1" x14ac:dyDescent="0.2">
      <c r="A15" s="262" t="s">
        <v>98</v>
      </c>
      <c r="B15" s="305">
        <v>0.35</v>
      </c>
      <c r="C15" s="306">
        <v>0.4</v>
      </c>
      <c r="D15" s="306">
        <v>0.45</v>
      </c>
      <c r="E15" s="299" t="s">
        <v>99</v>
      </c>
      <c r="F15" s="15"/>
      <c r="G15" s="15"/>
    </row>
    <row r="16" spans="1:7" ht="25.5" customHeight="1" x14ac:dyDescent="0.2">
      <c r="A16" s="294" t="s">
        <v>100</v>
      </c>
      <c r="B16" s="295"/>
      <c r="C16" s="295"/>
      <c r="D16" s="295"/>
      <c r="E16" s="296"/>
      <c r="F16" s="15"/>
      <c r="G16" s="15"/>
    </row>
    <row r="17" spans="1:7" ht="21.75" customHeight="1" x14ac:dyDescent="0.2">
      <c r="A17" s="262" t="s">
        <v>101</v>
      </c>
      <c r="B17" s="307">
        <v>50</v>
      </c>
      <c r="C17" s="308">
        <v>50</v>
      </c>
      <c r="D17" s="308">
        <v>50</v>
      </c>
      <c r="E17" s="299" t="s">
        <v>102</v>
      </c>
      <c r="F17" s="15"/>
      <c r="G17" s="15"/>
    </row>
    <row r="18" spans="1:7" ht="21.75" customHeight="1" x14ac:dyDescent="0.2">
      <c r="A18" s="262" t="s">
        <v>103</v>
      </c>
      <c r="B18" s="307">
        <v>900</v>
      </c>
      <c r="C18" s="308">
        <v>900</v>
      </c>
      <c r="D18" s="308">
        <v>900</v>
      </c>
      <c r="E18" s="299" t="s">
        <v>104</v>
      </c>
      <c r="F18" s="15"/>
      <c r="G18" s="15"/>
    </row>
    <row r="19" spans="1:7" ht="21.75" customHeight="1" x14ac:dyDescent="0.2">
      <c r="A19" s="262" t="s">
        <v>105</v>
      </c>
      <c r="B19" s="307">
        <v>450</v>
      </c>
      <c r="C19" s="308">
        <v>450</v>
      </c>
      <c r="D19" s="308">
        <v>450</v>
      </c>
      <c r="E19" s="299" t="s">
        <v>106</v>
      </c>
      <c r="F19" s="15"/>
      <c r="G19" s="15"/>
    </row>
    <row r="20" spans="1:7" ht="21.75" customHeight="1" x14ac:dyDescent="0.2">
      <c r="A20" s="262" t="s">
        <v>107</v>
      </c>
      <c r="B20" s="305">
        <v>0.5</v>
      </c>
      <c r="C20" s="306">
        <v>0.5</v>
      </c>
      <c r="D20" s="306">
        <v>0.5</v>
      </c>
      <c r="E20" s="299" t="s">
        <v>108</v>
      </c>
      <c r="F20" s="15"/>
      <c r="G20" s="15"/>
    </row>
    <row r="21" spans="1:7" ht="21.75" customHeight="1" x14ac:dyDescent="0.2">
      <c r="A21" s="262" t="s">
        <v>109</v>
      </c>
      <c r="B21" s="307">
        <v>120</v>
      </c>
      <c r="C21" s="308">
        <v>140</v>
      </c>
      <c r="D21" s="308">
        <v>180</v>
      </c>
      <c r="E21" s="299" t="s">
        <v>110</v>
      </c>
      <c r="F21" s="15"/>
      <c r="G21" s="15"/>
    </row>
    <row r="22" spans="1:7" ht="21.75" customHeight="1" x14ac:dyDescent="0.2">
      <c r="A22" s="262" t="s">
        <v>111</v>
      </c>
      <c r="B22" s="307">
        <v>1200</v>
      </c>
      <c r="C22" s="308">
        <v>1400</v>
      </c>
      <c r="D22" s="308">
        <v>1800</v>
      </c>
      <c r="E22" s="299" t="s">
        <v>112</v>
      </c>
      <c r="F22" s="15"/>
      <c r="G22" s="15"/>
    </row>
    <row r="23" spans="1:7" ht="21.75" customHeight="1" x14ac:dyDescent="0.2">
      <c r="A23" s="262" t="s">
        <v>113</v>
      </c>
      <c r="B23" s="307">
        <v>700</v>
      </c>
      <c r="C23" s="308">
        <v>700</v>
      </c>
      <c r="D23" s="308">
        <v>700</v>
      </c>
      <c r="E23" s="299" t="s">
        <v>114</v>
      </c>
      <c r="F23" s="15"/>
      <c r="G23" s="15"/>
    </row>
    <row r="24" spans="1:7" ht="21.75" customHeight="1" x14ac:dyDescent="0.2">
      <c r="A24" s="262" t="s">
        <v>115</v>
      </c>
      <c r="B24" s="307">
        <v>140</v>
      </c>
      <c r="C24" s="308">
        <v>140</v>
      </c>
      <c r="D24" s="308">
        <v>140</v>
      </c>
      <c r="E24" s="299" t="s">
        <v>116</v>
      </c>
      <c r="F24" s="15"/>
      <c r="G24" s="15"/>
    </row>
    <row r="25" spans="1:7" ht="21.75" customHeight="1" x14ac:dyDescent="0.2">
      <c r="A25" s="262" t="s">
        <v>45</v>
      </c>
      <c r="B25" s="307">
        <v>35</v>
      </c>
      <c r="C25" s="308">
        <v>45</v>
      </c>
      <c r="D25" s="308">
        <v>60</v>
      </c>
      <c r="E25" s="299" t="s">
        <v>117</v>
      </c>
      <c r="F25" s="15"/>
      <c r="G25" s="15"/>
    </row>
    <row r="26" spans="1:7" ht="21.75" customHeight="1" x14ac:dyDescent="0.2">
      <c r="A26" s="262" t="s">
        <v>118</v>
      </c>
      <c r="B26" s="307">
        <v>3000</v>
      </c>
      <c r="C26" s="308">
        <v>3000</v>
      </c>
      <c r="D26" s="308">
        <v>3000</v>
      </c>
      <c r="E26" s="299" t="s">
        <v>119</v>
      </c>
      <c r="F26" s="15"/>
      <c r="G26" s="15"/>
    </row>
    <row r="27" spans="1:7" ht="21.75" customHeight="1" x14ac:dyDescent="0.2">
      <c r="A27" s="262" t="s">
        <v>120</v>
      </c>
      <c r="B27" s="307">
        <v>1800</v>
      </c>
      <c r="C27" s="308">
        <v>1800</v>
      </c>
      <c r="D27" s="308">
        <v>1800</v>
      </c>
      <c r="E27" s="299" t="s">
        <v>121</v>
      </c>
      <c r="F27" s="15"/>
      <c r="G27" s="15"/>
    </row>
    <row r="28" spans="1:7" ht="21.75" customHeight="1" x14ac:dyDescent="0.2">
      <c r="A28" s="262" t="s">
        <v>122</v>
      </c>
      <c r="B28" s="307">
        <v>140</v>
      </c>
      <c r="C28" s="308">
        <v>140</v>
      </c>
      <c r="D28" s="308">
        <v>140</v>
      </c>
      <c r="E28" s="299" t="s">
        <v>116</v>
      </c>
      <c r="F28" s="15"/>
      <c r="G28" s="15"/>
    </row>
    <row r="29" spans="1:7" ht="21.75" customHeight="1" x14ac:dyDescent="0.2">
      <c r="A29" s="262" t="s">
        <v>123</v>
      </c>
      <c r="B29" s="307">
        <v>60</v>
      </c>
      <c r="C29" s="308">
        <v>80</v>
      </c>
      <c r="D29" s="308">
        <v>100</v>
      </c>
      <c r="E29" s="299" t="s">
        <v>124</v>
      </c>
      <c r="F29" s="15"/>
      <c r="G29" s="15"/>
    </row>
    <row r="30" spans="1:7" ht="25.5" customHeight="1" x14ac:dyDescent="0.2">
      <c r="A30" s="294" t="s">
        <v>125</v>
      </c>
      <c r="B30" s="295"/>
      <c r="C30" s="295"/>
      <c r="D30" s="295"/>
      <c r="E30" s="296"/>
      <c r="F30" s="15"/>
      <c r="G30" s="15"/>
    </row>
    <row r="31" spans="1:7" ht="21.75" customHeight="1" x14ac:dyDescent="0.2">
      <c r="A31" s="262" t="s">
        <v>126</v>
      </c>
      <c r="B31" s="307">
        <v>3000</v>
      </c>
      <c r="C31" s="308">
        <v>3500</v>
      </c>
      <c r="D31" s="308">
        <v>4000</v>
      </c>
      <c r="E31" s="299" t="s">
        <v>127</v>
      </c>
      <c r="F31" s="15"/>
      <c r="G31" s="15"/>
    </row>
    <row r="32" spans="1:7" ht="21.75" customHeight="1" x14ac:dyDescent="0.2">
      <c r="A32" s="262" t="s">
        <v>128</v>
      </c>
      <c r="B32" s="307">
        <v>3500</v>
      </c>
      <c r="C32" s="308">
        <v>4000</v>
      </c>
      <c r="D32" s="308">
        <v>4500</v>
      </c>
      <c r="E32" s="299" t="s">
        <v>129</v>
      </c>
      <c r="F32" s="15"/>
      <c r="G32" s="15"/>
    </row>
    <row r="33" spans="1:7" ht="21.75" customHeight="1" x14ac:dyDescent="0.2">
      <c r="A33" s="262" t="s">
        <v>130</v>
      </c>
      <c r="B33" s="305">
        <v>0.1</v>
      </c>
      <c r="C33" s="306">
        <v>0.15</v>
      </c>
      <c r="D33" s="306">
        <v>0.2</v>
      </c>
      <c r="E33" s="299" t="s">
        <v>131</v>
      </c>
      <c r="F33" s="15"/>
      <c r="G33" s="15"/>
    </row>
    <row r="34" spans="1:7" ht="21.75" customHeight="1" x14ac:dyDescent="0.2">
      <c r="A34" s="262" t="s">
        <v>251</v>
      </c>
      <c r="B34" s="305">
        <v>7.0000000000000007E-2</v>
      </c>
      <c r="C34" s="306">
        <v>7.0000000000000007E-2</v>
      </c>
      <c r="D34" s="306">
        <v>7.0000000000000007E-2</v>
      </c>
      <c r="E34" s="299" t="s">
        <v>132</v>
      </c>
      <c r="F34" s="15"/>
      <c r="G34" s="15"/>
    </row>
    <row r="35" spans="1:7" ht="21.75" customHeight="1" x14ac:dyDescent="0.2">
      <c r="A35" s="262" t="s">
        <v>252</v>
      </c>
      <c r="B35" s="305">
        <v>0.02</v>
      </c>
      <c r="C35" s="306">
        <v>0.03</v>
      </c>
      <c r="D35" s="306">
        <v>0.03</v>
      </c>
      <c r="E35" s="299" t="s">
        <v>133</v>
      </c>
      <c r="F35" s="15"/>
      <c r="G35" s="15"/>
    </row>
    <row r="36" spans="1:7" ht="21.75" customHeight="1" x14ac:dyDescent="0.2">
      <c r="A36" s="262" t="s">
        <v>134</v>
      </c>
      <c r="B36" s="305">
        <v>0.08</v>
      </c>
      <c r="C36" s="306">
        <v>7.0000000000000007E-2</v>
      </c>
      <c r="D36" s="306">
        <v>0.05</v>
      </c>
      <c r="E36" s="299" t="s">
        <v>135</v>
      </c>
      <c r="F36" s="15"/>
      <c r="G36" s="15"/>
    </row>
    <row r="37" spans="1:7" ht="21.75" customHeight="1" x14ac:dyDescent="0.2">
      <c r="A37" s="262" t="s">
        <v>136</v>
      </c>
      <c r="B37" s="305">
        <v>0.05</v>
      </c>
      <c r="C37" s="306">
        <v>0.05</v>
      </c>
      <c r="D37" s="306">
        <v>0.06</v>
      </c>
      <c r="E37" s="299" t="s">
        <v>137</v>
      </c>
      <c r="F37" s="15"/>
      <c r="G37" s="15"/>
    </row>
    <row r="38" spans="1:7" ht="21.75" customHeight="1" x14ac:dyDescent="0.2">
      <c r="A38" s="262" t="s">
        <v>138</v>
      </c>
      <c r="B38" s="305">
        <v>0.03</v>
      </c>
      <c r="C38" s="306">
        <v>0.03</v>
      </c>
      <c r="D38" s="306">
        <v>0.02</v>
      </c>
      <c r="E38" s="299" t="s">
        <v>139</v>
      </c>
      <c r="F38" s="15"/>
      <c r="G38" s="15"/>
    </row>
    <row r="39" spans="1:7" ht="25.5" customHeight="1" x14ac:dyDescent="0.2">
      <c r="A39" s="294" t="s">
        <v>140</v>
      </c>
      <c r="B39" s="295"/>
      <c r="C39" s="295"/>
      <c r="D39" s="295"/>
      <c r="E39" s="296"/>
      <c r="F39" s="15"/>
      <c r="G39" s="15"/>
    </row>
    <row r="40" spans="1:7" ht="21.75" customHeight="1" x14ac:dyDescent="0.2">
      <c r="A40" s="262" t="s">
        <v>141</v>
      </c>
      <c r="B40" s="309">
        <v>40000</v>
      </c>
      <c r="C40" s="310">
        <v>45000</v>
      </c>
      <c r="D40" s="310">
        <v>50000</v>
      </c>
      <c r="E40" s="299" t="s">
        <v>142</v>
      </c>
      <c r="F40" s="15"/>
      <c r="G40" s="15"/>
    </row>
    <row r="41" spans="1:7" ht="21.75" customHeight="1" x14ac:dyDescent="0.2">
      <c r="A41" s="262" t="s">
        <v>143</v>
      </c>
      <c r="B41" s="309">
        <v>50000</v>
      </c>
      <c r="C41" s="310">
        <v>60000</v>
      </c>
      <c r="D41" s="310">
        <v>70000</v>
      </c>
      <c r="E41" s="299" t="s">
        <v>144</v>
      </c>
      <c r="F41" s="15"/>
      <c r="G41" s="15"/>
    </row>
    <row r="42" spans="1:7" ht="21.75" customHeight="1" x14ac:dyDescent="0.2">
      <c r="A42" s="262" t="s">
        <v>145</v>
      </c>
      <c r="B42" s="309">
        <v>5000</v>
      </c>
      <c r="C42" s="310">
        <v>6000</v>
      </c>
      <c r="D42" s="310">
        <v>8000</v>
      </c>
      <c r="E42" s="299" t="s">
        <v>146</v>
      </c>
      <c r="F42" s="15"/>
      <c r="G42" s="15"/>
    </row>
    <row r="43" spans="1:7" ht="21.75" customHeight="1" x14ac:dyDescent="0.2">
      <c r="A43" s="262" t="s">
        <v>147</v>
      </c>
      <c r="B43" s="309">
        <v>7000</v>
      </c>
      <c r="C43" s="310">
        <v>8000</v>
      </c>
      <c r="D43" s="310">
        <v>10000</v>
      </c>
      <c r="E43" s="299" t="s">
        <v>148</v>
      </c>
      <c r="F43" s="15"/>
      <c r="G43" s="15"/>
    </row>
    <row r="44" spans="1:7" ht="21.75" customHeight="1" x14ac:dyDescent="0.2">
      <c r="A44" s="262" t="s">
        <v>149</v>
      </c>
      <c r="B44" s="309">
        <v>5000</v>
      </c>
      <c r="C44" s="310">
        <v>6000</v>
      </c>
      <c r="D44" s="310">
        <v>8000</v>
      </c>
      <c r="E44" s="299" t="s">
        <v>150</v>
      </c>
      <c r="F44" s="15"/>
      <c r="G44" s="15"/>
    </row>
    <row r="45" spans="1:7" ht="21.75" customHeight="1" x14ac:dyDescent="0.2">
      <c r="A45" s="262" t="s">
        <v>151</v>
      </c>
      <c r="B45" s="309">
        <v>8000</v>
      </c>
      <c r="C45" s="310">
        <v>10000</v>
      </c>
      <c r="D45" s="310">
        <v>15000</v>
      </c>
      <c r="E45" s="299" t="s">
        <v>152</v>
      </c>
      <c r="F45" s="15"/>
      <c r="G45" s="15"/>
    </row>
    <row r="46" spans="1:7" ht="21.75" customHeight="1" x14ac:dyDescent="0.2">
      <c r="A46" s="262" t="s">
        <v>153</v>
      </c>
      <c r="B46" s="309">
        <v>5000</v>
      </c>
      <c r="C46" s="310">
        <v>6000</v>
      </c>
      <c r="D46" s="310">
        <v>8000</v>
      </c>
      <c r="E46" s="299" t="s">
        <v>154</v>
      </c>
      <c r="F46" s="15"/>
      <c r="G46" s="15"/>
    </row>
    <row r="47" spans="1:7" ht="25.5" customHeight="1" x14ac:dyDescent="0.2">
      <c r="A47" s="294" t="s">
        <v>155</v>
      </c>
      <c r="B47" s="295"/>
      <c r="C47" s="295"/>
      <c r="D47" s="295"/>
      <c r="E47" s="296"/>
      <c r="F47" s="15"/>
      <c r="G47" s="15"/>
    </row>
    <row r="48" spans="1:7" ht="21.75" customHeight="1" x14ac:dyDescent="0.2">
      <c r="A48" s="262" t="s">
        <v>156</v>
      </c>
      <c r="B48" s="309">
        <v>80</v>
      </c>
      <c r="C48" s="310">
        <v>60</v>
      </c>
      <c r="D48" s="310">
        <v>60</v>
      </c>
      <c r="E48" s="299" t="s">
        <v>157</v>
      </c>
      <c r="F48" s="15"/>
      <c r="G48" s="15"/>
    </row>
    <row r="49" spans="1:7" ht="21.75" customHeight="1" x14ac:dyDescent="0.2">
      <c r="A49" s="262" t="s">
        <v>158</v>
      </c>
      <c r="B49" s="309">
        <v>27</v>
      </c>
      <c r="C49" s="310">
        <v>25</v>
      </c>
      <c r="D49" s="310">
        <v>20</v>
      </c>
      <c r="E49" s="299" t="s">
        <v>159</v>
      </c>
      <c r="F49" s="15"/>
      <c r="G49" s="15"/>
    </row>
    <row r="50" spans="1:7" ht="21.75" customHeight="1" x14ac:dyDescent="0.2">
      <c r="A50" s="262" t="s">
        <v>84</v>
      </c>
      <c r="B50" s="305">
        <v>0.5</v>
      </c>
      <c r="C50" s="306">
        <v>0.45</v>
      </c>
      <c r="D50" s="306">
        <v>0.4</v>
      </c>
      <c r="E50" s="299" t="s">
        <v>160</v>
      </c>
      <c r="F50" s="15"/>
      <c r="G50" s="15"/>
    </row>
    <row r="51" spans="1:7" ht="25.5" customHeight="1" x14ac:dyDescent="0.2">
      <c r="A51" s="294" t="s">
        <v>304</v>
      </c>
      <c r="B51" s="295"/>
      <c r="C51" s="295"/>
      <c r="D51" s="295"/>
      <c r="E51" s="296"/>
      <c r="F51" s="15"/>
      <c r="G51" s="15"/>
    </row>
    <row r="52" spans="1:7" ht="28" customHeight="1" x14ac:dyDescent="0.2">
      <c r="A52" s="262" t="s">
        <v>305</v>
      </c>
      <c r="B52" s="311">
        <v>3</v>
      </c>
      <c r="C52" s="312">
        <v>5</v>
      </c>
      <c r="D52" s="312">
        <v>7</v>
      </c>
      <c r="E52" s="299" t="s">
        <v>306</v>
      </c>
      <c r="F52" s="15"/>
      <c r="G52" s="15"/>
    </row>
    <row r="53" spans="1:7" x14ac:dyDescent="0.2">
      <c r="A53" s="313" t="s">
        <v>161</v>
      </c>
      <c r="B53" s="314"/>
      <c r="C53" s="314"/>
      <c r="D53" s="314"/>
      <c r="E53" s="315"/>
      <c r="F53" s="15"/>
      <c r="G53" s="15"/>
    </row>
    <row r="54" spans="1:7" x14ac:dyDescent="0.2">
      <c r="A54" s="316"/>
      <c r="B54" s="317"/>
      <c r="C54" s="318"/>
      <c r="D54" s="318"/>
      <c r="E54" s="319"/>
      <c r="F54" s="15"/>
      <c r="G54" s="15"/>
    </row>
    <row r="55" spans="1:7" ht="15" customHeight="1" thickBot="1" x14ac:dyDescent="0.25">
      <c r="A55" s="320"/>
      <c r="B55" s="321"/>
      <c r="C55" s="321"/>
      <c r="D55" s="321"/>
      <c r="E55" s="322"/>
      <c r="F55" s="15"/>
      <c r="G55" s="15"/>
    </row>
    <row r="56" spans="1:7" ht="16" thickBot="1" x14ac:dyDescent="0.25">
      <c r="A56" s="323"/>
      <c r="B56" s="15"/>
      <c r="C56" s="15"/>
      <c r="D56" s="15"/>
      <c r="E56" s="255"/>
      <c r="F56" s="15"/>
      <c r="G56" s="15"/>
    </row>
    <row r="57" spans="1:7" ht="16" x14ac:dyDescent="0.2">
      <c r="A57" s="324" t="s">
        <v>342</v>
      </c>
      <c r="B57" s="325"/>
      <c r="C57" s="325"/>
      <c r="D57" s="326"/>
      <c r="E57" s="255"/>
      <c r="F57" s="15"/>
      <c r="G57" s="15"/>
    </row>
    <row r="58" spans="1:7" x14ac:dyDescent="0.2">
      <c r="A58" s="327" t="s">
        <v>282</v>
      </c>
      <c r="B58" s="328">
        <v>1000000</v>
      </c>
      <c r="C58" s="329" t="s">
        <v>302</v>
      </c>
      <c r="D58" s="330"/>
      <c r="E58" s="255"/>
      <c r="F58" s="15"/>
      <c r="G58" s="15"/>
    </row>
    <row r="59" spans="1:7" x14ac:dyDescent="0.2">
      <c r="A59" s="327" t="s">
        <v>283</v>
      </c>
      <c r="B59" s="331">
        <v>0.15</v>
      </c>
      <c r="C59" s="332" t="s">
        <v>343</v>
      </c>
      <c r="D59" s="330"/>
      <c r="E59" s="255"/>
      <c r="F59" s="15"/>
      <c r="G59" s="15"/>
    </row>
    <row r="60" spans="1:7" x14ac:dyDescent="0.2">
      <c r="A60" s="327" t="s">
        <v>284</v>
      </c>
      <c r="B60" s="333">
        <f>B58/B59-B58</f>
        <v>5666666.666666667</v>
      </c>
      <c r="C60" s="332" t="s">
        <v>285</v>
      </c>
      <c r="D60" s="330"/>
      <c r="E60" s="255"/>
      <c r="F60" s="15"/>
      <c r="G60" s="15"/>
    </row>
    <row r="61" spans="1:7" ht="16" thickBot="1" x14ac:dyDescent="0.25">
      <c r="A61" s="334" t="s">
        <v>286</v>
      </c>
      <c r="B61" s="335">
        <f>B58/B59</f>
        <v>6666666.666666667</v>
      </c>
      <c r="C61" s="336" t="s">
        <v>287</v>
      </c>
      <c r="D61" s="337"/>
      <c r="E61" s="255"/>
      <c r="F61" s="15"/>
      <c r="G61" s="15"/>
    </row>
    <row r="62" spans="1:7" ht="16" thickBot="1" x14ac:dyDescent="0.25">
      <c r="A62" s="323"/>
      <c r="B62" s="15"/>
      <c r="C62" s="15"/>
      <c r="D62" s="15"/>
      <c r="E62" s="255"/>
      <c r="F62" s="15"/>
      <c r="G62" s="15"/>
    </row>
    <row r="63" spans="1:7" ht="16" x14ac:dyDescent="0.2">
      <c r="A63" s="324" t="s">
        <v>292</v>
      </c>
      <c r="B63" s="325"/>
      <c r="C63" s="325"/>
      <c r="D63" s="325"/>
      <c r="E63" s="338"/>
      <c r="F63" s="15"/>
      <c r="G63" s="15"/>
    </row>
    <row r="64" spans="1:7" x14ac:dyDescent="0.2">
      <c r="A64" s="327" t="s">
        <v>293</v>
      </c>
      <c r="B64" s="339">
        <v>2000</v>
      </c>
      <c r="C64" s="329" t="s">
        <v>294</v>
      </c>
      <c r="D64" s="15"/>
      <c r="E64" s="255"/>
      <c r="F64" s="15"/>
      <c r="G64" s="15"/>
    </row>
    <row r="65" spans="1:7" x14ac:dyDescent="0.2">
      <c r="A65" s="327" t="s">
        <v>295</v>
      </c>
      <c r="B65" s="340">
        <v>0.3</v>
      </c>
      <c r="C65" s="329" t="s">
        <v>296</v>
      </c>
      <c r="D65" s="15"/>
      <c r="E65" s="255"/>
      <c r="F65" s="15"/>
      <c r="G65" s="15"/>
    </row>
    <row r="66" spans="1:7" x14ac:dyDescent="0.2">
      <c r="A66" s="327" t="s">
        <v>297</v>
      </c>
      <c r="B66" s="340">
        <v>0.4</v>
      </c>
      <c r="C66" s="329" t="s">
        <v>296</v>
      </c>
      <c r="D66" s="15"/>
      <c r="E66" s="255"/>
      <c r="F66" s="15"/>
      <c r="G66" s="15"/>
    </row>
    <row r="67" spans="1:7" x14ac:dyDescent="0.2">
      <c r="A67" s="327" t="s">
        <v>298</v>
      </c>
      <c r="B67" s="340">
        <v>0.6</v>
      </c>
      <c r="C67" s="329" t="s">
        <v>296</v>
      </c>
      <c r="D67" s="15"/>
      <c r="E67" s="255"/>
      <c r="F67" s="15"/>
      <c r="G67" s="15"/>
    </row>
    <row r="68" spans="1:7" x14ac:dyDescent="0.2">
      <c r="A68" s="327" t="s">
        <v>299</v>
      </c>
      <c r="B68" s="341">
        <v>18</v>
      </c>
      <c r="C68" s="329" t="s">
        <v>300</v>
      </c>
      <c r="D68" s="15"/>
      <c r="E68" s="255"/>
      <c r="F68" s="15"/>
      <c r="G68" s="15"/>
    </row>
    <row r="69" spans="1:7" x14ac:dyDescent="0.2">
      <c r="A69" s="327" t="s">
        <v>301</v>
      </c>
      <c r="B69" s="342">
        <v>1.7999999999999999E-2</v>
      </c>
      <c r="C69" s="343">
        <f>(1+B69)^12-1</f>
        <v>0.23872053157552808</v>
      </c>
      <c r="D69" s="329" t="s">
        <v>313</v>
      </c>
      <c r="E69" s="255"/>
      <c r="F69" s="15"/>
      <c r="G69" s="15"/>
    </row>
    <row r="70" spans="1:7" ht="16" thickBot="1" x14ac:dyDescent="0.25">
      <c r="A70" s="344" t="s">
        <v>310</v>
      </c>
      <c r="B70" s="345">
        <v>0.13</v>
      </c>
      <c r="C70" s="346">
        <v>0.13</v>
      </c>
      <c r="D70" s="346">
        <v>0.15</v>
      </c>
      <c r="E70" s="347" t="s">
        <v>647</v>
      </c>
      <c r="F70" s="15"/>
      <c r="G70" s="15"/>
    </row>
  </sheetData>
  <mergeCells count="11">
    <mergeCell ref="A57:D57"/>
    <mergeCell ref="A63:E63"/>
    <mergeCell ref="A1:E1"/>
    <mergeCell ref="A39:E39"/>
    <mergeCell ref="A47:E47"/>
    <mergeCell ref="A51:E51"/>
    <mergeCell ref="A53:E55"/>
    <mergeCell ref="A4:E4"/>
    <mergeCell ref="A9:E9"/>
    <mergeCell ref="A16:E16"/>
    <mergeCell ref="A30:E3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D4E5E"/>
  </sheetPr>
  <dimension ref="A1:TK26"/>
  <sheetViews>
    <sheetView showGridLines="0" zoomScale="150" zoomScaleNormal="15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1" sqref="C21"/>
    </sheetView>
  </sheetViews>
  <sheetFormatPr baseColWidth="10" defaultColWidth="8.6640625" defaultRowHeight="15" x14ac:dyDescent="0.2"/>
  <cols>
    <col min="1" max="1" width="38" customWidth="1"/>
    <col min="2" max="2" width="8" customWidth="1"/>
    <col min="3" max="26" width="12" customWidth="1"/>
    <col min="27" max="27" width="12" style="2" customWidth="1"/>
    <col min="28" max="531" width="8.6640625" style="2"/>
  </cols>
  <sheetData>
    <row r="1" spans="1:531" ht="36" customHeight="1" x14ac:dyDescent="0.2">
      <c r="A1" s="348" t="s">
        <v>265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50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</row>
    <row r="2" spans="1:531" ht="21.75" customHeight="1" x14ac:dyDescent="0.2">
      <c r="A2" s="351" t="s">
        <v>162</v>
      </c>
      <c r="B2" s="352"/>
      <c r="C2" s="353" t="str">
        <f>'🔧 Cenário Ativo'!B2</f>
        <v>Conservador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255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</row>
    <row r="3" spans="1:531" ht="24" customHeight="1" x14ac:dyDescent="0.2">
      <c r="A3" s="354" t="s">
        <v>2</v>
      </c>
      <c r="B3" s="355" t="s">
        <v>163</v>
      </c>
      <c r="C3" s="356" t="s">
        <v>164</v>
      </c>
      <c r="D3" s="356" t="s">
        <v>165</v>
      </c>
      <c r="E3" s="356" t="s">
        <v>166</v>
      </c>
      <c r="F3" s="356" t="s">
        <v>167</v>
      </c>
      <c r="G3" s="356" t="s">
        <v>168</v>
      </c>
      <c r="H3" s="357" t="s">
        <v>254</v>
      </c>
      <c r="I3" s="356" t="s">
        <v>169</v>
      </c>
      <c r="J3" s="356" t="s">
        <v>170</v>
      </c>
      <c r="K3" s="356" t="s">
        <v>171</v>
      </c>
      <c r="L3" s="356" t="s">
        <v>172</v>
      </c>
      <c r="M3" s="357" t="s">
        <v>255</v>
      </c>
      <c r="N3" s="358" t="s">
        <v>173</v>
      </c>
      <c r="O3" s="356" t="s">
        <v>174</v>
      </c>
      <c r="P3" s="356" t="s">
        <v>175</v>
      </c>
      <c r="Q3" s="356" t="s">
        <v>176</v>
      </c>
      <c r="R3" s="356" t="s">
        <v>177</v>
      </c>
      <c r="S3" s="356" t="s">
        <v>178</v>
      </c>
      <c r="T3" s="356" t="s">
        <v>277</v>
      </c>
      <c r="U3" s="356" t="s">
        <v>179</v>
      </c>
      <c r="V3" s="356" t="s">
        <v>180</v>
      </c>
      <c r="W3" s="356" t="s">
        <v>181</v>
      </c>
      <c r="X3" s="356" t="s">
        <v>182</v>
      </c>
      <c r="Y3" s="356" t="s">
        <v>183</v>
      </c>
      <c r="Z3" s="359" t="s">
        <v>184</v>
      </c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</row>
    <row r="4" spans="1:531" ht="24" customHeight="1" x14ac:dyDescent="0.2">
      <c r="A4" s="360" t="s">
        <v>185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1"/>
      <c r="U4" s="361"/>
      <c r="V4" s="361"/>
      <c r="W4" s="361"/>
      <c r="X4" s="361"/>
      <c r="Y4" s="361"/>
      <c r="Z4" s="36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</row>
    <row r="5" spans="1:531" ht="19.5" customHeight="1" x14ac:dyDescent="0.2">
      <c r="A5" s="262" t="s">
        <v>640</v>
      </c>
      <c r="B5" s="363" t="s">
        <v>186</v>
      </c>
      <c r="C5" s="364">
        <f>'🎛️ Premissas'!B64</f>
        <v>2000</v>
      </c>
      <c r="D5" s="365">
        <f>'🔧 Cenário Ativo'!$B$30</f>
        <v>3000</v>
      </c>
      <c r="E5" s="365">
        <f>'🔧 Cenário Ativo'!$B$30</f>
        <v>3000</v>
      </c>
      <c r="F5" s="365">
        <f>'🔧 Cenário Ativo'!$B$30</f>
        <v>3000</v>
      </c>
      <c r="G5" s="365">
        <f>'🔧 Cenário Ativo'!$B$30</f>
        <v>3000</v>
      </c>
      <c r="H5" s="365">
        <f>'🔧 Cenário Ativo'!$B$30</f>
        <v>3000</v>
      </c>
      <c r="I5" s="365">
        <f>'🔧 Cenário Ativo'!$B$30</f>
        <v>3000</v>
      </c>
      <c r="J5" s="365">
        <f>'🔧 Cenário Ativo'!$B$30</f>
        <v>3000</v>
      </c>
      <c r="K5" s="365">
        <f>'🔧 Cenário Ativo'!$B$30</f>
        <v>3000</v>
      </c>
      <c r="L5" s="365">
        <f>'🔧 Cenário Ativo'!$B$30</f>
        <v>3000</v>
      </c>
      <c r="M5" s="365">
        <f>'🔧 Cenário Ativo'!$B$30</f>
        <v>3000</v>
      </c>
      <c r="N5" s="365">
        <f>'🔧 Cenário Ativo'!$B$30</f>
        <v>3000</v>
      </c>
      <c r="O5" s="365">
        <f>'🔧 Cenário Ativo'!$B$31</f>
        <v>3500</v>
      </c>
      <c r="P5" s="365">
        <f>'🔧 Cenário Ativo'!$B$31</f>
        <v>3500</v>
      </c>
      <c r="Q5" s="365">
        <f>'🔧 Cenário Ativo'!$B$31</f>
        <v>3500</v>
      </c>
      <c r="R5" s="365">
        <f>'🔧 Cenário Ativo'!$B$31</f>
        <v>3500</v>
      </c>
      <c r="S5" s="365">
        <f>'🔧 Cenário Ativo'!$B$31</f>
        <v>3500</v>
      </c>
      <c r="T5" s="365">
        <f>'🔧 Cenário Ativo'!$B$31</f>
        <v>3500</v>
      </c>
      <c r="U5" s="365">
        <f>'🔧 Cenário Ativo'!$B$31</f>
        <v>3500</v>
      </c>
      <c r="V5" s="365">
        <f>'🔧 Cenário Ativo'!$B$31</f>
        <v>3500</v>
      </c>
      <c r="W5" s="365">
        <f>'🔧 Cenário Ativo'!$B$31</f>
        <v>3500</v>
      </c>
      <c r="X5" s="365">
        <f>'🔧 Cenário Ativo'!$B$31</f>
        <v>3500</v>
      </c>
      <c r="Y5" s="365">
        <f>'🔧 Cenário Ativo'!$B$31</f>
        <v>3500</v>
      </c>
      <c r="Z5" s="365">
        <f>'🔧 Cenário Ativo'!$B$31</f>
        <v>3500</v>
      </c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</row>
    <row r="6" spans="1:531" ht="19.5" customHeight="1" x14ac:dyDescent="0.2">
      <c r="A6" s="262" t="s">
        <v>187</v>
      </c>
      <c r="B6" s="363" t="s">
        <v>188</v>
      </c>
      <c r="C6" s="364">
        <f>ROUND(C5*'🔧 Cenário Ativo'!$B$32,0)</f>
        <v>200</v>
      </c>
      <c r="D6" s="364">
        <f>ROUND(C6*(1-'🔧 Cenário Ativo'!$B$35)+D5*'🔧 Cenário Ativo'!$B$32,0)</f>
        <v>484</v>
      </c>
      <c r="E6" s="364">
        <f>ROUND(D6*(1-'🔧 Cenário Ativo'!$B$35)+E5*'🔧 Cenário Ativo'!$B$32,0)</f>
        <v>745</v>
      </c>
      <c r="F6" s="364">
        <f>ROUND(E6*(1-'🔧 Cenário Ativo'!$B$35)+F5*'🔧 Cenário Ativo'!$B$32,0)</f>
        <v>985</v>
      </c>
      <c r="G6" s="364">
        <f>ROUND(F6*(1-'🔧 Cenário Ativo'!$B$35)+G5*'🔧 Cenário Ativo'!$B$32,0)</f>
        <v>1206</v>
      </c>
      <c r="H6" s="364">
        <f>ROUND(G6*(1-'🔧 Cenário Ativo'!$B$35)+H5*'🔧 Cenário Ativo'!$B$32,0)</f>
        <v>1410</v>
      </c>
      <c r="I6" s="364">
        <f>ROUND(H6*(1-'🔧 Cenário Ativo'!$B$35)+I5*'🔧 Cenário Ativo'!$B$32,0)</f>
        <v>1597</v>
      </c>
      <c r="J6" s="364">
        <f>ROUND(I6*(1-'🔧 Cenário Ativo'!$B$35)+J5*'🔧 Cenário Ativo'!$B$32,0)</f>
        <v>1769</v>
      </c>
      <c r="K6" s="364">
        <f>ROUND(J6*(1-'🔧 Cenário Ativo'!$B$35)+K5*'🔧 Cenário Ativo'!$B$32,0)</f>
        <v>1927</v>
      </c>
      <c r="L6" s="364">
        <f>ROUND(K6*(1-'🔧 Cenário Ativo'!$B$35)+L5*'🔧 Cenário Ativo'!$B$32,0)</f>
        <v>2073</v>
      </c>
      <c r="M6" s="364">
        <f>ROUND(L6*(1-'🔧 Cenário Ativo'!$B$35)+M5*'🔧 Cenário Ativo'!$B$32,0)</f>
        <v>2207</v>
      </c>
      <c r="N6" s="364">
        <f>ROUND(M6*(1-'🔧 Cenário Ativo'!$B$35)+N5*'🔧 Cenário Ativo'!$B$32,0)</f>
        <v>2330</v>
      </c>
      <c r="O6" s="364">
        <f>ROUND(N6*(1-'🔧 Cenário Ativo'!$B$35)+O5*'🔧 Cenário Ativo'!$B$32,0)</f>
        <v>2494</v>
      </c>
      <c r="P6" s="364">
        <f>ROUND(O6*(1-'🔧 Cenário Ativo'!$B$35)+P5*'🔧 Cenário Ativo'!$B$32,0)</f>
        <v>2644</v>
      </c>
      <c r="Q6" s="364">
        <f>ROUND(P6*(1-'🔧 Cenário Ativo'!$B$35)+Q5*'🔧 Cenário Ativo'!$B$32,0)</f>
        <v>2782</v>
      </c>
      <c r="R6" s="364">
        <f>ROUND(Q6*(1-'🔧 Cenário Ativo'!$B$35)+R5*'🔧 Cenário Ativo'!$B$32,0)</f>
        <v>2909</v>
      </c>
      <c r="S6" s="364">
        <f>ROUND(R6*(1-'🔧 Cenário Ativo'!$B$35)+S5*'🔧 Cenário Ativo'!$B$32,0)</f>
        <v>3026</v>
      </c>
      <c r="T6" s="364">
        <f>ROUND(S6*(1-'🔧 Cenário Ativo'!$B$35)+T5*'🔧 Cenário Ativo'!$B$32,0)</f>
        <v>3134</v>
      </c>
      <c r="U6" s="364">
        <f>ROUND(T6*(1-'🔧 Cenário Ativo'!$B$35)+U5*'🔧 Cenário Ativo'!$B$32,0)</f>
        <v>3233</v>
      </c>
      <c r="V6" s="364">
        <f>ROUND(U6*(1-'🔧 Cenário Ativo'!$B$35)+V5*'🔧 Cenário Ativo'!$B$32,0)</f>
        <v>3324</v>
      </c>
      <c r="W6" s="364">
        <f>ROUND(V6*(1-'🔧 Cenário Ativo'!$B$35)+W5*'🔧 Cenário Ativo'!$B$32,0)</f>
        <v>3408</v>
      </c>
      <c r="X6" s="364">
        <f>ROUND(W6*(1-'🔧 Cenário Ativo'!$B$35)+X5*'🔧 Cenário Ativo'!$B$32,0)</f>
        <v>3485</v>
      </c>
      <c r="Y6" s="364">
        <f>ROUND(X6*(1-'🔧 Cenário Ativo'!$B$35)+Y5*'🔧 Cenário Ativo'!$B$32,0)</f>
        <v>3556</v>
      </c>
      <c r="Z6" s="364">
        <f>ROUND(Y6*(1-'🔧 Cenário Ativo'!$B$35)+Z5*'🔧 Cenário Ativo'!$B$32,0)</f>
        <v>3622</v>
      </c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</row>
    <row r="7" spans="1:531" ht="19.5" customHeight="1" x14ac:dyDescent="0.2">
      <c r="A7" s="262" t="s">
        <v>189</v>
      </c>
      <c r="B7" s="363" t="s">
        <v>188</v>
      </c>
      <c r="C7" s="364">
        <f>ROUND(C5*'🔧 Cenário Ativo'!$B$33,0)</f>
        <v>140</v>
      </c>
      <c r="D7" s="364">
        <f>ROUND(C7*(1-'🔧 Cenário Ativo'!$B$36)+D5*'🔧 Cenário Ativo'!$B$33,0)</f>
        <v>343</v>
      </c>
      <c r="E7" s="364">
        <f>ROUND(D7*(1-'🔧 Cenário Ativo'!$B$36)+E5*'🔧 Cenário Ativo'!$B$33,0)</f>
        <v>536</v>
      </c>
      <c r="F7" s="364">
        <f>ROUND(E7*(1-'🔧 Cenário Ativo'!$B$36)+F5*'🔧 Cenário Ativo'!$B$33,0)</f>
        <v>719</v>
      </c>
      <c r="G7" s="364">
        <f>ROUND(F7*(1-'🔧 Cenário Ativo'!$B$36)+G5*'🔧 Cenário Ativo'!$B$33,0)</f>
        <v>893</v>
      </c>
      <c r="H7" s="364">
        <f>ROUND(G7*(1-'🔧 Cenário Ativo'!$B$36)+H5*'🔧 Cenário Ativo'!$B$33,0)</f>
        <v>1058</v>
      </c>
      <c r="I7" s="364">
        <f>ROUND(H7*(1-'🔧 Cenário Ativo'!$B$36)+I5*'🔧 Cenário Ativo'!$B$33,0)</f>
        <v>1215</v>
      </c>
      <c r="J7" s="364">
        <f>ROUND(I7*(1-'🔧 Cenário Ativo'!$B$36)+J5*'🔧 Cenário Ativo'!$B$33,0)</f>
        <v>1364</v>
      </c>
      <c r="K7" s="364">
        <f>ROUND(J7*(1-'🔧 Cenário Ativo'!$B$36)+K5*'🔧 Cenário Ativo'!$B$33,0)</f>
        <v>1506</v>
      </c>
      <c r="L7" s="364">
        <f>ROUND(K7*(1-'🔧 Cenário Ativo'!$B$36)+L5*'🔧 Cenário Ativo'!$B$33,0)</f>
        <v>1641</v>
      </c>
      <c r="M7" s="364">
        <f>ROUND(L7*(1-'🔧 Cenário Ativo'!$B$36)+M5*'🔧 Cenário Ativo'!$B$33,0)</f>
        <v>1769</v>
      </c>
      <c r="N7" s="364">
        <f>ROUND(M7*(1-'🔧 Cenário Ativo'!$B$36)+N5*'🔧 Cenário Ativo'!$B$33,0)</f>
        <v>1891</v>
      </c>
      <c r="O7" s="364">
        <f>ROUND(N7*(1-'🔧 Cenário Ativo'!$B$36)+O5*'🔧 Cenário Ativo'!$B$33,0)</f>
        <v>2041</v>
      </c>
      <c r="P7" s="364">
        <f>ROUND(O7*(1-'🔧 Cenário Ativo'!$B$36)+P5*'🔧 Cenário Ativo'!$B$33,0)</f>
        <v>2184</v>
      </c>
      <c r="Q7" s="364">
        <f>ROUND(P7*(1-'🔧 Cenário Ativo'!$B$36)+Q5*'🔧 Cenário Ativo'!$B$33,0)</f>
        <v>2320</v>
      </c>
      <c r="R7" s="364">
        <f>ROUND(Q7*(1-'🔧 Cenário Ativo'!$B$36)+R5*'🔧 Cenário Ativo'!$B$33,0)</f>
        <v>2449</v>
      </c>
      <c r="S7" s="364">
        <f>ROUND(R7*(1-'🔧 Cenário Ativo'!$B$36)+S5*'🔧 Cenário Ativo'!$B$33,0)</f>
        <v>2572</v>
      </c>
      <c r="T7" s="364">
        <f>ROUND(S7*(1-'🔧 Cenário Ativo'!$B$36)+T5*'🔧 Cenário Ativo'!$B$33,0)</f>
        <v>2688</v>
      </c>
      <c r="U7" s="364">
        <f>ROUND(T7*(1-'🔧 Cenário Ativo'!$B$36)+U5*'🔧 Cenário Ativo'!$B$33,0)</f>
        <v>2799</v>
      </c>
      <c r="V7" s="364">
        <f>ROUND(U7*(1-'🔧 Cenário Ativo'!$B$36)+V5*'🔧 Cenário Ativo'!$B$33,0)</f>
        <v>2904</v>
      </c>
      <c r="W7" s="364">
        <f>ROUND(V7*(1-'🔧 Cenário Ativo'!$B$36)+W5*'🔧 Cenário Ativo'!$B$33,0)</f>
        <v>3004</v>
      </c>
      <c r="X7" s="364">
        <f>ROUND(W7*(1-'🔧 Cenário Ativo'!$B$36)+X5*'🔧 Cenário Ativo'!$B$33,0)</f>
        <v>3099</v>
      </c>
      <c r="Y7" s="364">
        <f>ROUND(X7*(1-'🔧 Cenário Ativo'!$B$36)+Y5*'🔧 Cenário Ativo'!$B$33,0)</f>
        <v>3189</v>
      </c>
      <c r="Z7" s="364">
        <f>ROUND(Y7*(1-'🔧 Cenário Ativo'!$B$36)+Z5*'🔧 Cenário Ativo'!$B$33,0)</f>
        <v>3275</v>
      </c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</row>
    <row r="8" spans="1:531" ht="19.5" customHeight="1" x14ac:dyDescent="0.2">
      <c r="A8" s="262" t="s">
        <v>190</v>
      </c>
      <c r="B8" s="363" t="s">
        <v>188</v>
      </c>
      <c r="C8" s="364">
        <f>ROUND(C5*'🔧 Cenário Ativo'!$B$34,0)</f>
        <v>40</v>
      </c>
      <c r="D8" s="364">
        <f>ROUND(C8*(1-'🔧 Cenário Ativo'!$B$37)+D5*'🔧 Cenário Ativo'!$B$34,0)</f>
        <v>99</v>
      </c>
      <c r="E8" s="364">
        <f>ROUND(D8*(1-'🔧 Cenário Ativo'!$B$37)+E5*'🔧 Cenário Ativo'!$B$34,0)</f>
        <v>156</v>
      </c>
      <c r="F8" s="364">
        <f>ROUND(E8*(1-'🔧 Cenário Ativo'!$B$37)+F5*'🔧 Cenário Ativo'!$B$34,0)</f>
        <v>211</v>
      </c>
      <c r="G8" s="364">
        <f>ROUND(F8*(1-'🔧 Cenário Ativo'!$B$37)+G5*'🔧 Cenário Ativo'!$B$34,0)</f>
        <v>265</v>
      </c>
      <c r="H8" s="364">
        <f>ROUND(G8*(1-'🔧 Cenário Ativo'!$B$37)+H5*'🔧 Cenário Ativo'!$B$34,0)</f>
        <v>317</v>
      </c>
      <c r="I8" s="364">
        <f>ROUND(H8*(1-'🔧 Cenário Ativo'!$B$37)+I5*'🔧 Cenário Ativo'!$B$34,0)</f>
        <v>367</v>
      </c>
      <c r="J8" s="364">
        <f>ROUND(I8*(1-'🔧 Cenário Ativo'!$B$37)+J5*'🔧 Cenário Ativo'!$B$34,0)</f>
        <v>416</v>
      </c>
      <c r="K8" s="364">
        <f>ROUND(J8*(1-'🔧 Cenário Ativo'!$B$37)+K5*'🔧 Cenário Ativo'!$B$34,0)</f>
        <v>464</v>
      </c>
      <c r="L8" s="364">
        <f>ROUND(K8*(1-'🔧 Cenário Ativo'!$B$37)+L5*'🔧 Cenário Ativo'!$B$34,0)</f>
        <v>510</v>
      </c>
      <c r="M8" s="364">
        <f>ROUND(L8*(1-'🔧 Cenário Ativo'!$B$37)+M5*'🔧 Cenário Ativo'!$B$34,0)</f>
        <v>555</v>
      </c>
      <c r="N8" s="364">
        <f>ROUND(M8*(1-'🔧 Cenário Ativo'!$B$37)+N5*'🔧 Cenário Ativo'!$B$34,0)</f>
        <v>598</v>
      </c>
      <c r="O8" s="364">
        <f>ROUND(N8*(1-'🔧 Cenário Ativo'!$B$37)+O5*'🔧 Cenário Ativo'!$B$34,0)</f>
        <v>650</v>
      </c>
      <c r="P8" s="364">
        <f>ROUND(O8*(1-'🔧 Cenário Ativo'!$B$37)+P5*'🔧 Cenário Ativo'!$B$34,0)</f>
        <v>701</v>
      </c>
      <c r="Q8" s="364">
        <f>ROUND(P8*(1-'🔧 Cenário Ativo'!$B$37)+Q5*'🔧 Cenário Ativo'!$B$34,0)</f>
        <v>750</v>
      </c>
      <c r="R8" s="364">
        <f>ROUND(Q8*(1-'🔧 Cenário Ativo'!$B$37)+R5*'🔧 Cenário Ativo'!$B$34,0)</f>
        <v>798</v>
      </c>
      <c r="S8" s="364">
        <f>ROUND(R8*(1-'🔧 Cenário Ativo'!$B$37)+S5*'🔧 Cenário Ativo'!$B$34,0)</f>
        <v>844</v>
      </c>
      <c r="T8" s="364">
        <f>ROUND(S8*(1-'🔧 Cenário Ativo'!$B$37)+T5*'🔧 Cenário Ativo'!$B$34,0)</f>
        <v>889</v>
      </c>
      <c r="U8" s="364">
        <f>ROUND(T8*(1-'🔧 Cenário Ativo'!$B$37)+U5*'🔧 Cenário Ativo'!$B$34,0)</f>
        <v>932</v>
      </c>
      <c r="V8" s="364">
        <f>ROUND(U8*(1-'🔧 Cenário Ativo'!$B$37)+V5*'🔧 Cenário Ativo'!$B$34,0)</f>
        <v>974</v>
      </c>
      <c r="W8" s="364">
        <f>ROUND(V8*(1-'🔧 Cenário Ativo'!$B$37)+W5*'🔧 Cenário Ativo'!$B$34,0)</f>
        <v>1015</v>
      </c>
      <c r="X8" s="364">
        <f>ROUND(W8*(1-'🔧 Cenário Ativo'!$B$37)+X5*'🔧 Cenário Ativo'!$B$34,0)</f>
        <v>1055</v>
      </c>
      <c r="Y8" s="364">
        <f>ROUND(X8*(1-'🔧 Cenário Ativo'!$B$37)+Y5*'🔧 Cenário Ativo'!$B$34,0)</f>
        <v>1093</v>
      </c>
      <c r="Z8" s="364">
        <f>ROUND(Y8*(1-'🔧 Cenário Ativo'!$B$37)+Z5*'🔧 Cenário Ativo'!$B$34,0)</f>
        <v>1130</v>
      </c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</row>
    <row r="9" spans="1:531" ht="19.5" customHeight="1" x14ac:dyDescent="0.2">
      <c r="A9" s="366" t="s">
        <v>14</v>
      </c>
      <c r="B9" s="363" t="s">
        <v>188</v>
      </c>
      <c r="C9" s="367">
        <f t="shared" ref="C9:Z9" si="0">SUM(C6:C8)</f>
        <v>380</v>
      </c>
      <c r="D9" s="367">
        <f>SUM(D6:D8)</f>
        <v>926</v>
      </c>
      <c r="E9" s="367">
        <f t="shared" ref="E9:L9" si="1">SUM(E6:E8)</f>
        <v>1437</v>
      </c>
      <c r="F9" s="367">
        <f t="shared" si="1"/>
        <v>1915</v>
      </c>
      <c r="G9" s="367">
        <f t="shared" si="1"/>
        <v>2364</v>
      </c>
      <c r="H9" s="367">
        <f t="shared" si="1"/>
        <v>2785</v>
      </c>
      <c r="I9" s="367">
        <f t="shared" si="1"/>
        <v>3179</v>
      </c>
      <c r="J9" s="367">
        <f t="shared" si="1"/>
        <v>3549</v>
      </c>
      <c r="K9" s="367">
        <f t="shared" si="1"/>
        <v>3897</v>
      </c>
      <c r="L9" s="367">
        <f t="shared" si="1"/>
        <v>4224</v>
      </c>
      <c r="M9" s="367">
        <f t="shared" si="0"/>
        <v>4531</v>
      </c>
      <c r="N9" s="367">
        <f t="shared" si="0"/>
        <v>4819</v>
      </c>
      <c r="O9" s="367">
        <f t="shared" si="0"/>
        <v>5185</v>
      </c>
      <c r="P9" s="367">
        <f t="shared" si="0"/>
        <v>5529</v>
      </c>
      <c r="Q9" s="367">
        <f t="shared" si="0"/>
        <v>5852</v>
      </c>
      <c r="R9" s="367">
        <f t="shared" si="0"/>
        <v>6156</v>
      </c>
      <c r="S9" s="367">
        <f t="shared" si="0"/>
        <v>6442</v>
      </c>
      <c r="T9" s="367">
        <f t="shared" si="0"/>
        <v>6711</v>
      </c>
      <c r="U9" s="367">
        <f t="shared" si="0"/>
        <v>6964</v>
      </c>
      <c r="V9" s="367">
        <f t="shared" si="0"/>
        <v>7202</v>
      </c>
      <c r="W9" s="367">
        <f t="shared" si="0"/>
        <v>7427</v>
      </c>
      <c r="X9" s="367">
        <f t="shared" si="0"/>
        <v>7639</v>
      </c>
      <c r="Y9" s="367">
        <f t="shared" si="0"/>
        <v>7838</v>
      </c>
      <c r="Z9" s="368">
        <f t="shared" si="0"/>
        <v>8027</v>
      </c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  <c r="IV9" s="52"/>
      <c r="IW9" s="52"/>
      <c r="IX9" s="52"/>
      <c r="IY9" s="52"/>
      <c r="IZ9" s="52"/>
      <c r="JA9" s="52"/>
      <c r="JB9" s="52"/>
      <c r="JC9" s="52"/>
      <c r="JD9" s="52"/>
      <c r="JE9" s="52"/>
      <c r="JF9" s="52"/>
      <c r="JG9" s="52"/>
      <c r="JH9" s="52"/>
      <c r="JI9" s="52"/>
      <c r="JJ9" s="52"/>
      <c r="JK9" s="52"/>
      <c r="JL9" s="52"/>
      <c r="JM9" s="52"/>
      <c r="JN9" s="52"/>
      <c r="JO9" s="52"/>
      <c r="JP9" s="52"/>
      <c r="JQ9" s="52"/>
      <c r="JR9" s="52"/>
      <c r="JS9" s="52"/>
      <c r="JT9" s="52"/>
      <c r="JU9" s="52"/>
      <c r="JV9" s="52"/>
      <c r="JW9" s="52"/>
      <c r="JX9" s="52"/>
      <c r="JY9" s="52"/>
      <c r="JZ9" s="52"/>
      <c r="KA9" s="52"/>
      <c r="KB9" s="52"/>
      <c r="KC9" s="52"/>
      <c r="KD9" s="52"/>
      <c r="KE9" s="52"/>
      <c r="KF9" s="52"/>
      <c r="KG9" s="52"/>
      <c r="KH9" s="52"/>
      <c r="KI9" s="52"/>
      <c r="KJ9" s="52"/>
      <c r="KK9" s="52"/>
      <c r="KL9" s="52"/>
      <c r="KM9" s="52"/>
      <c r="KN9" s="52"/>
      <c r="KO9" s="52"/>
      <c r="KP9" s="52"/>
      <c r="KQ9" s="52"/>
      <c r="KR9" s="52"/>
      <c r="KS9" s="52"/>
      <c r="KT9" s="52"/>
      <c r="KU9" s="52"/>
      <c r="KV9" s="52"/>
      <c r="KW9" s="52"/>
      <c r="KX9" s="52"/>
      <c r="KY9" s="52"/>
      <c r="KZ9" s="52"/>
      <c r="LA9" s="52"/>
      <c r="LB9" s="52"/>
      <c r="LC9" s="52"/>
      <c r="LD9" s="52"/>
      <c r="LE9" s="52"/>
      <c r="LF9" s="52"/>
      <c r="LG9" s="52"/>
      <c r="LH9" s="52"/>
      <c r="LI9" s="52"/>
      <c r="LJ9" s="52"/>
      <c r="LK9" s="52"/>
      <c r="LL9" s="52"/>
      <c r="LM9" s="52"/>
      <c r="LN9" s="52"/>
      <c r="LO9" s="52"/>
      <c r="LP9" s="52"/>
      <c r="LQ9" s="52"/>
      <c r="LR9" s="52"/>
      <c r="LS9" s="52"/>
      <c r="LT9" s="52"/>
      <c r="LU9" s="52"/>
      <c r="LV9" s="52"/>
      <c r="LW9" s="52"/>
      <c r="LX9" s="52"/>
      <c r="LY9" s="52"/>
      <c r="LZ9" s="52"/>
      <c r="MA9" s="52"/>
      <c r="MB9" s="52"/>
      <c r="MC9" s="52"/>
      <c r="MD9" s="52"/>
      <c r="ME9" s="52"/>
      <c r="MF9" s="52"/>
      <c r="MG9" s="52"/>
      <c r="MH9" s="52"/>
      <c r="MI9" s="52"/>
      <c r="MJ9" s="52"/>
      <c r="MK9" s="52"/>
      <c r="ML9" s="52"/>
      <c r="MM9" s="52"/>
      <c r="MN9" s="52"/>
      <c r="MO9" s="52"/>
      <c r="MP9" s="52"/>
      <c r="MQ9" s="52"/>
      <c r="MR9" s="52"/>
      <c r="MS9" s="52"/>
      <c r="MT9" s="52"/>
      <c r="MU9" s="52"/>
      <c r="MV9" s="52"/>
      <c r="MW9" s="52"/>
      <c r="MX9" s="52"/>
      <c r="MY9" s="52"/>
      <c r="MZ9" s="52"/>
      <c r="NA9" s="52"/>
      <c r="NB9" s="52"/>
      <c r="NC9" s="52"/>
      <c r="ND9" s="52"/>
      <c r="NE9" s="52"/>
      <c r="NF9" s="52"/>
      <c r="NG9" s="52"/>
      <c r="NH9" s="52"/>
      <c r="NI9" s="52"/>
      <c r="NJ9" s="52"/>
      <c r="NK9" s="52"/>
      <c r="NL9" s="52"/>
      <c r="NM9" s="52"/>
      <c r="NN9" s="52"/>
      <c r="NO9" s="52"/>
      <c r="NP9" s="52"/>
      <c r="NQ9" s="52"/>
      <c r="NR9" s="52"/>
      <c r="NS9" s="52"/>
      <c r="NT9" s="52"/>
      <c r="NU9" s="52"/>
      <c r="NV9" s="52"/>
      <c r="NW9" s="52"/>
      <c r="NX9" s="52"/>
      <c r="NY9" s="52"/>
      <c r="NZ9" s="52"/>
      <c r="OA9" s="52"/>
      <c r="OB9" s="52"/>
      <c r="OC9" s="52"/>
      <c r="OD9" s="52"/>
      <c r="OE9" s="52"/>
      <c r="OF9" s="52"/>
      <c r="OG9" s="52"/>
      <c r="OH9" s="52"/>
      <c r="OI9" s="52"/>
      <c r="OJ9" s="52"/>
      <c r="OK9" s="52"/>
      <c r="OL9" s="52"/>
      <c r="OM9" s="52"/>
      <c r="ON9" s="52"/>
      <c r="OO9" s="52"/>
      <c r="OP9" s="52"/>
      <c r="OQ9" s="52"/>
      <c r="OR9" s="52"/>
      <c r="OS9" s="52"/>
      <c r="OT9" s="52"/>
      <c r="OU9" s="52"/>
      <c r="OV9" s="52"/>
      <c r="OW9" s="52"/>
      <c r="OX9" s="52"/>
      <c r="OY9" s="52"/>
      <c r="OZ9" s="52"/>
      <c r="PA9" s="52"/>
      <c r="PB9" s="52"/>
      <c r="PC9" s="52"/>
      <c r="PD9" s="52"/>
      <c r="PE9" s="52"/>
      <c r="PF9" s="52"/>
      <c r="PG9" s="52"/>
      <c r="PH9" s="52"/>
      <c r="PI9" s="52"/>
      <c r="PJ9" s="52"/>
      <c r="PK9" s="52"/>
      <c r="PL9" s="52"/>
      <c r="PM9" s="52"/>
      <c r="PN9" s="52"/>
      <c r="PO9" s="52"/>
      <c r="PP9" s="52"/>
      <c r="PQ9" s="52"/>
      <c r="PR9" s="52"/>
      <c r="PS9" s="52"/>
      <c r="PT9" s="52"/>
      <c r="PU9" s="52"/>
      <c r="PV9" s="52"/>
      <c r="PW9" s="52"/>
      <c r="PX9" s="52"/>
      <c r="PY9" s="52"/>
      <c r="PZ9" s="52"/>
      <c r="QA9" s="52"/>
      <c r="QB9" s="52"/>
      <c r="QC9" s="52"/>
      <c r="QD9" s="52"/>
      <c r="QE9" s="52"/>
      <c r="QF9" s="52"/>
      <c r="QG9" s="52"/>
      <c r="QH9" s="52"/>
      <c r="QI9" s="52"/>
      <c r="QJ9" s="52"/>
      <c r="QK9" s="52"/>
      <c r="QL9" s="52"/>
      <c r="QM9" s="52"/>
      <c r="QN9" s="52"/>
      <c r="QO9" s="52"/>
      <c r="QP9" s="52"/>
      <c r="QQ9" s="52"/>
      <c r="QR9" s="52"/>
      <c r="QS9" s="52"/>
      <c r="QT9" s="52"/>
      <c r="QU9" s="52"/>
      <c r="QV9" s="52"/>
      <c r="QW9" s="52"/>
      <c r="QX9" s="52"/>
      <c r="QY9" s="52"/>
      <c r="QZ9" s="52"/>
      <c r="RA9" s="52"/>
      <c r="RB9" s="52"/>
      <c r="RC9" s="52"/>
      <c r="RD9" s="52"/>
      <c r="RE9" s="52"/>
      <c r="RF9" s="52"/>
      <c r="RG9" s="52"/>
      <c r="RH9" s="52"/>
      <c r="RI9" s="52"/>
      <c r="RJ9" s="52"/>
      <c r="RK9" s="52"/>
      <c r="RL9" s="52"/>
      <c r="RM9" s="52"/>
      <c r="RN9" s="52"/>
      <c r="RO9" s="52"/>
      <c r="RP9" s="52"/>
      <c r="RQ9" s="52"/>
      <c r="RR9" s="52"/>
      <c r="RS9" s="52"/>
      <c r="RT9" s="52"/>
      <c r="RU9" s="52"/>
      <c r="RV9" s="52"/>
      <c r="RW9" s="52"/>
      <c r="RX9" s="52"/>
      <c r="RY9" s="52"/>
      <c r="RZ9" s="52"/>
      <c r="SA9" s="52"/>
      <c r="SB9" s="52"/>
      <c r="SC9" s="52"/>
      <c r="SD9" s="52"/>
      <c r="SE9" s="52"/>
      <c r="SF9" s="52"/>
      <c r="SG9" s="52"/>
      <c r="SH9" s="52"/>
      <c r="SI9" s="52"/>
      <c r="SJ9" s="52"/>
      <c r="SK9" s="52"/>
      <c r="SL9" s="52"/>
      <c r="SM9" s="52"/>
      <c r="SN9" s="52"/>
      <c r="SO9" s="52"/>
      <c r="SP9" s="52"/>
      <c r="SQ9" s="52"/>
      <c r="SR9" s="52"/>
      <c r="SS9" s="52"/>
      <c r="ST9" s="52"/>
      <c r="SU9" s="52"/>
      <c r="SV9" s="52"/>
      <c r="SW9" s="52"/>
      <c r="SX9" s="52"/>
      <c r="SY9" s="52"/>
      <c r="SZ9" s="52"/>
      <c r="TA9" s="52"/>
      <c r="TB9" s="52"/>
      <c r="TC9" s="52"/>
      <c r="TD9" s="52"/>
      <c r="TE9" s="52"/>
      <c r="TF9" s="52"/>
      <c r="TG9" s="52"/>
      <c r="TH9" s="52"/>
      <c r="TI9" s="52"/>
      <c r="TJ9" s="52"/>
      <c r="TK9" s="52"/>
    </row>
    <row r="10" spans="1:531" ht="24" customHeight="1" x14ac:dyDescent="0.2">
      <c r="A10" s="369" t="s">
        <v>191</v>
      </c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0"/>
      <c r="M10" s="370"/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1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  <c r="FK10" s="52"/>
      <c r="FL10" s="52"/>
      <c r="FM10" s="52"/>
      <c r="FN10" s="52"/>
      <c r="FO10" s="52"/>
      <c r="FP10" s="52"/>
      <c r="FQ10" s="52"/>
      <c r="FR10" s="52"/>
      <c r="FS10" s="52"/>
      <c r="FT10" s="52"/>
      <c r="FU10" s="52"/>
      <c r="FV10" s="52"/>
      <c r="FW10" s="52"/>
      <c r="FX10" s="52"/>
      <c r="FY10" s="52"/>
      <c r="FZ10" s="52"/>
      <c r="GA10" s="52"/>
      <c r="GB10" s="52"/>
      <c r="GC10" s="52"/>
      <c r="GD10" s="52"/>
      <c r="GE10" s="52"/>
      <c r="GF10" s="52"/>
      <c r="GG10" s="52"/>
      <c r="GH10" s="52"/>
      <c r="GI10" s="52"/>
      <c r="GJ10" s="52"/>
      <c r="GK10" s="52"/>
      <c r="GL10" s="52"/>
      <c r="GM10" s="52"/>
      <c r="GN10" s="52"/>
      <c r="GO10" s="52"/>
      <c r="GP10" s="52"/>
      <c r="GQ10" s="52"/>
      <c r="GR10" s="52"/>
      <c r="GS10" s="52"/>
      <c r="GT10" s="52"/>
      <c r="GU10" s="52"/>
      <c r="GV10" s="52"/>
      <c r="GW10" s="52"/>
      <c r="GX10" s="52"/>
      <c r="GY10" s="52"/>
      <c r="GZ10" s="52"/>
      <c r="HA10" s="52"/>
      <c r="HB10" s="52"/>
      <c r="HC10" s="52"/>
      <c r="HD10" s="52"/>
      <c r="HE10" s="52"/>
      <c r="HF10" s="52"/>
      <c r="HG10" s="52"/>
      <c r="HH10" s="52"/>
      <c r="HI10" s="52"/>
      <c r="HJ10" s="52"/>
      <c r="HK10" s="52"/>
      <c r="HL10" s="52"/>
      <c r="HM10" s="52"/>
      <c r="HN10" s="52"/>
      <c r="HO10" s="52"/>
      <c r="HP10" s="52"/>
      <c r="HQ10" s="52"/>
      <c r="HR10" s="52"/>
      <c r="HS10" s="52"/>
      <c r="HT10" s="52"/>
      <c r="HU10" s="52"/>
      <c r="HV10" s="52"/>
      <c r="HW10" s="52"/>
      <c r="HX10" s="52"/>
      <c r="HY10" s="52"/>
      <c r="HZ10" s="52"/>
      <c r="IA10" s="52"/>
      <c r="IB10" s="52"/>
      <c r="IC10" s="52"/>
      <c r="ID10" s="52"/>
      <c r="IE10" s="52"/>
      <c r="IF10" s="52"/>
      <c r="IG10" s="52"/>
      <c r="IH10" s="52"/>
      <c r="II10" s="52"/>
      <c r="IJ10" s="52"/>
      <c r="IK10" s="52"/>
      <c r="IL10" s="52"/>
      <c r="IM10" s="52"/>
      <c r="IN10" s="52"/>
      <c r="IO10" s="52"/>
      <c r="IP10" s="52"/>
      <c r="IQ10" s="52"/>
      <c r="IR10" s="52"/>
      <c r="IS10" s="52"/>
      <c r="IT10" s="52"/>
      <c r="IU10" s="52"/>
      <c r="IV10" s="52"/>
      <c r="IW10" s="52"/>
      <c r="IX10" s="52"/>
      <c r="IY10" s="52"/>
      <c r="IZ10" s="52"/>
      <c r="JA10" s="52"/>
      <c r="JB10" s="52"/>
      <c r="JC10" s="52"/>
      <c r="JD10" s="52"/>
      <c r="JE10" s="52"/>
      <c r="JF10" s="52"/>
      <c r="JG10" s="52"/>
      <c r="JH10" s="52"/>
      <c r="JI10" s="52"/>
      <c r="JJ10" s="52"/>
      <c r="JK10" s="52"/>
      <c r="JL10" s="52"/>
      <c r="JM10" s="52"/>
      <c r="JN10" s="52"/>
      <c r="JO10" s="52"/>
      <c r="JP10" s="52"/>
      <c r="JQ10" s="52"/>
      <c r="JR10" s="52"/>
      <c r="JS10" s="52"/>
      <c r="JT10" s="52"/>
      <c r="JU10" s="52"/>
      <c r="JV10" s="52"/>
      <c r="JW10" s="52"/>
      <c r="JX10" s="52"/>
      <c r="JY10" s="52"/>
      <c r="JZ10" s="52"/>
      <c r="KA10" s="52"/>
      <c r="KB10" s="52"/>
      <c r="KC10" s="52"/>
      <c r="KD10" s="52"/>
      <c r="KE10" s="52"/>
      <c r="KF10" s="52"/>
      <c r="KG10" s="52"/>
      <c r="KH10" s="52"/>
      <c r="KI10" s="52"/>
      <c r="KJ10" s="52"/>
      <c r="KK10" s="52"/>
      <c r="KL10" s="52"/>
      <c r="KM10" s="52"/>
      <c r="KN10" s="52"/>
      <c r="KO10" s="52"/>
      <c r="KP10" s="52"/>
      <c r="KQ10" s="52"/>
      <c r="KR10" s="52"/>
      <c r="KS10" s="52"/>
      <c r="KT10" s="52"/>
      <c r="KU10" s="52"/>
      <c r="KV10" s="52"/>
      <c r="KW10" s="52"/>
      <c r="KX10" s="52"/>
      <c r="KY10" s="52"/>
      <c r="KZ10" s="52"/>
      <c r="LA10" s="52"/>
      <c r="LB10" s="52"/>
      <c r="LC10" s="52"/>
      <c r="LD10" s="52"/>
      <c r="LE10" s="52"/>
      <c r="LF10" s="52"/>
      <c r="LG10" s="52"/>
      <c r="LH10" s="52"/>
      <c r="LI10" s="52"/>
      <c r="LJ10" s="52"/>
      <c r="LK10" s="52"/>
      <c r="LL10" s="52"/>
      <c r="LM10" s="52"/>
      <c r="LN10" s="52"/>
      <c r="LO10" s="52"/>
      <c r="LP10" s="52"/>
      <c r="LQ10" s="52"/>
      <c r="LR10" s="52"/>
      <c r="LS10" s="52"/>
      <c r="LT10" s="52"/>
      <c r="LU10" s="52"/>
      <c r="LV10" s="52"/>
      <c r="LW10" s="52"/>
      <c r="LX10" s="52"/>
      <c r="LY10" s="52"/>
      <c r="LZ10" s="52"/>
      <c r="MA10" s="52"/>
      <c r="MB10" s="52"/>
      <c r="MC10" s="52"/>
      <c r="MD10" s="52"/>
      <c r="ME10" s="52"/>
      <c r="MF10" s="52"/>
      <c r="MG10" s="52"/>
      <c r="MH10" s="52"/>
      <c r="MI10" s="52"/>
      <c r="MJ10" s="52"/>
      <c r="MK10" s="52"/>
      <c r="ML10" s="52"/>
      <c r="MM10" s="52"/>
      <c r="MN10" s="52"/>
      <c r="MO10" s="52"/>
      <c r="MP10" s="52"/>
      <c r="MQ10" s="52"/>
      <c r="MR10" s="52"/>
      <c r="MS10" s="52"/>
      <c r="MT10" s="52"/>
      <c r="MU10" s="52"/>
      <c r="MV10" s="52"/>
      <c r="MW10" s="52"/>
      <c r="MX10" s="52"/>
      <c r="MY10" s="52"/>
      <c r="MZ10" s="52"/>
      <c r="NA10" s="52"/>
      <c r="NB10" s="52"/>
      <c r="NC10" s="52"/>
      <c r="ND10" s="52"/>
      <c r="NE10" s="52"/>
      <c r="NF10" s="52"/>
      <c r="NG10" s="52"/>
      <c r="NH10" s="52"/>
      <c r="NI10" s="52"/>
      <c r="NJ10" s="52"/>
      <c r="NK10" s="52"/>
      <c r="NL10" s="52"/>
      <c r="NM10" s="52"/>
      <c r="NN10" s="52"/>
      <c r="NO10" s="52"/>
      <c r="NP10" s="52"/>
      <c r="NQ10" s="52"/>
      <c r="NR10" s="52"/>
      <c r="NS10" s="52"/>
      <c r="NT10" s="52"/>
      <c r="NU10" s="52"/>
      <c r="NV10" s="52"/>
      <c r="NW10" s="52"/>
      <c r="NX10" s="52"/>
      <c r="NY10" s="52"/>
      <c r="NZ10" s="52"/>
      <c r="OA10" s="52"/>
      <c r="OB10" s="52"/>
      <c r="OC10" s="52"/>
      <c r="OD10" s="52"/>
      <c r="OE10" s="52"/>
      <c r="OF10" s="52"/>
      <c r="OG10" s="52"/>
      <c r="OH10" s="52"/>
      <c r="OI10" s="52"/>
      <c r="OJ10" s="52"/>
      <c r="OK10" s="52"/>
      <c r="OL10" s="52"/>
      <c r="OM10" s="52"/>
      <c r="ON10" s="52"/>
      <c r="OO10" s="52"/>
      <c r="OP10" s="52"/>
      <c r="OQ10" s="52"/>
      <c r="OR10" s="52"/>
      <c r="OS10" s="52"/>
      <c r="OT10" s="52"/>
      <c r="OU10" s="52"/>
      <c r="OV10" s="52"/>
      <c r="OW10" s="52"/>
      <c r="OX10" s="52"/>
      <c r="OY10" s="52"/>
      <c r="OZ10" s="52"/>
      <c r="PA10" s="52"/>
      <c r="PB10" s="52"/>
      <c r="PC10" s="52"/>
      <c r="PD10" s="52"/>
      <c r="PE10" s="52"/>
      <c r="PF10" s="52"/>
      <c r="PG10" s="52"/>
      <c r="PH10" s="52"/>
      <c r="PI10" s="52"/>
      <c r="PJ10" s="52"/>
      <c r="PK10" s="52"/>
      <c r="PL10" s="52"/>
      <c r="PM10" s="52"/>
      <c r="PN10" s="52"/>
      <c r="PO10" s="52"/>
      <c r="PP10" s="52"/>
      <c r="PQ10" s="52"/>
      <c r="PR10" s="52"/>
      <c r="PS10" s="52"/>
      <c r="PT10" s="52"/>
      <c r="PU10" s="52"/>
      <c r="PV10" s="52"/>
      <c r="PW10" s="52"/>
      <c r="PX10" s="52"/>
      <c r="PY10" s="52"/>
      <c r="PZ10" s="52"/>
      <c r="QA10" s="52"/>
      <c r="QB10" s="52"/>
      <c r="QC10" s="52"/>
      <c r="QD10" s="52"/>
      <c r="QE10" s="52"/>
      <c r="QF10" s="52"/>
      <c r="QG10" s="52"/>
      <c r="QH10" s="52"/>
      <c r="QI10" s="52"/>
      <c r="QJ10" s="52"/>
      <c r="QK10" s="52"/>
      <c r="QL10" s="52"/>
      <c r="QM10" s="52"/>
      <c r="QN10" s="52"/>
      <c r="QO10" s="52"/>
      <c r="QP10" s="52"/>
      <c r="QQ10" s="52"/>
      <c r="QR10" s="52"/>
      <c r="QS10" s="52"/>
      <c r="QT10" s="52"/>
      <c r="QU10" s="52"/>
      <c r="QV10" s="52"/>
      <c r="QW10" s="52"/>
      <c r="QX10" s="52"/>
      <c r="QY10" s="52"/>
      <c r="QZ10" s="52"/>
      <c r="RA10" s="52"/>
      <c r="RB10" s="52"/>
      <c r="RC10" s="52"/>
      <c r="RD10" s="52"/>
      <c r="RE10" s="52"/>
      <c r="RF10" s="52"/>
      <c r="RG10" s="52"/>
      <c r="RH10" s="52"/>
      <c r="RI10" s="52"/>
      <c r="RJ10" s="52"/>
      <c r="RK10" s="52"/>
      <c r="RL10" s="52"/>
      <c r="RM10" s="52"/>
      <c r="RN10" s="52"/>
      <c r="RO10" s="52"/>
      <c r="RP10" s="52"/>
      <c r="RQ10" s="52"/>
      <c r="RR10" s="52"/>
      <c r="RS10" s="52"/>
      <c r="RT10" s="52"/>
      <c r="RU10" s="52"/>
      <c r="RV10" s="52"/>
      <c r="RW10" s="52"/>
      <c r="RX10" s="52"/>
      <c r="RY10" s="52"/>
      <c r="RZ10" s="52"/>
      <c r="SA10" s="52"/>
      <c r="SB10" s="52"/>
      <c r="SC10" s="52"/>
      <c r="SD10" s="52"/>
      <c r="SE10" s="52"/>
      <c r="SF10" s="52"/>
      <c r="SG10" s="52"/>
      <c r="SH10" s="52"/>
      <c r="SI10" s="52"/>
      <c r="SJ10" s="52"/>
      <c r="SK10" s="52"/>
      <c r="SL10" s="52"/>
      <c r="SM10" s="52"/>
      <c r="SN10" s="52"/>
      <c r="SO10" s="52"/>
      <c r="SP10" s="52"/>
      <c r="SQ10" s="52"/>
      <c r="SR10" s="52"/>
      <c r="SS10" s="52"/>
      <c r="ST10" s="52"/>
      <c r="SU10" s="52"/>
      <c r="SV10" s="52"/>
      <c r="SW10" s="52"/>
      <c r="SX10" s="52"/>
      <c r="SY10" s="52"/>
      <c r="SZ10" s="52"/>
      <c r="TA10" s="52"/>
      <c r="TB10" s="52"/>
      <c r="TC10" s="52"/>
      <c r="TD10" s="52"/>
      <c r="TE10" s="52"/>
      <c r="TF10" s="52"/>
      <c r="TG10" s="52"/>
      <c r="TH10" s="52"/>
      <c r="TI10" s="52"/>
      <c r="TJ10" s="52"/>
      <c r="TK10" s="52"/>
    </row>
    <row r="11" spans="1:531" ht="19.5" customHeight="1" x14ac:dyDescent="0.2">
      <c r="A11" s="262" t="s">
        <v>324</v>
      </c>
      <c r="B11" s="363" t="s">
        <v>192</v>
      </c>
      <c r="C11" s="372">
        <f>C6*('🔧 Cenário Ativo'!$B$6+'🔧 Cenário Ativo'!$B$9)+C7*'🔧 Cenário Ativo'!$B$7+C8*'🔧 Cenário Ativo'!$B$8</f>
        <v>21562</v>
      </c>
      <c r="D11" s="372">
        <f>D6*('🔧 Cenário Ativo'!$B$6+'🔧 Cenário Ativo'!$B$9)+D7*'🔧 Cenário Ativo'!$B$7+D8*'🔧 Cenário Ativo'!$B$8</f>
        <v>52607.4</v>
      </c>
      <c r="E11" s="372">
        <f>E6*('🔧 Cenário Ativo'!$B$6+'🔧 Cenário Ativo'!$B$9)+E7*'🔧 Cenário Ativo'!$B$7+E8*'🔧 Cenário Ativo'!$B$8</f>
        <v>81746.299999999988</v>
      </c>
      <c r="F11" s="372">
        <f>F6*('🔧 Cenário Ativo'!$B$6+'🔧 Cenário Ativo'!$B$9)+F7*'🔧 Cenário Ativo'!$B$7+F8*'🔧 Cenário Ativo'!$B$8</f>
        <v>109078.5</v>
      </c>
      <c r="G11" s="372">
        <f>G6*('🔧 Cenário Ativo'!$B$6+'🔧 Cenário Ativo'!$B$9)+G7*'🔧 Cenário Ativo'!$B$7+G8*'🔧 Cenário Ativo'!$B$8</f>
        <v>134843.6</v>
      </c>
      <c r="H11" s="372">
        <f>H6*('🔧 Cenário Ativo'!$B$6+'🔧 Cenário Ativo'!$B$9)+H7*'🔧 Cenário Ativo'!$B$7+H8*'🔧 Cenário Ativo'!$B$8</f>
        <v>159061.5</v>
      </c>
      <c r="I11" s="372">
        <f>I6*('🔧 Cenário Ativo'!$B$6+'🔧 Cenário Ativo'!$B$9)+I7*'🔧 Cenário Ativo'!$B$7+I8*'🔧 Cenário Ativo'!$B$8</f>
        <v>181792.09999999998</v>
      </c>
      <c r="J11" s="372">
        <f>J6*('🔧 Cenário Ativo'!$B$6+'🔧 Cenário Ativo'!$B$9)+J7*'🔧 Cenário Ativo'!$B$7+J8*'🔧 Cenário Ativo'!$B$8</f>
        <v>203215.09999999998</v>
      </c>
      <c r="K11" s="372">
        <f>K6*('🔧 Cenário Ativo'!$B$6+'🔧 Cenário Ativo'!$B$9)+K7*'🔧 Cenário Ativo'!$B$7+K8*'🔧 Cenário Ativo'!$B$8</f>
        <v>223440.30000000002</v>
      </c>
      <c r="L11" s="372">
        <f>L6*('🔧 Cenário Ativo'!$B$6+'🔧 Cenário Ativo'!$B$9)+L7*'🔧 Cenário Ativo'!$B$7+L8*'🔧 Cenário Ativo'!$B$8</f>
        <v>242487.59999999998</v>
      </c>
      <c r="M11" s="372">
        <f>M6*('🔧 Cenário Ativo'!$B$6+'🔧 Cenário Ativo'!$B$9)+M7*'🔧 Cenário Ativo'!$B$7+M8*'🔧 Cenário Ativo'!$B$8</f>
        <v>260436.9</v>
      </c>
      <c r="N11" s="372">
        <f>N6*('🔧 Cenário Ativo'!$B$6+'🔧 Cenário Ativo'!$B$9)+N7*'🔧 Cenário Ativo'!$B$7+N8*'🔧 Cenário Ativo'!$B$8</f>
        <v>277318.09999999998</v>
      </c>
      <c r="O11" s="372">
        <f>O6*('🔧 Cenário Ativo'!$B$6+'🔧 Cenário Ativo'!$B$9)+O7*'🔧 Cenário Ativo'!$B$7+O8*'🔧 Cenário Ativo'!$B$8</f>
        <v>298641.5</v>
      </c>
      <c r="P11" s="372">
        <f>P6*('🔧 Cenário Ativo'!$B$6+'🔧 Cenário Ativo'!$B$9)+P7*'🔧 Cenário Ativo'!$B$7+P8*'🔧 Cenário Ativo'!$B$8</f>
        <v>318767.10000000003</v>
      </c>
      <c r="Q11" s="372">
        <f>Q6*('🔧 Cenário Ativo'!$B$6+'🔧 Cenário Ativo'!$B$9)+Q7*'🔧 Cenário Ativo'!$B$7+Q8*'🔧 Cenário Ativo'!$B$8</f>
        <v>337714.8</v>
      </c>
      <c r="R11" s="372">
        <f>R6*('🔧 Cenário Ativo'!$B$6+'🔧 Cenário Ativo'!$B$9)+R7*'🔧 Cenário Ativo'!$B$7+R8*'🔧 Cenário Ativo'!$B$8</f>
        <v>355614.4</v>
      </c>
      <c r="S11" s="372">
        <f>S6*('🔧 Cenário Ativo'!$B$6+'🔧 Cenário Ativo'!$B$9)+S7*'🔧 Cenário Ativo'!$B$7+S8*'🔧 Cenário Ativo'!$B$8</f>
        <v>372495.79999999993</v>
      </c>
      <c r="T11" s="372">
        <f>T6*('🔧 Cenário Ativo'!$B$6+'🔧 Cenário Ativo'!$B$9)+T7*'🔧 Cenário Ativo'!$B$7+T8*'🔧 Cenário Ativo'!$B$8</f>
        <v>388428.9</v>
      </c>
      <c r="U11" s="372">
        <f>U6*('🔧 Cenário Ativo'!$B$6+'🔧 Cenário Ativo'!$B$9)+U7*'🔧 Cenário Ativo'!$B$7+U8*'🔧 Cenário Ativo'!$B$8</f>
        <v>403453.6</v>
      </c>
      <c r="V11" s="372">
        <f>V6*('🔧 Cenário Ativo'!$B$6+'🔧 Cenário Ativo'!$B$9)+V7*'🔧 Cenário Ativo'!$B$7+V8*'🔧 Cenário Ativo'!$B$8</f>
        <v>417639.80000000005</v>
      </c>
      <c r="W11" s="372">
        <f>W6*('🔧 Cenário Ativo'!$B$6+'🔧 Cenário Ativo'!$B$9)+W7*'🔧 Cenário Ativo'!$B$7+W8*'🔧 Cenário Ativo'!$B$8</f>
        <v>431097.3</v>
      </c>
      <c r="X11" s="372">
        <f>X6*('🔧 Cenário Ativo'!$B$6+'🔧 Cenário Ativo'!$B$9)+X7*'🔧 Cenário Ativo'!$B$7+X8*'🔧 Cenário Ativo'!$B$8</f>
        <v>443826.1</v>
      </c>
      <c r="Y11" s="372">
        <f>Y6*('🔧 Cenário Ativo'!$B$6+'🔧 Cenário Ativo'!$B$9)+Y7*'🔧 Cenário Ativo'!$B$7+Y8*'🔧 Cenário Ativo'!$B$8</f>
        <v>455796.2</v>
      </c>
      <c r="Z11" s="372">
        <f>Z6*('🔧 Cenário Ativo'!$B$6+'🔧 Cenário Ativo'!$B$9)+Z7*'🔧 Cenário Ativo'!$B$7+Z8*'🔧 Cenário Ativo'!$B$8</f>
        <v>467197.3</v>
      </c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</row>
    <row r="12" spans="1:531" ht="19.5" customHeight="1" x14ac:dyDescent="0.2">
      <c r="A12" s="262" t="s">
        <v>325</v>
      </c>
      <c r="B12" s="363" t="s">
        <v>192</v>
      </c>
      <c r="C12" s="373">
        <f>C11</f>
        <v>21562</v>
      </c>
      <c r="D12" s="373">
        <f t="shared" ref="D12:Z12" si="2">C12+D11</f>
        <v>74169.399999999994</v>
      </c>
      <c r="E12" s="373">
        <f t="shared" si="2"/>
        <v>155915.69999999998</v>
      </c>
      <c r="F12" s="373">
        <f t="shared" si="2"/>
        <v>264994.19999999995</v>
      </c>
      <c r="G12" s="373">
        <f t="shared" si="2"/>
        <v>399837.79999999993</v>
      </c>
      <c r="H12" s="373">
        <f t="shared" si="2"/>
        <v>558899.29999999993</v>
      </c>
      <c r="I12" s="373">
        <f t="shared" si="2"/>
        <v>740691.39999999991</v>
      </c>
      <c r="J12" s="373">
        <f t="shared" si="2"/>
        <v>943906.49999999988</v>
      </c>
      <c r="K12" s="373">
        <f t="shared" si="2"/>
        <v>1167346.7999999998</v>
      </c>
      <c r="L12" s="373">
        <f t="shared" si="2"/>
        <v>1409834.4</v>
      </c>
      <c r="M12" s="373">
        <f t="shared" si="2"/>
        <v>1670271.2999999998</v>
      </c>
      <c r="N12" s="373">
        <f t="shared" si="2"/>
        <v>1947589.4</v>
      </c>
      <c r="O12" s="373">
        <f t="shared" si="2"/>
        <v>2246230.9</v>
      </c>
      <c r="P12" s="373">
        <f t="shared" si="2"/>
        <v>2564998</v>
      </c>
      <c r="Q12" s="373">
        <f t="shared" si="2"/>
        <v>2902712.8</v>
      </c>
      <c r="R12" s="373">
        <f t="shared" si="2"/>
        <v>3258327.1999999997</v>
      </c>
      <c r="S12" s="373">
        <f t="shared" si="2"/>
        <v>3630822.9999999995</v>
      </c>
      <c r="T12" s="373">
        <f t="shared" si="2"/>
        <v>4019251.8999999994</v>
      </c>
      <c r="U12" s="373">
        <f t="shared" si="2"/>
        <v>4422705.4999999991</v>
      </c>
      <c r="V12" s="373">
        <f t="shared" si="2"/>
        <v>4840345.2999999989</v>
      </c>
      <c r="W12" s="373">
        <f t="shared" si="2"/>
        <v>5271442.5999999987</v>
      </c>
      <c r="X12" s="373">
        <f t="shared" si="2"/>
        <v>5715268.6999999983</v>
      </c>
      <c r="Y12" s="373">
        <f t="shared" si="2"/>
        <v>6171064.8999999985</v>
      </c>
      <c r="Z12" s="374">
        <f t="shared" si="2"/>
        <v>6638262.1999999983</v>
      </c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2"/>
      <c r="FO12" s="52"/>
      <c r="FP12" s="52"/>
      <c r="FQ12" s="52"/>
      <c r="FR12" s="52"/>
      <c r="FS12" s="52"/>
      <c r="FT12" s="52"/>
      <c r="FU12" s="52"/>
      <c r="FV12" s="52"/>
      <c r="FW12" s="52"/>
      <c r="FX12" s="52"/>
      <c r="FY12" s="52"/>
      <c r="FZ12" s="52"/>
      <c r="GA12" s="52"/>
      <c r="GB12" s="52"/>
      <c r="GC12" s="52"/>
      <c r="GD12" s="52"/>
      <c r="GE12" s="52"/>
      <c r="GF12" s="52"/>
      <c r="GG12" s="52"/>
      <c r="GH12" s="52"/>
      <c r="GI12" s="52"/>
      <c r="GJ12" s="52"/>
      <c r="GK12" s="52"/>
      <c r="GL12" s="52"/>
      <c r="GM12" s="52"/>
      <c r="GN12" s="52"/>
      <c r="GO12" s="52"/>
      <c r="GP12" s="52"/>
      <c r="GQ12" s="52"/>
      <c r="GR12" s="52"/>
      <c r="GS12" s="52"/>
      <c r="GT12" s="52"/>
      <c r="GU12" s="52"/>
      <c r="GV12" s="52"/>
      <c r="GW12" s="52"/>
      <c r="GX12" s="52"/>
      <c r="GY12" s="52"/>
      <c r="GZ12" s="52"/>
      <c r="HA12" s="52"/>
      <c r="HB12" s="52"/>
      <c r="HC12" s="52"/>
      <c r="HD12" s="52"/>
      <c r="HE12" s="52"/>
      <c r="HF12" s="52"/>
      <c r="HG12" s="52"/>
      <c r="HH12" s="52"/>
      <c r="HI12" s="52"/>
      <c r="HJ12" s="52"/>
      <c r="HK12" s="52"/>
      <c r="HL12" s="52"/>
      <c r="HM12" s="52"/>
      <c r="HN12" s="52"/>
      <c r="HO12" s="52"/>
      <c r="HP12" s="52"/>
      <c r="HQ12" s="52"/>
      <c r="HR12" s="52"/>
      <c r="HS12" s="52"/>
      <c r="HT12" s="52"/>
      <c r="HU12" s="52"/>
      <c r="HV12" s="52"/>
      <c r="HW12" s="52"/>
      <c r="HX12" s="52"/>
      <c r="HY12" s="52"/>
      <c r="HZ12" s="52"/>
      <c r="IA12" s="52"/>
      <c r="IB12" s="52"/>
      <c r="IC12" s="52"/>
      <c r="ID12" s="52"/>
      <c r="IE12" s="52"/>
      <c r="IF12" s="52"/>
      <c r="IG12" s="52"/>
      <c r="IH12" s="52"/>
      <c r="II12" s="52"/>
      <c r="IJ12" s="52"/>
      <c r="IK12" s="52"/>
      <c r="IL12" s="52"/>
      <c r="IM12" s="52"/>
      <c r="IN12" s="52"/>
      <c r="IO12" s="52"/>
      <c r="IP12" s="52"/>
      <c r="IQ12" s="52"/>
      <c r="IR12" s="52"/>
      <c r="IS12" s="52"/>
      <c r="IT12" s="52"/>
      <c r="IU12" s="52"/>
      <c r="IV12" s="52"/>
      <c r="IW12" s="52"/>
      <c r="IX12" s="52"/>
      <c r="IY12" s="52"/>
      <c r="IZ12" s="52"/>
      <c r="JA12" s="52"/>
      <c r="JB12" s="52"/>
      <c r="JC12" s="52"/>
      <c r="JD12" s="52"/>
      <c r="JE12" s="52"/>
      <c r="JF12" s="52"/>
      <c r="JG12" s="52"/>
      <c r="JH12" s="52"/>
      <c r="JI12" s="52"/>
      <c r="JJ12" s="52"/>
      <c r="JK12" s="52"/>
      <c r="JL12" s="52"/>
      <c r="JM12" s="52"/>
      <c r="JN12" s="52"/>
      <c r="JO12" s="52"/>
      <c r="JP12" s="52"/>
      <c r="JQ12" s="52"/>
      <c r="JR12" s="52"/>
      <c r="JS12" s="52"/>
      <c r="JT12" s="52"/>
      <c r="JU12" s="52"/>
      <c r="JV12" s="52"/>
      <c r="JW12" s="52"/>
      <c r="JX12" s="52"/>
      <c r="JY12" s="52"/>
      <c r="JZ12" s="52"/>
      <c r="KA12" s="52"/>
      <c r="KB12" s="52"/>
      <c r="KC12" s="52"/>
      <c r="KD12" s="52"/>
      <c r="KE12" s="52"/>
      <c r="KF12" s="52"/>
      <c r="KG12" s="52"/>
      <c r="KH12" s="52"/>
      <c r="KI12" s="52"/>
      <c r="KJ12" s="52"/>
      <c r="KK12" s="52"/>
      <c r="KL12" s="52"/>
      <c r="KM12" s="52"/>
      <c r="KN12" s="52"/>
      <c r="KO12" s="52"/>
      <c r="KP12" s="52"/>
      <c r="KQ12" s="52"/>
      <c r="KR12" s="52"/>
      <c r="KS12" s="52"/>
      <c r="KT12" s="52"/>
      <c r="KU12" s="52"/>
      <c r="KV12" s="52"/>
      <c r="KW12" s="52"/>
      <c r="KX12" s="52"/>
      <c r="KY12" s="52"/>
      <c r="KZ12" s="52"/>
      <c r="LA12" s="52"/>
      <c r="LB12" s="52"/>
      <c r="LC12" s="52"/>
      <c r="LD12" s="52"/>
      <c r="LE12" s="52"/>
      <c r="LF12" s="52"/>
      <c r="LG12" s="52"/>
      <c r="LH12" s="52"/>
      <c r="LI12" s="52"/>
      <c r="LJ12" s="52"/>
      <c r="LK12" s="52"/>
      <c r="LL12" s="52"/>
      <c r="LM12" s="52"/>
      <c r="LN12" s="52"/>
      <c r="LO12" s="52"/>
      <c r="LP12" s="52"/>
      <c r="LQ12" s="52"/>
      <c r="LR12" s="52"/>
      <c r="LS12" s="52"/>
      <c r="LT12" s="52"/>
      <c r="LU12" s="52"/>
      <c r="LV12" s="52"/>
      <c r="LW12" s="52"/>
      <c r="LX12" s="52"/>
      <c r="LY12" s="52"/>
      <c r="LZ12" s="52"/>
      <c r="MA12" s="52"/>
      <c r="MB12" s="52"/>
      <c r="MC12" s="52"/>
      <c r="MD12" s="52"/>
      <c r="ME12" s="52"/>
      <c r="MF12" s="52"/>
      <c r="MG12" s="52"/>
      <c r="MH12" s="52"/>
      <c r="MI12" s="52"/>
      <c r="MJ12" s="52"/>
      <c r="MK12" s="52"/>
      <c r="ML12" s="52"/>
      <c r="MM12" s="52"/>
      <c r="MN12" s="52"/>
      <c r="MO12" s="52"/>
      <c r="MP12" s="52"/>
      <c r="MQ12" s="52"/>
      <c r="MR12" s="52"/>
      <c r="MS12" s="52"/>
      <c r="MT12" s="52"/>
      <c r="MU12" s="52"/>
      <c r="MV12" s="52"/>
      <c r="MW12" s="52"/>
      <c r="MX12" s="52"/>
      <c r="MY12" s="52"/>
      <c r="MZ12" s="52"/>
      <c r="NA12" s="52"/>
      <c r="NB12" s="52"/>
      <c r="NC12" s="52"/>
      <c r="ND12" s="52"/>
      <c r="NE12" s="52"/>
      <c r="NF12" s="52"/>
      <c r="NG12" s="52"/>
      <c r="NH12" s="52"/>
      <c r="NI12" s="52"/>
      <c r="NJ12" s="52"/>
      <c r="NK12" s="52"/>
      <c r="NL12" s="52"/>
      <c r="NM12" s="52"/>
      <c r="NN12" s="52"/>
      <c r="NO12" s="52"/>
      <c r="NP12" s="52"/>
      <c r="NQ12" s="52"/>
      <c r="NR12" s="52"/>
      <c r="NS12" s="52"/>
      <c r="NT12" s="52"/>
      <c r="NU12" s="52"/>
      <c r="NV12" s="52"/>
      <c r="NW12" s="52"/>
      <c r="NX12" s="52"/>
      <c r="NY12" s="52"/>
      <c r="NZ12" s="52"/>
      <c r="OA12" s="52"/>
      <c r="OB12" s="52"/>
      <c r="OC12" s="52"/>
      <c r="OD12" s="52"/>
      <c r="OE12" s="52"/>
      <c r="OF12" s="52"/>
      <c r="OG12" s="52"/>
      <c r="OH12" s="52"/>
      <c r="OI12" s="52"/>
      <c r="OJ12" s="52"/>
      <c r="OK12" s="52"/>
      <c r="OL12" s="52"/>
      <c r="OM12" s="52"/>
      <c r="ON12" s="52"/>
      <c r="OO12" s="52"/>
      <c r="OP12" s="52"/>
      <c r="OQ12" s="52"/>
      <c r="OR12" s="52"/>
      <c r="OS12" s="52"/>
      <c r="OT12" s="52"/>
      <c r="OU12" s="52"/>
      <c r="OV12" s="52"/>
      <c r="OW12" s="52"/>
      <c r="OX12" s="52"/>
      <c r="OY12" s="52"/>
      <c r="OZ12" s="52"/>
      <c r="PA12" s="52"/>
      <c r="PB12" s="52"/>
      <c r="PC12" s="52"/>
      <c r="PD12" s="52"/>
      <c r="PE12" s="52"/>
      <c r="PF12" s="52"/>
      <c r="PG12" s="52"/>
      <c r="PH12" s="52"/>
      <c r="PI12" s="52"/>
      <c r="PJ12" s="52"/>
      <c r="PK12" s="52"/>
      <c r="PL12" s="52"/>
      <c r="PM12" s="52"/>
      <c r="PN12" s="52"/>
      <c r="PO12" s="52"/>
      <c r="PP12" s="52"/>
      <c r="PQ12" s="52"/>
      <c r="PR12" s="52"/>
      <c r="PS12" s="52"/>
      <c r="PT12" s="52"/>
      <c r="PU12" s="52"/>
      <c r="PV12" s="52"/>
      <c r="PW12" s="52"/>
      <c r="PX12" s="52"/>
      <c r="PY12" s="52"/>
      <c r="PZ12" s="52"/>
      <c r="QA12" s="52"/>
      <c r="QB12" s="52"/>
      <c r="QC12" s="52"/>
      <c r="QD12" s="52"/>
      <c r="QE12" s="52"/>
      <c r="QF12" s="52"/>
      <c r="QG12" s="52"/>
      <c r="QH12" s="52"/>
      <c r="QI12" s="52"/>
      <c r="QJ12" s="52"/>
      <c r="QK12" s="52"/>
      <c r="QL12" s="52"/>
      <c r="QM12" s="52"/>
      <c r="QN12" s="52"/>
      <c r="QO12" s="52"/>
      <c r="QP12" s="52"/>
      <c r="QQ12" s="52"/>
      <c r="QR12" s="52"/>
      <c r="QS12" s="52"/>
      <c r="QT12" s="52"/>
      <c r="QU12" s="52"/>
      <c r="QV12" s="52"/>
      <c r="QW12" s="52"/>
      <c r="QX12" s="52"/>
      <c r="QY12" s="52"/>
      <c r="QZ12" s="52"/>
      <c r="RA12" s="52"/>
      <c r="RB12" s="52"/>
      <c r="RC12" s="52"/>
      <c r="RD12" s="52"/>
      <c r="RE12" s="52"/>
      <c r="RF12" s="52"/>
      <c r="RG12" s="52"/>
      <c r="RH12" s="52"/>
      <c r="RI12" s="52"/>
      <c r="RJ12" s="52"/>
      <c r="RK12" s="52"/>
      <c r="RL12" s="52"/>
      <c r="RM12" s="52"/>
      <c r="RN12" s="52"/>
      <c r="RO12" s="52"/>
      <c r="RP12" s="52"/>
      <c r="RQ12" s="52"/>
      <c r="RR12" s="52"/>
      <c r="RS12" s="52"/>
      <c r="RT12" s="52"/>
      <c r="RU12" s="52"/>
      <c r="RV12" s="52"/>
      <c r="RW12" s="52"/>
      <c r="RX12" s="52"/>
      <c r="RY12" s="52"/>
      <c r="RZ12" s="52"/>
      <c r="SA12" s="52"/>
      <c r="SB12" s="52"/>
      <c r="SC12" s="52"/>
      <c r="SD12" s="52"/>
      <c r="SE12" s="52"/>
      <c r="SF12" s="52"/>
      <c r="SG12" s="52"/>
      <c r="SH12" s="52"/>
      <c r="SI12" s="52"/>
      <c r="SJ12" s="52"/>
      <c r="SK12" s="52"/>
      <c r="SL12" s="52"/>
      <c r="SM12" s="52"/>
      <c r="SN12" s="52"/>
      <c r="SO12" s="52"/>
      <c r="SP12" s="52"/>
      <c r="SQ12" s="52"/>
      <c r="SR12" s="52"/>
      <c r="SS12" s="52"/>
      <c r="ST12" s="52"/>
      <c r="SU12" s="52"/>
      <c r="SV12" s="52"/>
      <c r="SW12" s="52"/>
      <c r="SX12" s="52"/>
      <c r="SY12" s="52"/>
      <c r="SZ12" s="52"/>
      <c r="TA12" s="52"/>
      <c r="TB12" s="52"/>
      <c r="TC12" s="52"/>
      <c r="TD12" s="52"/>
      <c r="TE12" s="52"/>
      <c r="TF12" s="52"/>
      <c r="TG12" s="52"/>
      <c r="TH12" s="52"/>
      <c r="TI12" s="52"/>
      <c r="TJ12" s="52"/>
      <c r="TK12" s="52"/>
    </row>
    <row r="13" spans="1:531" s="4" customFormat="1" ht="24" customHeight="1" x14ac:dyDescent="0.2">
      <c r="A13" s="375" t="s">
        <v>193</v>
      </c>
      <c r="B13" s="376"/>
      <c r="C13" s="376"/>
      <c r="D13" s="376"/>
      <c r="E13" s="376"/>
      <c r="F13" s="376"/>
      <c r="G13" s="376"/>
      <c r="H13" s="376"/>
      <c r="I13" s="376"/>
      <c r="J13" s="376"/>
      <c r="K13" s="376"/>
      <c r="L13" s="376"/>
      <c r="M13" s="376"/>
      <c r="N13" s="376"/>
      <c r="O13" s="376"/>
      <c r="P13" s="376"/>
      <c r="Q13" s="376"/>
      <c r="R13" s="376"/>
      <c r="S13" s="376"/>
      <c r="T13" s="376"/>
      <c r="U13" s="376"/>
      <c r="V13" s="376"/>
      <c r="W13" s="376"/>
      <c r="X13" s="376"/>
      <c r="Y13" s="376"/>
      <c r="Z13" s="377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  <c r="FK13" s="52"/>
      <c r="FL13" s="52"/>
      <c r="FM13" s="52"/>
      <c r="FN13" s="52"/>
      <c r="FO13" s="52"/>
      <c r="FP13" s="52"/>
      <c r="FQ13" s="52"/>
      <c r="FR13" s="52"/>
      <c r="FS13" s="52"/>
      <c r="FT13" s="52"/>
      <c r="FU13" s="52"/>
      <c r="FV13" s="52"/>
      <c r="FW13" s="52"/>
      <c r="FX13" s="52"/>
      <c r="FY13" s="52"/>
      <c r="FZ13" s="52"/>
      <c r="GA13" s="52"/>
      <c r="GB13" s="52"/>
      <c r="GC13" s="52"/>
      <c r="GD13" s="52"/>
      <c r="GE13" s="52"/>
      <c r="GF13" s="52"/>
      <c r="GG13" s="52"/>
      <c r="GH13" s="52"/>
      <c r="GI13" s="52"/>
      <c r="GJ13" s="52"/>
      <c r="GK13" s="52"/>
      <c r="GL13" s="52"/>
      <c r="GM13" s="52"/>
      <c r="GN13" s="52"/>
      <c r="GO13" s="52"/>
      <c r="GP13" s="52"/>
      <c r="GQ13" s="52"/>
      <c r="GR13" s="52"/>
      <c r="GS13" s="52"/>
      <c r="GT13" s="52"/>
      <c r="GU13" s="52"/>
      <c r="GV13" s="52"/>
      <c r="GW13" s="52"/>
      <c r="GX13" s="52"/>
      <c r="GY13" s="52"/>
      <c r="GZ13" s="52"/>
      <c r="HA13" s="52"/>
      <c r="HB13" s="52"/>
      <c r="HC13" s="52"/>
      <c r="HD13" s="52"/>
      <c r="HE13" s="52"/>
      <c r="HF13" s="52"/>
      <c r="HG13" s="52"/>
      <c r="HH13" s="52"/>
      <c r="HI13" s="52"/>
      <c r="HJ13" s="52"/>
      <c r="HK13" s="52"/>
      <c r="HL13" s="52"/>
      <c r="HM13" s="52"/>
      <c r="HN13" s="52"/>
      <c r="HO13" s="52"/>
      <c r="HP13" s="52"/>
      <c r="HQ13" s="52"/>
      <c r="HR13" s="52"/>
      <c r="HS13" s="52"/>
      <c r="HT13" s="52"/>
      <c r="HU13" s="52"/>
      <c r="HV13" s="52"/>
      <c r="HW13" s="52"/>
      <c r="HX13" s="52"/>
      <c r="HY13" s="52"/>
      <c r="HZ13" s="52"/>
      <c r="IA13" s="52"/>
      <c r="IB13" s="52"/>
      <c r="IC13" s="52"/>
      <c r="ID13" s="52"/>
      <c r="IE13" s="52"/>
      <c r="IF13" s="52"/>
      <c r="IG13" s="52"/>
      <c r="IH13" s="52"/>
      <c r="II13" s="52"/>
      <c r="IJ13" s="52"/>
      <c r="IK13" s="52"/>
      <c r="IL13" s="52"/>
      <c r="IM13" s="52"/>
      <c r="IN13" s="52"/>
      <c r="IO13" s="52"/>
      <c r="IP13" s="52"/>
      <c r="IQ13" s="52"/>
      <c r="IR13" s="52"/>
      <c r="IS13" s="52"/>
      <c r="IT13" s="52"/>
      <c r="IU13" s="52"/>
      <c r="IV13" s="52"/>
      <c r="IW13" s="52"/>
      <c r="IX13" s="52"/>
      <c r="IY13" s="52"/>
      <c r="IZ13" s="52"/>
      <c r="JA13" s="52"/>
      <c r="JB13" s="52"/>
      <c r="JC13" s="52"/>
      <c r="JD13" s="52"/>
      <c r="JE13" s="52"/>
      <c r="JF13" s="52"/>
      <c r="JG13" s="52"/>
      <c r="JH13" s="52"/>
      <c r="JI13" s="52"/>
      <c r="JJ13" s="52"/>
      <c r="JK13" s="52"/>
      <c r="JL13" s="52"/>
      <c r="JM13" s="52"/>
      <c r="JN13" s="52"/>
      <c r="JO13" s="52"/>
      <c r="JP13" s="52"/>
      <c r="JQ13" s="52"/>
      <c r="JR13" s="52"/>
      <c r="JS13" s="52"/>
      <c r="JT13" s="52"/>
      <c r="JU13" s="52"/>
      <c r="JV13" s="52"/>
      <c r="JW13" s="52"/>
      <c r="JX13" s="52"/>
      <c r="JY13" s="52"/>
      <c r="JZ13" s="52"/>
      <c r="KA13" s="52"/>
      <c r="KB13" s="52"/>
      <c r="KC13" s="52"/>
      <c r="KD13" s="52"/>
      <c r="KE13" s="52"/>
      <c r="KF13" s="52"/>
      <c r="KG13" s="52"/>
      <c r="KH13" s="52"/>
      <c r="KI13" s="52"/>
      <c r="KJ13" s="52"/>
      <c r="KK13" s="52"/>
      <c r="KL13" s="52"/>
      <c r="KM13" s="52"/>
      <c r="KN13" s="52"/>
      <c r="KO13" s="52"/>
      <c r="KP13" s="52"/>
      <c r="KQ13" s="52"/>
      <c r="KR13" s="52"/>
      <c r="KS13" s="52"/>
      <c r="KT13" s="52"/>
      <c r="KU13" s="52"/>
      <c r="KV13" s="52"/>
      <c r="KW13" s="52"/>
      <c r="KX13" s="52"/>
      <c r="KY13" s="52"/>
      <c r="KZ13" s="52"/>
      <c r="LA13" s="52"/>
      <c r="LB13" s="52"/>
      <c r="LC13" s="52"/>
      <c r="LD13" s="52"/>
      <c r="LE13" s="52"/>
      <c r="LF13" s="52"/>
      <c r="LG13" s="52"/>
      <c r="LH13" s="52"/>
      <c r="LI13" s="52"/>
      <c r="LJ13" s="52"/>
      <c r="LK13" s="52"/>
      <c r="LL13" s="52"/>
      <c r="LM13" s="52"/>
      <c r="LN13" s="52"/>
      <c r="LO13" s="52"/>
      <c r="LP13" s="52"/>
      <c r="LQ13" s="52"/>
      <c r="LR13" s="52"/>
      <c r="LS13" s="52"/>
      <c r="LT13" s="52"/>
      <c r="LU13" s="52"/>
      <c r="LV13" s="52"/>
      <c r="LW13" s="52"/>
      <c r="LX13" s="52"/>
      <c r="LY13" s="52"/>
      <c r="LZ13" s="52"/>
      <c r="MA13" s="52"/>
      <c r="MB13" s="52"/>
      <c r="MC13" s="52"/>
      <c r="MD13" s="52"/>
      <c r="ME13" s="52"/>
      <c r="MF13" s="52"/>
      <c r="MG13" s="52"/>
      <c r="MH13" s="52"/>
      <c r="MI13" s="52"/>
      <c r="MJ13" s="52"/>
      <c r="MK13" s="52"/>
      <c r="ML13" s="52"/>
      <c r="MM13" s="52"/>
      <c r="MN13" s="52"/>
      <c r="MO13" s="52"/>
      <c r="MP13" s="52"/>
      <c r="MQ13" s="52"/>
      <c r="MR13" s="52"/>
      <c r="MS13" s="52"/>
      <c r="MT13" s="52"/>
      <c r="MU13" s="52"/>
      <c r="MV13" s="52"/>
      <c r="MW13" s="52"/>
      <c r="MX13" s="52"/>
      <c r="MY13" s="52"/>
      <c r="MZ13" s="52"/>
      <c r="NA13" s="52"/>
      <c r="NB13" s="52"/>
      <c r="NC13" s="52"/>
      <c r="ND13" s="52"/>
      <c r="NE13" s="52"/>
      <c r="NF13" s="52"/>
      <c r="NG13" s="52"/>
      <c r="NH13" s="52"/>
      <c r="NI13" s="52"/>
      <c r="NJ13" s="52"/>
      <c r="NK13" s="52"/>
      <c r="NL13" s="52"/>
      <c r="NM13" s="52"/>
      <c r="NN13" s="52"/>
      <c r="NO13" s="52"/>
      <c r="NP13" s="52"/>
      <c r="NQ13" s="52"/>
      <c r="NR13" s="52"/>
      <c r="NS13" s="52"/>
      <c r="NT13" s="52"/>
      <c r="NU13" s="52"/>
      <c r="NV13" s="52"/>
      <c r="NW13" s="52"/>
      <c r="NX13" s="52"/>
      <c r="NY13" s="52"/>
      <c r="NZ13" s="52"/>
      <c r="OA13" s="52"/>
      <c r="OB13" s="52"/>
      <c r="OC13" s="52"/>
      <c r="OD13" s="52"/>
      <c r="OE13" s="52"/>
      <c r="OF13" s="52"/>
      <c r="OG13" s="52"/>
      <c r="OH13" s="52"/>
      <c r="OI13" s="52"/>
      <c r="OJ13" s="52"/>
      <c r="OK13" s="52"/>
      <c r="OL13" s="52"/>
      <c r="OM13" s="52"/>
      <c r="ON13" s="52"/>
      <c r="OO13" s="52"/>
      <c r="OP13" s="52"/>
      <c r="OQ13" s="52"/>
      <c r="OR13" s="52"/>
      <c r="OS13" s="52"/>
      <c r="OT13" s="52"/>
      <c r="OU13" s="52"/>
      <c r="OV13" s="52"/>
      <c r="OW13" s="52"/>
      <c r="OX13" s="52"/>
      <c r="OY13" s="52"/>
      <c r="OZ13" s="52"/>
      <c r="PA13" s="52"/>
      <c r="PB13" s="52"/>
      <c r="PC13" s="52"/>
      <c r="PD13" s="52"/>
      <c r="PE13" s="52"/>
      <c r="PF13" s="52"/>
      <c r="PG13" s="52"/>
      <c r="PH13" s="52"/>
      <c r="PI13" s="52"/>
      <c r="PJ13" s="52"/>
      <c r="PK13" s="52"/>
      <c r="PL13" s="52"/>
      <c r="PM13" s="52"/>
      <c r="PN13" s="52"/>
      <c r="PO13" s="52"/>
      <c r="PP13" s="52"/>
      <c r="PQ13" s="52"/>
      <c r="PR13" s="52"/>
      <c r="PS13" s="52"/>
      <c r="PT13" s="52"/>
      <c r="PU13" s="52"/>
      <c r="PV13" s="52"/>
      <c r="PW13" s="52"/>
      <c r="PX13" s="52"/>
      <c r="PY13" s="52"/>
      <c r="PZ13" s="52"/>
      <c r="QA13" s="52"/>
      <c r="QB13" s="52"/>
      <c r="QC13" s="52"/>
      <c r="QD13" s="52"/>
      <c r="QE13" s="52"/>
      <c r="QF13" s="52"/>
      <c r="QG13" s="52"/>
      <c r="QH13" s="52"/>
      <c r="QI13" s="52"/>
      <c r="QJ13" s="52"/>
      <c r="QK13" s="52"/>
      <c r="QL13" s="52"/>
      <c r="QM13" s="52"/>
      <c r="QN13" s="52"/>
      <c r="QO13" s="52"/>
      <c r="QP13" s="52"/>
      <c r="QQ13" s="52"/>
      <c r="QR13" s="52"/>
      <c r="QS13" s="52"/>
      <c r="QT13" s="52"/>
      <c r="QU13" s="52"/>
      <c r="QV13" s="52"/>
      <c r="QW13" s="52"/>
      <c r="QX13" s="52"/>
      <c r="QY13" s="52"/>
      <c r="QZ13" s="52"/>
      <c r="RA13" s="52"/>
      <c r="RB13" s="52"/>
      <c r="RC13" s="52"/>
      <c r="RD13" s="52"/>
      <c r="RE13" s="52"/>
      <c r="RF13" s="52"/>
      <c r="RG13" s="52"/>
      <c r="RH13" s="52"/>
      <c r="RI13" s="52"/>
      <c r="RJ13" s="52"/>
      <c r="RK13" s="52"/>
      <c r="RL13" s="52"/>
      <c r="RM13" s="52"/>
      <c r="RN13" s="52"/>
      <c r="RO13" s="52"/>
      <c r="RP13" s="52"/>
      <c r="RQ13" s="52"/>
      <c r="RR13" s="52"/>
      <c r="RS13" s="52"/>
      <c r="RT13" s="52"/>
      <c r="RU13" s="52"/>
      <c r="RV13" s="52"/>
      <c r="RW13" s="52"/>
      <c r="RX13" s="52"/>
      <c r="RY13" s="52"/>
      <c r="RZ13" s="52"/>
      <c r="SA13" s="52"/>
      <c r="SB13" s="52"/>
      <c r="SC13" s="52"/>
      <c r="SD13" s="52"/>
      <c r="SE13" s="52"/>
      <c r="SF13" s="52"/>
      <c r="SG13" s="52"/>
      <c r="SH13" s="52"/>
      <c r="SI13" s="52"/>
      <c r="SJ13" s="52"/>
      <c r="SK13" s="52"/>
      <c r="SL13" s="52"/>
      <c r="SM13" s="52"/>
      <c r="SN13" s="52"/>
      <c r="SO13" s="52"/>
      <c r="SP13" s="52"/>
      <c r="SQ13" s="52"/>
      <c r="SR13" s="52"/>
      <c r="SS13" s="52"/>
      <c r="ST13" s="52"/>
      <c r="SU13" s="52"/>
      <c r="SV13" s="52"/>
      <c r="SW13" s="52"/>
      <c r="SX13" s="52"/>
      <c r="SY13" s="52"/>
      <c r="SZ13" s="52"/>
      <c r="TA13" s="52"/>
      <c r="TB13" s="52"/>
      <c r="TC13" s="52"/>
      <c r="TD13" s="52"/>
      <c r="TE13" s="52"/>
      <c r="TF13" s="52"/>
      <c r="TG13" s="52"/>
      <c r="TH13" s="52"/>
      <c r="TI13" s="52"/>
      <c r="TJ13" s="52"/>
      <c r="TK13" s="52"/>
    </row>
    <row r="14" spans="1:531" ht="19.5" customHeight="1" x14ac:dyDescent="0.2">
      <c r="A14" s="262" t="s">
        <v>646</v>
      </c>
      <c r="B14" s="363" t="s">
        <v>192</v>
      </c>
      <c r="C14" s="378">
        <f>C5*'🔧 Cenário Ativo'!$B$21*('🔧 Cenário Ativo'!$B$18*('🔧 Cenário Ativo'!$B$19/1000000*'🔧 Cenário Ativo'!$B$14+'🔧 Cenário Ativo'!$B$20/1000000*'🔧 Cenário Ativo'!$B$15)*(1-'🔧 Cenário Ativo'!$B$16)*'🔧 Cenário Ativo'!$B$11)</f>
        <v>542.58749999999998</v>
      </c>
      <c r="D14" s="378">
        <f>D5*'🔧 Cenário Ativo'!$B$21*('🔧 Cenário Ativo'!$B$18*('🔧 Cenário Ativo'!$B$19/1000000*'🔧 Cenário Ativo'!$B$14+'🔧 Cenário Ativo'!$B$20/1000000*'🔧 Cenário Ativo'!$B$15)*(1-'🔧 Cenário Ativo'!$B$16)*'🔧 Cenário Ativo'!$B$11)</f>
        <v>813.88125000000002</v>
      </c>
      <c r="E14" s="378">
        <f>E5*'🔧 Cenário Ativo'!$B$21*('🔧 Cenário Ativo'!$B$18*('🔧 Cenário Ativo'!$B$19/1000000*'🔧 Cenário Ativo'!$B$14+'🔧 Cenário Ativo'!$B$20/1000000*'🔧 Cenário Ativo'!$B$15)*(1-'🔧 Cenário Ativo'!$B$16)*'🔧 Cenário Ativo'!$B$11)</f>
        <v>813.88125000000002</v>
      </c>
      <c r="F14" s="378">
        <f>F5*'🔧 Cenário Ativo'!$B$21*('🔧 Cenário Ativo'!$B$18*('🔧 Cenário Ativo'!$B$19/1000000*'🔧 Cenário Ativo'!$B$14+'🔧 Cenário Ativo'!$B$20/1000000*'🔧 Cenário Ativo'!$B$15)*(1-'🔧 Cenário Ativo'!$B$16)*'🔧 Cenário Ativo'!$B$11)</f>
        <v>813.88125000000002</v>
      </c>
      <c r="G14" s="378">
        <f>G5*'🔧 Cenário Ativo'!$B$21*('🔧 Cenário Ativo'!$B$18*('🔧 Cenário Ativo'!$B$19/1000000*'🔧 Cenário Ativo'!$B$14+'🔧 Cenário Ativo'!$B$20/1000000*'🔧 Cenário Ativo'!$B$15)*(1-'🔧 Cenário Ativo'!$B$16)*'🔧 Cenário Ativo'!$B$11)</f>
        <v>813.88125000000002</v>
      </c>
      <c r="H14" s="378">
        <f>H5*'🔧 Cenário Ativo'!$B$21*('🔧 Cenário Ativo'!$B$18*('🔧 Cenário Ativo'!$B$19/1000000*'🔧 Cenário Ativo'!$B$14+'🔧 Cenário Ativo'!$B$20/1000000*'🔧 Cenário Ativo'!$B$15)*(1-'🔧 Cenário Ativo'!$B$16)*'🔧 Cenário Ativo'!$B$11)</f>
        <v>813.88125000000002</v>
      </c>
      <c r="I14" s="378">
        <f>I5*'🔧 Cenário Ativo'!$B$21*('🔧 Cenário Ativo'!$B$18*('🔧 Cenário Ativo'!$B$19/1000000*'🔧 Cenário Ativo'!$B$14+'🔧 Cenário Ativo'!$B$20/1000000*'🔧 Cenário Ativo'!$B$15)*(1-'🔧 Cenário Ativo'!$B$16)*'🔧 Cenário Ativo'!$B$11)</f>
        <v>813.88125000000002</v>
      </c>
      <c r="J14" s="378">
        <f>J5*'🔧 Cenário Ativo'!$B$21*('🔧 Cenário Ativo'!$B$18*('🔧 Cenário Ativo'!$B$19/1000000*'🔧 Cenário Ativo'!$B$14+'🔧 Cenário Ativo'!$B$20/1000000*'🔧 Cenário Ativo'!$B$15)*(1-'🔧 Cenário Ativo'!$B$16)*'🔧 Cenário Ativo'!$B$11)</f>
        <v>813.88125000000002</v>
      </c>
      <c r="K14" s="378">
        <f>K5*'🔧 Cenário Ativo'!$B$21*('🔧 Cenário Ativo'!$B$18*('🔧 Cenário Ativo'!$B$19/1000000*'🔧 Cenário Ativo'!$B$14+'🔧 Cenário Ativo'!$B$20/1000000*'🔧 Cenário Ativo'!$B$15)*(1-'🔧 Cenário Ativo'!$B$16)*'🔧 Cenário Ativo'!$B$11)</f>
        <v>813.88125000000002</v>
      </c>
      <c r="L14" s="378">
        <f>L5*'🔧 Cenário Ativo'!$B$21*('🔧 Cenário Ativo'!$B$18*('🔧 Cenário Ativo'!$B$19/1000000*'🔧 Cenário Ativo'!$B$14+'🔧 Cenário Ativo'!$B$20/1000000*'🔧 Cenário Ativo'!$B$15)*(1-'🔧 Cenário Ativo'!$B$16)*'🔧 Cenário Ativo'!$B$11)</f>
        <v>813.88125000000002</v>
      </c>
      <c r="M14" s="378">
        <f>M5*'🔧 Cenário Ativo'!$B$21*('🔧 Cenário Ativo'!$B$18*('🔧 Cenário Ativo'!$B$19/1000000*'🔧 Cenário Ativo'!$B$14+'🔧 Cenário Ativo'!$B$20/1000000*'🔧 Cenário Ativo'!$B$15)*(1-'🔧 Cenário Ativo'!$B$16)*'🔧 Cenário Ativo'!$B$11)</f>
        <v>813.88125000000002</v>
      </c>
      <c r="N14" s="378">
        <f>N5*'🔧 Cenário Ativo'!$B$21*('🔧 Cenário Ativo'!$B$18*('🔧 Cenário Ativo'!$B$19/1000000*'🔧 Cenário Ativo'!$B$14+'🔧 Cenário Ativo'!$B$20/1000000*'🔧 Cenário Ativo'!$B$15)*(1-'🔧 Cenário Ativo'!$B$16)*'🔧 Cenário Ativo'!$B$11)</f>
        <v>813.88125000000002</v>
      </c>
      <c r="O14" s="378">
        <f>O5*'🔧 Cenário Ativo'!$B$21*('🔧 Cenário Ativo'!$B$18*('🔧 Cenário Ativo'!$B$19/1000000*'🔧 Cenário Ativo'!$B$14+'🔧 Cenário Ativo'!$B$20/1000000*'🔧 Cenário Ativo'!$B$15)*(1-'🔧 Cenário Ativo'!$B$16)*'🔧 Cenário Ativo'!$B$11)</f>
        <v>949.52812500000005</v>
      </c>
      <c r="P14" s="378">
        <f>P5*'🔧 Cenário Ativo'!$B$21*('🔧 Cenário Ativo'!$B$18*('🔧 Cenário Ativo'!$B$19/1000000*'🔧 Cenário Ativo'!$B$14+'🔧 Cenário Ativo'!$B$20/1000000*'🔧 Cenário Ativo'!$B$15)*(1-'🔧 Cenário Ativo'!$B$16)*'🔧 Cenário Ativo'!$B$11)</f>
        <v>949.52812500000005</v>
      </c>
      <c r="Q14" s="378">
        <f>Q5*'🔧 Cenário Ativo'!$B$21*('🔧 Cenário Ativo'!$B$18*('🔧 Cenário Ativo'!$B$19/1000000*'🔧 Cenário Ativo'!$B$14+'🔧 Cenário Ativo'!$B$20/1000000*'🔧 Cenário Ativo'!$B$15)*(1-'🔧 Cenário Ativo'!$B$16)*'🔧 Cenário Ativo'!$B$11)</f>
        <v>949.52812500000005</v>
      </c>
      <c r="R14" s="378">
        <f>R5*'🔧 Cenário Ativo'!$B$21*('🔧 Cenário Ativo'!$B$18*('🔧 Cenário Ativo'!$B$19/1000000*'🔧 Cenário Ativo'!$B$14+'🔧 Cenário Ativo'!$B$20/1000000*'🔧 Cenário Ativo'!$B$15)*(1-'🔧 Cenário Ativo'!$B$16)*'🔧 Cenário Ativo'!$B$11)</f>
        <v>949.52812500000005</v>
      </c>
      <c r="S14" s="378">
        <f>S5*'🔧 Cenário Ativo'!$B$21*('🔧 Cenário Ativo'!$B$18*('🔧 Cenário Ativo'!$B$19/1000000*'🔧 Cenário Ativo'!$B$14+'🔧 Cenário Ativo'!$B$20/1000000*'🔧 Cenário Ativo'!$B$15)*(1-'🔧 Cenário Ativo'!$B$16)*'🔧 Cenário Ativo'!$B$11)</f>
        <v>949.52812500000005</v>
      </c>
      <c r="T14" s="378">
        <f>T5*'🔧 Cenário Ativo'!$B$21*('🔧 Cenário Ativo'!$B$18*('🔧 Cenário Ativo'!$B$19/1000000*'🔧 Cenário Ativo'!$B$14+'🔧 Cenário Ativo'!$B$20/1000000*'🔧 Cenário Ativo'!$B$15)*(1-'🔧 Cenário Ativo'!$B$16)*'🔧 Cenário Ativo'!$B$11)</f>
        <v>949.52812500000005</v>
      </c>
      <c r="U14" s="378">
        <f>U5*'🔧 Cenário Ativo'!$B$21*('🔧 Cenário Ativo'!$B$18*('🔧 Cenário Ativo'!$B$19/1000000*'🔧 Cenário Ativo'!$B$14+'🔧 Cenário Ativo'!$B$20/1000000*'🔧 Cenário Ativo'!$B$15)*(1-'🔧 Cenário Ativo'!$B$16)*'🔧 Cenário Ativo'!$B$11)</f>
        <v>949.52812500000005</v>
      </c>
      <c r="V14" s="378">
        <f>V5*'🔧 Cenário Ativo'!$B$21*('🔧 Cenário Ativo'!$B$18*('🔧 Cenário Ativo'!$B$19/1000000*'🔧 Cenário Ativo'!$B$14+'🔧 Cenário Ativo'!$B$20/1000000*'🔧 Cenário Ativo'!$B$15)*(1-'🔧 Cenário Ativo'!$B$16)*'🔧 Cenário Ativo'!$B$11)</f>
        <v>949.52812500000005</v>
      </c>
      <c r="W14" s="378">
        <f>W5*'🔧 Cenário Ativo'!$B$21*('🔧 Cenário Ativo'!$B$18*('🔧 Cenário Ativo'!$B$19/1000000*'🔧 Cenário Ativo'!$B$14+'🔧 Cenário Ativo'!$B$20/1000000*'🔧 Cenário Ativo'!$B$15)*(1-'🔧 Cenário Ativo'!$B$16)*'🔧 Cenário Ativo'!$B$11)</f>
        <v>949.52812500000005</v>
      </c>
      <c r="X14" s="378">
        <f>X5*'🔧 Cenário Ativo'!$B$21*('🔧 Cenário Ativo'!$B$18*('🔧 Cenário Ativo'!$B$19/1000000*'🔧 Cenário Ativo'!$B$14+'🔧 Cenário Ativo'!$B$20/1000000*'🔧 Cenário Ativo'!$B$15)*(1-'🔧 Cenário Ativo'!$B$16)*'🔧 Cenário Ativo'!$B$11)</f>
        <v>949.52812500000005</v>
      </c>
      <c r="Y14" s="378">
        <f>Y5*'🔧 Cenário Ativo'!$B$21*('🔧 Cenário Ativo'!$B$18*('🔧 Cenário Ativo'!$B$19/1000000*'🔧 Cenário Ativo'!$B$14+'🔧 Cenário Ativo'!$B$20/1000000*'🔧 Cenário Ativo'!$B$15)*(1-'🔧 Cenário Ativo'!$B$16)*'🔧 Cenário Ativo'!$B$11)</f>
        <v>949.52812500000005</v>
      </c>
      <c r="Z14" s="378">
        <f>Z5*'🔧 Cenário Ativo'!$B$21*('🔧 Cenário Ativo'!$B$18*('🔧 Cenário Ativo'!$B$19/1000000*'🔧 Cenário Ativo'!$B$14+'🔧 Cenário Ativo'!$B$20/1000000*'🔧 Cenário Ativo'!$B$15)*(1-'🔧 Cenário Ativo'!$B$16)*'🔧 Cenário Ativo'!$B$11)</f>
        <v>949.52812500000005</v>
      </c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  <c r="FK14" s="52"/>
      <c r="FL14" s="52"/>
      <c r="FM14" s="52"/>
      <c r="FN14" s="52"/>
      <c r="FO14" s="52"/>
      <c r="FP14" s="52"/>
      <c r="FQ14" s="52"/>
      <c r="FR14" s="52"/>
      <c r="FS14" s="52"/>
      <c r="FT14" s="52"/>
      <c r="FU14" s="52"/>
      <c r="FV14" s="52"/>
      <c r="FW14" s="52"/>
      <c r="FX14" s="52"/>
      <c r="FY14" s="52"/>
      <c r="FZ14" s="52"/>
      <c r="GA14" s="52"/>
      <c r="GB14" s="52"/>
      <c r="GC14" s="52"/>
      <c r="GD14" s="52"/>
      <c r="GE14" s="52"/>
      <c r="GF14" s="52"/>
      <c r="GG14" s="52"/>
      <c r="GH14" s="52"/>
      <c r="GI14" s="52"/>
      <c r="GJ14" s="52"/>
      <c r="GK14" s="52"/>
      <c r="GL14" s="52"/>
      <c r="GM14" s="52"/>
      <c r="GN14" s="52"/>
      <c r="GO14" s="52"/>
      <c r="GP14" s="52"/>
      <c r="GQ14" s="52"/>
      <c r="GR14" s="52"/>
      <c r="GS14" s="52"/>
      <c r="GT14" s="52"/>
      <c r="GU14" s="52"/>
      <c r="GV14" s="52"/>
      <c r="GW14" s="52"/>
      <c r="GX14" s="52"/>
      <c r="GY14" s="52"/>
      <c r="GZ14" s="52"/>
      <c r="HA14" s="52"/>
      <c r="HB14" s="52"/>
      <c r="HC14" s="52"/>
      <c r="HD14" s="52"/>
      <c r="HE14" s="52"/>
      <c r="HF14" s="52"/>
      <c r="HG14" s="52"/>
      <c r="HH14" s="52"/>
      <c r="HI14" s="52"/>
      <c r="HJ14" s="52"/>
      <c r="HK14" s="52"/>
      <c r="HL14" s="52"/>
      <c r="HM14" s="52"/>
      <c r="HN14" s="52"/>
      <c r="HO14" s="52"/>
      <c r="HP14" s="52"/>
      <c r="HQ14" s="52"/>
      <c r="HR14" s="52"/>
      <c r="HS14" s="52"/>
      <c r="HT14" s="52"/>
      <c r="HU14" s="52"/>
      <c r="HV14" s="52"/>
      <c r="HW14" s="52"/>
      <c r="HX14" s="52"/>
      <c r="HY14" s="52"/>
      <c r="HZ14" s="52"/>
      <c r="IA14" s="52"/>
      <c r="IB14" s="52"/>
      <c r="IC14" s="52"/>
      <c r="ID14" s="52"/>
      <c r="IE14" s="52"/>
      <c r="IF14" s="52"/>
      <c r="IG14" s="52"/>
      <c r="IH14" s="52"/>
      <c r="II14" s="52"/>
      <c r="IJ14" s="52"/>
      <c r="IK14" s="52"/>
      <c r="IL14" s="52"/>
      <c r="IM14" s="52"/>
      <c r="IN14" s="52"/>
      <c r="IO14" s="52"/>
      <c r="IP14" s="52"/>
      <c r="IQ14" s="52"/>
      <c r="IR14" s="52"/>
      <c r="IS14" s="52"/>
      <c r="IT14" s="52"/>
      <c r="IU14" s="52"/>
      <c r="IV14" s="52"/>
      <c r="IW14" s="52"/>
      <c r="IX14" s="52"/>
      <c r="IY14" s="52"/>
      <c r="IZ14" s="52"/>
      <c r="JA14" s="52"/>
      <c r="JB14" s="52"/>
      <c r="JC14" s="52"/>
      <c r="JD14" s="52"/>
      <c r="JE14" s="52"/>
      <c r="JF14" s="52"/>
      <c r="JG14" s="52"/>
      <c r="JH14" s="52"/>
      <c r="JI14" s="52"/>
      <c r="JJ14" s="52"/>
      <c r="JK14" s="52"/>
      <c r="JL14" s="52"/>
      <c r="JM14" s="52"/>
      <c r="JN14" s="52"/>
      <c r="JO14" s="52"/>
      <c r="JP14" s="52"/>
      <c r="JQ14" s="52"/>
      <c r="JR14" s="52"/>
      <c r="JS14" s="52"/>
      <c r="JT14" s="52"/>
      <c r="JU14" s="52"/>
      <c r="JV14" s="52"/>
      <c r="JW14" s="52"/>
      <c r="JX14" s="52"/>
      <c r="JY14" s="52"/>
      <c r="JZ14" s="52"/>
      <c r="KA14" s="52"/>
      <c r="KB14" s="52"/>
      <c r="KC14" s="52"/>
      <c r="KD14" s="52"/>
      <c r="KE14" s="52"/>
      <c r="KF14" s="52"/>
      <c r="KG14" s="52"/>
      <c r="KH14" s="52"/>
      <c r="KI14" s="52"/>
      <c r="KJ14" s="52"/>
      <c r="KK14" s="52"/>
      <c r="KL14" s="52"/>
      <c r="KM14" s="52"/>
      <c r="KN14" s="52"/>
      <c r="KO14" s="52"/>
      <c r="KP14" s="52"/>
      <c r="KQ14" s="52"/>
      <c r="KR14" s="52"/>
      <c r="KS14" s="52"/>
      <c r="KT14" s="52"/>
      <c r="KU14" s="52"/>
      <c r="KV14" s="52"/>
      <c r="KW14" s="52"/>
      <c r="KX14" s="52"/>
      <c r="KY14" s="52"/>
      <c r="KZ14" s="52"/>
      <c r="LA14" s="52"/>
      <c r="LB14" s="52"/>
      <c r="LC14" s="52"/>
      <c r="LD14" s="52"/>
      <c r="LE14" s="52"/>
      <c r="LF14" s="52"/>
      <c r="LG14" s="52"/>
      <c r="LH14" s="52"/>
      <c r="LI14" s="52"/>
      <c r="LJ14" s="52"/>
      <c r="LK14" s="52"/>
      <c r="LL14" s="52"/>
      <c r="LM14" s="52"/>
      <c r="LN14" s="52"/>
      <c r="LO14" s="52"/>
      <c r="LP14" s="52"/>
      <c r="LQ14" s="52"/>
      <c r="LR14" s="52"/>
      <c r="LS14" s="52"/>
      <c r="LT14" s="52"/>
      <c r="LU14" s="52"/>
      <c r="LV14" s="52"/>
      <c r="LW14" s="52"/>
      <c r="LX14" s="52"/>
      <c r="LY14" s="52"/>
      <c r="LZ14" s="52"/>
      <c r="MA14" s="52"/>
      <c r="MB14" s="52"/>
      <c r="MC14" s="52"/>
      <c r="MD14" s="52"/>
      <c r="ME14" s="52"/>
      <c r="MF14" s="52"/>
      <c r="MG14" s="52"/>
      <c r="MH14" s="52"/>
      <c r="MI14" s="52"/>
      <c r="MJ14" s="52"/>
      <c r="MK14" s="52"/>
      <c r="ML14" s="52"/>
      <c r="MM14" s="52"/>
      <c r="MN14" s="52"/>
      <c r="MO14" s="52"/>
      <c r="MP14" s="52"/>
      <c r="MQ14" s="52"/>
      <c r="MR14" s="52"/>
      <c r="MS14" s="52"/>
      <c r="MT14" s="52"/>
      <c r="MU14" s="52"/>
      <c r="MV14" s="52"/>
      <c r="MW14" s="52"/>
      <c r="MX14" s="52"/>
      <c r="MY14" s="52"/>
      <c r="MZ14" s="52"/>
      <c r="NA14" s="52"/>
      <c r="NB14" s="52"/>
      <c r="NC14" s="52"/>
      <c r="ND14" s="52"/>
      <c r="NE14" s="52"/>
      <c r="NF14" s="52"/>
      <c r="NG14" s="52"/>
      <c r="NH14" s="52"/>
      <c r="NI14" s="52"/>
      <c r="NJ14" s="52"/>
      <c r="NK14" s="52"/>
      <c r="NL14" s="52"/>
      <c r="NM14" s="52"/>
      <c r="NN14" s="52"/>
      <c r="NO14" s="52"/>
      <c r="NP14" s="52"/>
      <c r="NQ14" s="52"/>
      <c r="NR14" s="52"/>
      <c r="NS14" s="52"/>
      <c r="NT14" s="52"/>
      <c r="NU14" s="52"/>
      <c r="NV14" s="52"/>
      <c r="NW14" s="52"/>
      <c r="NX14" s="52"/>
      <c r="NY14" s="52"/>
      <c r="NZ14" s="52"/>
      <c r="OA14" s="52"/>
      <c r="OB14" s="52"/>
      <c r="OC14" s="52"/>
      <c r="OD14" s="52"/>
      <c r="OE14" s="52"/>
      <c r="OF14" s="52"/>
      <c r="OG14" s="52"/>
      <c r="OH14" s="52"/>
      <c r="OI14" s="52"/>
      <c r="OJ14" s="52"/>
      <c r="OK14" s="52"/>
      <c r="OL14" s="52"/>
      <c r="OM14" s="52"/>
      <c r="ON14" s="52"/>
      <c r="OO14" s="52"/>
      <c r="OP14" s="52"/>
      <c r="OQ14" s="52"/>
      <c r="OR14" s="52"/>
      <c r="OS14" s="52"/>
      <c r="OT14" s="52"/>
      <c r="OU14" s="52"/>
      <c r="OV14" s="52"/>
      <c r="OW14" s="52"/>
      <c r="OX14" s="52"/>
      <c r="OY14" s="52"/>
      <c r="OZ14" s="52"/>
      <c r="PA14" s="52"/>
      <c r="PB14" s="52"/>
      <c r="PC14" s="52"/>
      <c r="PD14" s="52"/>
      <c r="PE14" s="52"/>
      <c r="PF14" s="52"/>
      <c r="PG14" s="52"/>
      <c r="PH14" s="52"/>
      <c r="PI14" s="52"/>
      <c r="PJ14" s="52"/>
      <c r="PK14" s="52"/>
      <c r="PL14" s="52"/>
      <c r="PM14" s="52"/>
      <c r="PN14" s="52"/>
      <c r="PO14" s="52"/>
      <c r="PP14" s="52"/>
      <c r="PQ14" s="52"/>
      <c r="PR14" s="52"/>
      <c r="PS14" s="52"/>
      <c r="PT14" s="52"/>
      <c r="PU14" s="52"/>
      <c r="PV14" s="52"/>
      <c r="PW14" s="52"/>
      <c r="PX14" s="52"/>
      <c r="PY14" s="52"/>
      <c r="PZ14" s="52"/>
      <c r="QA14" s="52"/>
      <c r="QB14" s="52"/>
      <c r="QC14" s="52"/>
      <c r="QD14" s="52"/>
      <c r="QE14" s="52"/>
      <c r="QF14" s="52"/>
      <c r="QG14" s="52"/>
      <c r="QH14" s="52"/>
      <c r="QI14" s="52"/>
      <c r="QJ14" s="52"/>
      <c r="QK14" s="52"/>
      <c r="QL14" s="52"/>
      <c r="QM14" s="52"/>
      <c r="QN14" s="52"/>
      <c r="QO14" s="52"/>
      <c r="QP14" s="52"/>
      <c r="QQ14" s="52"/>
      <c r="QR14" s="52"/>
      <c r="QS14" s="52"/>
      <c r="QT14" s="52"/>
      <c r="QU14" s="52"/>
      <c r="QV14" s="52"/>
      <c r="QW14" s="52"/>
      <c r="QX14" s="52"/>
      <c r="QY14" s="52"/>
      <c r="QZ14" s="52"/>
      <c r="RA14" s="52"/>
      <c r="RB14" s="52"/>
      <c r="RC14" s="52"/>
      <c r="RD14" s="52"/>
      <c r="RE14" s="52"/>
      <c r="RF14" s="52"/>
      <c r="RG14" s="52"/>
      <c r="RH14" s="52"/>
      <c r="RI14" s="52"/>
      <c r="RJ14" s="52"/>
      <c r="RK14" s="52"/>
      <c r="RL14" s="52"/>
      <c r="RM14" s="52"/>
      <c r="RN14" s="52"/>
      <c r="RO14" s="52"/>
      <c r="RP14" s="52"/>
      <c r="RQ14" s="52"/>
      <c r="RR14" s="52"/>
      <c r="RS14" s="52"/>
      <c r="RT14" s="52"/>
      <c r="RU14" s="52"/>
      <c r="RV14" s="52"/>
      <c r="RW14" s="52"/>
      <c r="RX14" s="52"/>
      <c r="RY14" s="52"/>
      <c r="RZ14" s="52"/>
      <c r="SA14" s="52"/>
      <c r="SB14" s="52"/>
      <c r="SC14" s="52"/>
      <c r="SD14" s="52"/>
      <c r="SE14" s="52"/>
      <c r="SF14" s="52"/>
      <c r="SG14" s="52"/>
      <c r="SH14" s="52"/>
      <c r="SI14" s="52"/>
      <c r="SJ14" s="52"/>
      <c r="SK14" s="52"/>
      <c r="SL14" s="52"/>
      <c r="SM14" s="52"/>
      <c r="SN14" s="52"/>
      <c r="SO14" s="52"/>
      <c r="SP14" s="52"/>
      <c r="SQ14" s="52"/>
      <c r="SR14" s="52"/>
      <c r="SS14" s="52"/>
      <c r="ST14" s="52"/>
      <c r="SU14" s="52"/>
      <c r="SV14" s="52"/>
      <c r="SW14" s="52"/>
      <c r="SX14" s="52"/>
      <c r="SY14" s="52"/>
      <c r="SZ14" s="52"/>
      <c r="TA14" s="52"/>
      <c r="TB14" s="52"/>
      <c r="TC14" s="52"/>
      <c r="TD14" s="52"/>
      <c r="TE14" s="52"/>
      <c r="TF14" s="52"/>
      <c r="TG14" s="52"/>
      <c r="TH14" s="52"/>
      <c r="TI14" s="52"/>
      <c r="TJ14" s="52"/>
      <c r="TK14" s="52"/>
    </row>
    <row r="15" spans="1:531" ht="19.5" customHeight="1" x14ac:dyDescent="0.2">
      <c r="A15" s="262" t="s">
        <v>194</v>
      </c>
      <c r="B15" s="363" t="s">
        <v>192</v>
      </c>
      <c r="C15" s="378">
        <f>C6*'🔧 Cenário Ativo'!B22*('🔧 Cenário Ativo'!B23/1000000*'🔧 Cenário Ativo'!B12+'🔧 Cenário Ativo'!B24/1000000*'🔧 Cenário Ativo'!B13)*(1-'🔧 Cenário Ativo'!B16)*'🔧 Cenário Ativo'!B11</f>
        <v>1165.7880000000002</v>
      </c>
      <c r="D15" s="378">
        <f>D6*'🔧 Cenário Ativo'!B22*('🔧 Cenário Ativo'!B23/1000000*'🔧 Cenário Ativo'!B12+'🔧 Cenário Ativo'!B24/1000000*'🔧 Cenário Ativo'!B13)*(1-'🔧 Cenário Ativo'!B16)*'🔧 Cenário Ativo'!B11</f>
        <v>2821.2069600000004</v>
      </c>
      <c r="E15" s="378">
        <f>E6*'🔧 Cenário Ativo'!B22*('🔧 Cenário Ativo'!B23/1000000*'🔧 Cenário Ativo'!B12+'🔧 Cenário Ativo'!B24/1000000*'🔧 Cenário Ativo'!B13)*(1-'🔧 Cenário Ativo'!B16)*'🔧 Cenário Ativo'!B11</f>
        <v>4342.5603000000001</v>
      </c>
      <c r="F15" s="378">
        <f>F6*'🔧 Cenário Ativo'!B22*('🔧 Cenário Ativo'!B23/1000000*'🔧 Cenário Ativo'!B12+'🔧 Cenário Ativo'!B24/1000000*'🔧 Cenário Ativo'!B13)*(1-'🔧 Cenário Ativo'!B16)*'🔧 Cenário Ativo'!B11</f>
        <v>5741.5059000000001</v>
      </c>
      <c r="G15" s="378">
        <f>G6*'🔧 Cenário Ativo'!B22*('🔧 Cenário Ativo'!B23/1000000*'🔧 Cenário Ativo'!B12+'🔧 Cenário Ativo'!B24/1000000*'🔧 Cenário Ativo'!B13)*(1-'🔧 Cenário Ativo'!B16)*'🔧 Cenário Ativo'!B11</f>
        <v>7029.7016400000011</v>
      </c>
      <c r="H15" s="378">
        <f>H6*'🔧 Cenário Ativo'!B22*('🔧 Cenário Ativo'!B23/1000000*'🔧 Cenário Ativo'!B12+'🔧 Cenário Ativo'!B24/1000000*'🔧 Cenário Ativo'!B13)*(1-'🔧 Cenário Ativo'!B16)*'🔧 Cenário Ativo'!B11</f>
        <v>8218.8054000000011</v>
      </c>
      <c r="I15" s="378">
        <f>I6*'🔧 Cenário Ativo'!B22*('🔧 Cenário Ativo'!B23/1000000*'🔧 Cenário Ativo'!B12+'🔧 Cenário Ativo'!B24/1000000*'🔧 Cenário Ativo'!B13)*(1-'🔧 Cenário Ativo'!B16)*'🔧 Cenário Ativo'!B11</f>
        <v>9308.81718</v>
      </c>
      <c r="J15" s="378">
        <f>J6*'🔧 Cenário Ativo'!B22*('🔧 Cenário Ativo'!B23/1000000*'🔧 Cenário Ativo'!B12+'🔧 Cenário Ativo'!B24/1000000*'🔧 Cenário Ativo'!B13)*(1-'🔧 Cenário Ativo'!B16)*'🔧 Cenário Ativo'!B11</f>
        <v>10311.39486</v>
      </c>
      <c r="K15" s="378">
        <f>K6*'🔧 Cenário Ativo'!B22*('🔧 Cenário Ativo'!B23/1000000*'🔧 Cenário Ativo'!B12+'🔧 Cenário Ativo'!B24/1000000*'🔧 Cenário Ativo'!B13)*(1-'🔧 Cenário Ativo'!B16)*'🔧 Cenário Ativo'!B11</f>
        <v>11232.36738</v>
      </c>
      <c r="L15" s="378">
        <f>L6*'🔧 Cenário Ativo'!B22*('🔧 Cenário Ativo'!B23/1000000*'🔧 Cenário Ativo'!B12+'🔧 Cenário Ativo'!B24/1000000*'🔧 Cenário Ativo'!B13)*(1-'🔧 Cenário Ativo'!B16)*'🔧 Cenário Ativo'!B11</f>
        <v>12083.392620000002</v>
      </c>
      <c r="M15" s="378">
        <f>M6*'🔧 Cenário Ativo'!B22*('🔧 Cenário Ativo'!B23/1000000*'🔧 Cenário Ativo'!B12+'🔧 Cenário Ativo'!B24/1000000*'🔧 Cenário Ativo'!B13)*(1-'🔧 Cenário Ativo'!B16)*'🔧 Cenário Ativo'!B11</f>
        <v>12864.470580000003</v>
      </c>
      <c r="N15" s="378">
        <f>N6*'🔧 Cenário Ativo'!B22*('🔧 Cenário Ativo'!B23/1000000*'🔧 Cenário Ativo'!B12+'🔧 Cenário Ativo'!B24/1000000*'🔧 Cenário Ativo'!B13)*(1-'🔧 Cenário Ativo'!B16)*'🔧 Cenário Ativo'!B11</f>
        <v>13581.430200000003</v>
      </c>
      <c r="O15" s="378">
        <f>O6*'🔧 Cenário Ativo'!B22*('🔧 Cenário Ativo'!B23/1000000*'🔧 Cenário Ativo'!B12+'🔧 Cenário Ativo'!B24/1000000*'🔧 Cenário Ativo'!B13)*(1-'🔧 Cenário Ativo'!B16)*'🔧 Cenário Ativo'!B11</f>
        <v>14537.376360000004</v>
      </c>
      <c r="P15" s="378">
        <f>P6*'🔧 Cenário Ativo'!B22*('🔧 Cenário Ativo'!B23/1000000*'🔧 Cenário Ativo'!B12+'🔧 Cenário Ativo'!B24/1000000*'🔧 Cenário Ativo'!B13)*(1-'🔧 Cenário Ativo'!B16)*'🔧 Cenário Ativo'!B11</f>
        <v>15411.717360000001</v>
      </c>
      <c r="Q15" s="378">
        <f>Q6*'🔧 Cenário Ativo'!B22*('🔧 Cenário Ativo'!B23/1000000*'🔧 Cenário Ativo'!B12+'🔧 Cenário Ativo'!B24/1000000*'🔧 Cenário Ativo'!B13)*(1-'🔧 Cenário Ativo'!B16)*'🔧 Cenário Ativo'!B11</f>
        <v>16216.111080000001</v>
      </c>
      <c r="R15" s="378">
        <f>R6*'🔧 Cenário Ativo'!B22*('🔧 Cenário Ativo'!B23/1000000*'🔧 Cenário Ativo'!B12+'🔧 Cenário Ativo'!B24/1000000*'🔧 Cenário Ativo'!B13)*(1-'🔧 Cenário Ativo'!B16)*'🔧 Cenário Ativo'!B11</f>
        <v>16956.386460000002</v>
      </c>
      <c r="S15" s="378">
        <f>S6*'🔧 Cenário Ativo'!B22*('🔧 Cenário Ativo'!B23/1000000*'🔧 Cenário Ativo'!B12+'🔧 Cenário Ativo'!B24/1000000*'🔧 Cenário Ativo'!B13)*(1-'🔧 Cenário Ativo'!B16)*'🔧 Cenário Ativo'!B11</f>
        <v>17638.372440000003</v>
      </c>
      <c r="T15" s="378">
        <f>T6*'🔧 Cenário Ativo'!B22*('🔧 Cenário Ativo'!B23/1000000*'🔧 Cenário Ativo'!B12+'🔧 Cenário Ativo'!B24/1000000*'🔧 Cenário Ativo'!B13)*(1-'🔧 Cenário Ativo'!B16)*'🔧 Cenário Ativo'!B11</f>
        <v>18267.897960000002</v>
      </c>
      <c r="U15" s="378">
        <f>U6*'🔧 Cenário Ativo'!B22*('🔧 Cenário Ativo'!B23/1000000*'🔧 Cenário Ativo'!B12+'🔧 Cenário Ativo'!B24/1000000*'🔧 Cenário Ativo'!B13)*(1-'🔧 Cenário Ativo'!B16)*'🔧 Cenário Ativo'!B11</f>
        <v>18844.963020000003</v>
      </c>
      <c r="V15" s="378">
        <f>V6*'🔧 Cenário Ativo'!B22*('🔧 Cenário Ativo'!B23/1000000*'🔧 Cenário Ativo'!B12+'🔧 Cenário Ativo'!B24/1000000*'🔧 Cenário Ativo'!B13)*(1-'🔧 Cenário Ativo'!B16)*'🔧 Cenário Ativo'!B11</f>
        <v>19375.396560000001</v>
      </c>
      <c r="W15" s="378">
        <f>W6*'🔧 Cenário Ativo'!B22*('🔧 Cenário Ativo'!B23/1000000*'🔧 Cenário Ativo'!B12+'🔧 Cenário Ativo'!B24/1000000*'🔧 Cenário Ativo'!B13)*(1-'🔧 Cenário Ativo'!B16)*'🔧 Cenário Ativo'!B11</f>
        <v>19865.02752</v>
      </c>
      <c r="X15" s="378">
        <f>X6*'🔧 Cenário Ativo'!B22*('🔧 Cenário Ativo'!B23/1000000*'🔧 Cenário Ativo'!B12+'🔧 Cenário Ativo'!B24/1000000*'🔧 Cenário Ativo'!B13)*(1-'🔧 Cenário Ativo'!B16)*'🔧 Cenário Ativo'!B11</f>
        <v>20313.855900000002</v>
      </c>
      <c r="Y15" s="378">
        <f>Y6*'🔧 Cenário Ativo'!B22*('🔧 Cenário Ativo'!B23/1000000*'🔧 Cenário Ativo'!B12+'🔧 Cenário Ativo'!B24/1000000*'🔧 Cenário Ativo'!B13)*(1-'🔧 Cenário Ativo'!B16)*'🔧 Cenário Ativo'!B11</f>
        <v>20727.710640000001</v>
      </c>
      <c r="Z15" s="379">
        <f>Z6*'🔧 Cenário Ativo'!B22*('🔧 Cenário Ativo'!B23/1000000*'🔧 Cenário Ativo'!B12+'🔧 Cenário Ativo'!B24/1000000*'🔧 Cenário Ativo'!B13)*(1-'🔧 Cenário Ativo'!B16)*'🔧 Cenário Ativo'!B11</f>
        <v>21112.420680000003</v>
      </c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  <c r="FR15" s="52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2"/>
      <c r="GD15" s="52"/>
      <c r="GE15" s="52"/>
      <c r="GF15" s="52"/>
      <c r="GG15" s="52"/>
      <c r="GH15" s="52"/>
      <c r="GI15" s="52"/>
      <c r="GJ15" s="52"/>
      <c r="GK15" s="52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2"/>
      <c r="GW15" s="52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2"/>
      <c r="HR15" s="52"/>
      <c r="HS15" s="52"/>
      <c r="HT15" s="52"/>
      <c r="HU15" s="52"/>
      <c r="HV15" s="52"/>
      <c r="HW15" s="52"/>
      <c r="HX15" s="52"/>
      <c r="HY15" s="52"/>
      <c r="HZ15" s="52"/>
      <c r="IA15" s="52"/>
      <c r="IB15" s="52"/>
      <c r="IC15" s="52"/>
      <c r="ID15" s="52"/>
      <c r="IE15" s="52"/>
      <c r="IF15" s="52"/>
      <c r="IG15" s="52"/>
      <c r="IH15" s="52"/>
      <c r="II15" s="52"/>
      <c r="IJ15" s="52"/>
      <c r="IK15" s="52"/>
      <c r="IL15" s="52"/>
      <c r="IM15" s="52"/>
      <c r="IN15" s="52"/>
      <c r="IO15" s="52"/>
      <c r="IP15" s="52"/>
      <c r="IQ15" s="52"/>
      <c r="IR15" s="52"/>
      <c r="IS15" s="52"/>
      <c r="IT15" s="52"/>
      <c r="IU15" s="52"/>
      <c r="IV15" s="52"/>
      <c r="IW15" s="52"/>
      <c r="IX15" s="52"/>
      <c r="IY15" s="52"/>
      <c r="IZ15" s="52"/>
      <c r="JA15" s="52"/>
      <c r="JB15" s="52"/>
      <c r="JC15" s="52"/>
      <c r="JD15" s="52"/>
      <c r="JE15" s="52"/>
      <c r="JF15" s="52"/>
      <c r="JG15" s="52"/>
      <c r="JH15" s="52"/>
      <c r="JI15" s="52"/>
      <c r="JJ15" s="52"/>
      <c r="JK15" s="52"/>
      <c r="JL15" s="52"/>
      <c r="JM15" s="52"/>
      <c r="JN15" s="52"/>
      <c r="JO15" s="52"/>
      <c r="JP15" s="52"/>
      <c r="JQ15" s="52"/>
      <c r="JR15" s="52"/>
      <c r="JS15" s="52"/>
      <c r="JT15" s="52"/>
      <c r="JU15" s="52"/>
      <c r="JV15" s="52"/>
      <c r="JW15" s="52"/>
      <c r="JX15" s="52"/>
      <c r="JY15" s="52"/>
      <c r="JZ15" s="52"/>
      <c r="KA15" s="52"/>
      <c r="KB15" s="52"/>
      <c r="KC15" s="52"/>
      <c r="KD15" s="52"/>
      <c r="KE15" s="52"/>
      <c r="KF15" s="52"/>
      <c r="KG15" s="52"/>
      <c r="KH15" s="52"/>
      <c r="KI15" s="52"/>
      <c r="KJ15" s="52"/>
      <c r="KK15" s="52"/>
      <c r="KL15" s="52"/>
      <c r="KM15" s="52"/>
      <c r="KN15" s="52"/>
      <c r="KO15" s="52"/>
      <c r="KP15" s="52"/>
      <c r="KQ15" s="52"/>
      <c r="KR15" s="52"/>
      <c r="KS15" s="52"/>
      <c r="KT15" s="52"/>
      <c r="KU15" s="52"/>
      <c r="KV15" s="52"/>
      <c r="KW15" s="52"/>
      <c r="KX15" s="52"/>
      <c r="KY15" s="52"/>
      <c r="KZ15" s="52"/>
      <c r="LA15" s="52"/>
      <c r="LB15" s="52"/>
      <c r="LC15" s="52"/>
      <c r="LD15" s="52"/>
      <c r="LE15" s="52"/>
      <c r="LF15" s="52"/>
      <c r="LG15" s="52"/>
      <c r="LH15" s="52"/>
      <c r="LI15" s="52"/>
      <c r="LJ15" s="52"/>
      <c r="LK15" s="52"/>
      <c r="LL15" s="52"/>
      <c r="LM15" s="52"/>
      <c r="LN15" s="52"/>
      <c r="LO15" s="52"/>
      <c r="LP15" s="52"/>
      <c r="LQ15" s="52"/>
      <c r="LR15" s="52"/>
      <c r="LS15" s="52"/>
      <c r="LT15" s="52"/>
      <c r="LU15" s="52"/>
      <c r="LV15" s="52"/>
      <c r="LW15" s="52"/>
      <c r="LX15" s="52"/>
      <c r="LY15" s="52"/>
      <c r="LZ15" s="52"/>
      <c r="MA15" s="52"/>
      <c r="MB15" s="52"/>
      <c r="MC15" s="52"/>
      <c r="MD15" s="52"/>
      <c r="ME15" s="52"/>
      <c r="MF15" s="52"/>
      <c r="MG15" s="52"/>
      <c r="MH15" s="52"/>
      <c r="MI15" s="52"/>
      <c r="MJ15" s="52"/>
      <c r="MK15" s="52"/>
      <c r="ML15" s="52"/>
      <c r="MM15" s="52"/>
      <c r="MN15" s="52"/>
      <c r="MO15" s="52"/>
      <c r="MP15" s="52"/>
      <c r="MQ15" s="52"/>
      <c r="MR15" s="52"/>
      <c r="MS15" s="52"/>
      <c r="MT15" s="52"/>
      <c r="MU15" s="52"/>
      <c r="MV15" s="52"/>
      <c r="MW15" s="52"/>
      <c r="MX15" s="52"/>
      <c r="MY15" s="52"/>
      <c r="MZ15" s="52"/>
      <c r="NA15" s="52"/>
      <c r="NB15" s="52"/>
      <c r="NC15" s="52"/>
      <c r="ND15" s="52"/>
      <c r="NE15" s="52"/>
      <c r="NF15" s="52"/>
      <c r="NG15" s="52"/>
      <c r="NH15" s="52"/>
      <c r="NI15" s="52"/>
      <c r="NJ15" s="52"/>
      <c r="NK15" s="52"/>
      <c r="NL15" s="52"/>
      <c r="NM15" s="52"/>
      <c r="NN15" s="52"/>
      <c r="NO15" s="52"/>
      <c r="NP15" s="52"/>
      <c r="NQ15" s="52"/>
      <c r="NR15" s="52"/>
      <c r="NS15" s="52"/>
      <c r="NT15" s="52"/>
      <c r="NU15" s="52"/>
      <c r="NV15" s="52"/>
      <c r="NW15" s="52"/>
      <c r="NX15" s="52"/>
      <c r="NY15" s="52"/>
      <c r="NZ15" s="52"/>
      <c r="OA15" s="52"/>
      <c r="OB15" s="52"/>
      <c r="OC15" s="52"/>
      <c r="OD15" s="52"/>
      <c r="OE15" s="52"/>
      <c r="OF15" s="52"/>
      <c r="OG15" s="52"/>
      <c r="OH15" s="52"/>
      <c r="OI15" s="52"/>
      <c r="OJ15" s="52"/>
      <c r="OK15" s="52"/>
      <c r="OL15" s="52"/>
      <c r="OM15" s="52"/>
      <c r="ON15" s="52"/>
      <c r="OO15" s="52"/>
      <c r="OP15" s="52"/>
      <c r="OQ15" s="52"/>
      <c r="OR15" s="52"/>
      <c r="OS15" s="52"/>
      <c r="OT15" s="52"/>
      <c r="OU15" s="52"/>
      <c r="OV15" s="52"/>
      <c r="OW15" s="52"/>
      <c r="OX15" s="52"/>
      <c r="OY15" s="52"/>
      <c r="OZ15" s="52"/>
      <c r="PA15" s="52"/>
      <c r="PB15" s="52"/>
      <c r="PC15" s="52"/>
      <c r="PD15" s="52"/>
      <c r="PE15" s="52"/>
      <c r="PF15" s="52"/>
      <c r="PG15" s="52"/>
      <c r="PH15" s="52"/>
      <c r="PI15" s="52"/>
      <c r="PJ15" s="52"/>
      <c r="PK15" s="52"/>
      <c r="PL15" s="52"/>
      <c r="PM15" s="52"/>
      <c r="PN15" s="52"/>
      <c r="PO15" s="52"/>
      <c r="PP15" s="52"/>
      <c r="PQ15" s="52"/>
      <c r="PR15" s="52"/>
      <c r="PS15" s="52"/>
      <c r="PT15" s="52"/>
      <c r="PU15" s="52"/>
      <c r="PV15" s="52"/>
      <c r="PW15" s="52"/>
      <c r="PX15" s="52"/>
      <c r="PY15" s="52"/>
      <c r="PZ15" s="52"/>
      <c r="QA15" s="52"/>
      <c r="QB15" s="52"/>
      <c r="QC15" s="52"/>
      <c r="QD15" s="52"/>
      <c r="QE15" s="52"/>
      <c r="QF15" s="52"/>
      <c r="QG15" s="52"/>
      <c r="QH15" s="52"/>
      <c r="QI15" s="52"/>
      <c r="QJ15" s="52"/>
      <c r="QK15" s="52"/>
      <c r="QL15" s="52"/>
      <c r="QM15" s="52"/>
      <c r="QN15" s="52"/>
      <c r="QO15" s="52"/>
      <c r="QP15" s="52"/>
      <c r="QQ15" s="52"/>
      <c r="QR15" s="52"/>
      <c r="QS15" s="52"/>
      <c r="QT15" s="52"/>
      <c r="QU15" s="52"/>
      <c r="QV15" s="52"/>
      <c r="QW15" s="52"/>
      <c r="QX15" s="52"/>
      <c r="QY15" s="52"/>
      <c r="QZ15" s="52"/>
      <c r="RA15" s="52"/>
      <c r="RB15" s="52"/>
      <c r="RC15" s="52"/>
      <c r="RD15" s="52"/>
      <c r="RE15" s="52"/>
      <c r="RF15" s="52"/>
      <c r="RG15" s="52"/>
      <c r="RH15" s="52"/>
      <c r="RI15" s="52"/>
      <c r="RJ15" s="52"/>
      <c r="RK15" s="52"/>
      <c r="RL15" s="52"/>
      <c r="RM15" s="52"/>
      <c r="RN15" s="52"/>
      <c r="RO15" s="52"/>
      <c r="RP15" s="52"/>
      <c r="RQ15" s="52"/>
      <c r="RR15" s="52"/>
      <c r="RS15" s="52"/>
      <c r="RT15" s="52"/>
      <c r="RU15" s="52"/>
      <c r="RV15" s="52"/>
      <c r="RW15" s="52"/>
      <c r="RX15" s="52"/>
      <c r="RY15" s="52"/>
      <c r="RZ15" s="52"/>
      <c r="SA15" s="52"/>
      <c r="SB15" s="52"/>
      <c r="SC15" s="52"/>
      <c r="SD15" s="52"/>
      <c r="SE15" s="52"/>
      <c r="SF15" s="52"/>
      <c r="SG15" s="52"/>
      <c r="SH15" s="52"/>
      <c r="SI15" s="52"/>
      <c r="SJ15" s="52"/>
      <c r="SK15" s="52"/>
      <c r="SL15" s="52"/>
      <c r="SM15" s="52"/>
      <c r="SN15" s="52"/>
      <c r="SO15" s="52"/>
      <c r="SP15" s="52"/>
      <c r="SQ15" s="52"/>
      <c r="SR15" s="52"/>
      <c r="SS15" s="52"/>
      <c r="ST15" s="52"/>
      <c r="SU15" s="52"/>
      <c r="SV15" s="52"/>
      <c r="SW15" s="52"/>
      <c r="SX15" s="52"/>
      <c r="SY15" s="52"/>
      <c r="SZ15" s="52"/>
      <c r="TA15" s="52"/>
      <c r="TB15" s="52"/>
      <c r="TC15" s="52"/>
      <c r="TD15" s="52"/>
      <c r="TE15" s="52"/>
      <c r="TF15" s="52"/>
      <c r="TG15" s="52"/>
      <c r="TH15" s="52"/>
      <c r="TI15" s="52"/>
      <c r="TJ15" s="52"/>
      <c r="TK15" s="52"/>
    </row>
    <row r="16" spans="1:531" ht="19.5" customHeight="1" x14ac:dyDescent="0.2">
      <c r="A16" s="262" t="s">
        <v>195</v>
      </c>
      <c r="B16" s="363" t="s">
        <v>192</v>
      </c>
      <c r="C16" s="378">
        <f>C7*('🔧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1423.7496000000001</v>
      </c>
      <c r="D16" s="378">
        <f>D7*('🔧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3488.1865200000002</v>
      </c>
      <c r="E16" s="378">
        <f>E7*('🔧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5450.9270400000005</v>
      </c>
      <c r="F16" s="378">
        <f>F7*('🔧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7311.971160000001</v>
      </c>
      <c r="G16" s="378">
        <f>G7*('🔧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9081.4885200000008</v>
      </c>
      <c r="H16" s="378">
        <f>H7*('🔧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10759.479120000002</v>
      </c>
      <c r="I16" s="378">
        <f>I7*('🔧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12356.112600000002</v>
      </c>
      <c r="J16" s="378">
        <f>J7*('🔧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13871.388960000002</v>
      </c>
      <c r="K16" s="378">
        <f>K7*('🔧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15315.477840000001</v>
      </c>
      <c r="L16" s="378">
        <f>L7*('🔧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16688.379240000002</v>
      </c>
      <c r="M16" s="378">
        <f>M7*('🔧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17990.09316</v>
      </c>
      <c r="N16" s="378">
        <f>N7*('🔧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19230.789240000002</v>
      </c>
      <c r="O16" s="378">
        <f>O7*('🔧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20756.235240000002</v>
      </c>
      <c r="P16" s="378">
        <f>P7*('🔧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22210.493760000001</v>
      </c>
      <c r="Q16" s="378">
        <f>Q7*('🔧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23593.564800000004</v>
      </c>
      <c r="R16" s="378">
        <f>R7*('🔧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24905.448360000002</v>
      </c>
      <c r="S16" s="378">
        <f>S7*('🔧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26156.314080000004</v>
      </c>
      <c r="T16" s="378">
        <f>T7*('🔧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27335.992320000005</v>
      </c>
      <c r="U16" s="378">
        <f>U7*('🔧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28464.822360000002</v>
      </c>
      <c r="V16" s="378">
        <f>V7*('🔧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29532.634560000002</v>
      </c>
      <c r="W16" s="378">
        <f>W7*('🔧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30549.598560000002</v>
      </c>
      <c r="X16" s="378">
        <f>X7*('🔧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31515.714360000002</v>
      </c>
      <c r="Y16" s="378">
        <f>Y7*('🔧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32430.981960000005</v>
      </c>
      <c r="Z16" s="379">
        <f>Z7*('🔧 Cenário Ativo'!B22*('🔧 Cenário Ativo'!B23/1000000*'🔧 Cenário Ativo'!B12+'🔧 Cenário Ativo'!B24/1000000*'🔧 Cenário Ativo'!B13)*(1-'🔧 Cenário Ativo'!B16)*'🔧 Cenário Ativo'!B11+'🔧 Cenário Ativo'!B25*('🔧 Cenário Ativo'!B26/1000000*'🔧 Cenário Ativo'!B12+'🔧 Cenário Ativo'!B27/1000000*'🔧 Cenário Ativo'!B13)*(1-'🔧 Cenário Ativo'!B16)*'🔧 Cenário Ativo'!B11)</f>
        <v>33305.571000000004</v>
      </c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2"/>
      <c r="GD16" s="52"/>
      <c r="GE16" s="52"/>
      <c r="GF16" s="52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2"/>
      <c r="HR16" s="52"/>
      <c r="HS16" s="52"/>
      <c r="HT16" s="52"/>
      <c r="HU16" s="52"/>
      <c r="HV16" s="52"/>
      <c r="HW16" s="52"/>
      <c r="HX16" s="52"/>
      <c r="HY16" s="52"/>
      <c r="HZ16" s="52"/>
      <c r="IA16" s="52"/>
      <c r="IB16" s="52"/>
      <c r="IC16" s="52"/>
      <c r="ID16" s="52"/>
      <c r="IE16" s="52"/>
      <c r="IF16" s="52"/>
      <c r="IG16" s="52"/>
      <c r="IH16" s="52"/>
      <c r="II16" s="52"/>
      <c r="IJ16" s="52"/>
      <c r="IK16" s="52"/>
      <c r="IL16" s="52"/>
      <c r="IM16" s="52"/>
      <c r="IN16" s="52"/>
      <c r="IO16" s="52"/>
      <c r="IP16" s="52"/>
      <c r="IQ16" s="52"/>
      <c r="IR16" s="52"/>
      <c r="IS16" s="52"/>
      <c r="IT16" s="52"/>
      <c r="IU16" s="52"/>
      <c r="IV16" s="52"/>
      <c r="IW16" s="52"/>
      <c r="IX16" s="52"/>
      <c r="IY16" s="52"/>
      <c r="IZ16" s="52"/>
      <c r="JA16" s="52"/>
      <c r="JB16" s="52"/>
      <c r="JC16" s="52"/>
      <c r="JD16" s="52"/>
      <c r="JE16" s="52"/>
      <c r="JF16" s="52"/>
      <c r="JG16" s="52"/>
      <c r="JH16" s="52"/>
      <c r="JI16" s="52"/>
      <c r="JJ16" s="52"/>
      <c r="JK16" s="52"/>
      <c r="JL16" s="52"/>
      <c r="JM16" s="52"/>
      <c r="JN16" s="52"/>
      <c r="JO16" s="52"/>
      <c r="JP16" s="52"/>
      <c r="JQ16" s="52"/>
      <c r="JR16" s="52"/>
      <c r="JS16" s="52"/>
      <c r="JT16" s="52"/>
      <c r="JU16" s="52"/>
      <c r="JV16" s="52"/>
      <c r="JW16" s="52"/>
      <c r="JX16" s="52"/>
      <c r="JY16" s="52"/>
      <c r="JZ16" s="52"/>
      <c r="KA16" s="52"/>
      <c r="KB16" s="52"/>
      <c r="KC16" s="52"/>
      <c r="KD16" s="52"/>
      <c r="KE16" s="52"/>
      <c r="KF16" s="52"/>
      <c r="KG16" s="52"/>
      <c r="KH16" s="52"/>
      <c r="KI16" s="52"/>
      <c r="KJ16" s="52"/>
      <c r="KK16" s="52"/>
      <c r="KL16" s="52"/>
      <c r="KM16" s="52"/>
      <c r="KN16" s="52"/>
      <c r="KO16" s="52"/>
      <c r="KP16" s="52"/>
      <c r="KQ16" s="52"/>
      <c r="KR16" s="52"/>
      <c r="KS16" s="52"/>
      <c r="KT16" s="52"/>
      <c r="KU16" s="52"/>
      <c r="KV16" s="52"/>
      <c r="KW16" s="52"/>
      <c r="KX16" s="52"/>
      <c r="KY16" s="52"/>
      <c r="KZ16" s="52"/>
      <c r="LA16" s="52"/>
      <c r="LB16" s="52"/>
      <c r="LC16" s="52"/>
      <c r="LD16" s="52"/>
      <c r="LE16" s="52"/>
      <c r="LF16" s="52"/>
      <c r="LG16" s="52"/>
      <c r="LH16" s="52"/>
      <c r="LI16" s="52"/>
      <c r="LJ16" s="52"/>
      <c r="LK16" s="52"/>
      <c r="LL16" s="52"/>
      <c r="LM16" s="52"/>
      <c r="LN16" s="52"/>
      <c r="LO16" s="52"/>
      <c r="LP16" s="52"/>
      <c r="LQ16" s="52"/>
      <c r="LR16" s="52"/>
      <c r="LS16" s="52"/>
      <c r="LT16" s="52"/>
      <c r="LU16" s="52"/>
      <c r="LV16" s="52"/>
      <c r="LW16" s="52"/>
      <c r="LX16" s="52"/>
      <c r="LY16" s="52"/>
      <c r="LZ16" s="52"/>
      <c r="MA16" s="52"/>
      <c r="MB16" s="52"/>
      <c r="MC16" s="52"/>
      <c r="MD16" s="52"/>
      <c r="ME16" s="52"/>
      <c r="MF16" s="52"/>
      <c r="MG16" s="52"/>
      <c r="MH16" s="52"/>
      <c r="MI16" s="52"/>
      <c r="MJ16" s="52"/>
      <c r="MK16" s="52"/>
      <c r="ML16" s="52"/>
      <c r="MM16" s="52"/>
      <c r="MN16" s="52"/>
      <c r="MO16" s="52"/>
      <c r="MP16" s="52"/>
      <c r="MQ16" s="52"/>
      <c r="MR16" s="52"/>
      <c r="MS16" s="52"/>
      <c r="MT16" s="52"/>
      <c r="MU16" s="52"/>
      <c r="MV16" s="52"/>
      <c r="MW16" s="52"/>
      <c r="MX16" s="52"/>
      <c r="MY16" s="52"/>
      <c r="MZ16" s="52"/>
      <c r="NA16" s="52"/>
      <c r="NB16" s="52"/>
      <c r="NC16" s="52"/>
      <c r="ND16" s="52"/>
      <c r="NE16" s="52"/>
      <c r="NF16" s="52"/>
      <c r="NG16" s="52"/>
      <c r="NH16" s="52"/>
      <c r="NI16" s="52"/>
      <c r="NJ16" s="52"/>
      <c r="NK16" s="52"/>
      <c r="NL16" s="52"/>
      <c r="NM16" s="52"/>
      <c r="NN16" s="52"/>
      <c r="NO16" s="52"/>
      <c r="NP16" s="52"/>
      <c r="NQ16" s="52"/>
      <c r="NR16" s="52"/>
      <c r="NS16" s="52"/>
      <c r="NT16" s="52"/>
      <c r="NU16" s="52"/>
      <c r="NV16" s="52"/>
      <c r="NW16" s="52"/>
      <c r="NX16" s="52"/>
      <c r="NY16" s="52"/>
      <c r="NZ16" s="52"/>
      <c r="OA16" s="52"/>
      <c r="OB16" s="52"/>
      <c r="OC16" s="52"/>
      <c r="OD16" s="52"/>
      <c r="OE16" s="52"/>
      <c r="OF16" s="52"/>
      <c r="OG16" s="52"/>
      <c r="OH16" s="52"/>
      <c r="OI16" s="52"/>
      <c r="OJ16" s="52"/>
      <c r="OK16" s="52"/>
      <c r="OL16" s="52"/>
      <c r="OM16" s="52"/>
      <c r="ON16" s="52"/>
      <c r="OO16" s="52"/>
      <c r="OP16" s="52"/>
      <c r="OQ16" s="52"/>
      <c r="OR16" s="52"/>
      <c r="OS16" s="52"/>
      <c r="OT16" s="52"/>
      <c r="OU16" s="52"/>
      <c r="OV16" s="52"/>
      <c r="OW16" s="52"/>
      <c r="OX16" s="52"/>
      <c r="OY16" s="52"/>
      <c r="OZ16" s="52"/>
      <c r="PA16" s="52"/>
      <c r="PB16" s="52"/>
      <c r="PC16" s="52"/>
      <c r="PD16" s="52"/>
      <c r="PE16" s="52"/>
      <c r="PF16" s="52"/>
      <c r="PG16" s="52"/>
      <c r="PH16" s="52"/>
      <c r="PI16" s="52"/>
      <c r="PJ16" s="52"/>
      <c r="PK16" s="52"/>
      <c r="PL16" s="52"/>
      <c r="PM16" s="52"/>
      <c r="PN16" s="52"/>
      <c r="PO16" s="52"/>
      <c r="PP16" s="52"/>
      <c r="PQ16" s="52"/>
      <c r="PR16" s="52"/>
      <c r="PS16" s="52"/>
      <c r="PT16" s="52"/>
      <c r="PU16" s="52"/>
      <c r="PV16" s="52"/>
      <c r="PW16" s="52"/>
      <c r="PX16" s="52"/>
      <c r="PY16" s="52"/>
      <c r="PZ16" s="52"/>
      <c r="QA16" s="52"/>
      <c r="QB16" s="52"/>
      <c r="QC16" s="52"/>
      <c r="QD16" s="52"/>
      <c r="QE16" s="52"/>
      <c r="QF16" s="52"/>
      <c r="QG16" s="52"/>
      <c r="QH16" s="52"/>
      <c r="QI16" s="52"/>
      <c r="QJ16" s="52"/>
      <c r="QK16" s="52"/>
      <c r="QL16" s="52"/>
      <c r="QM16" s="52"/>
      <c r="QN16" s="52"/>
      <c r="QO16" s="52"/>
      <c r="QP16" s="52"/>
      <c r="QQ16" s="52"/>
      <c r="QR16" s="52"/>
      <c r="QS16" s="52"/>
      <c r="QT16" s="52"/>
      <c r="QU16" s="52"/>
      <c r="QV16" s="52"/>
      <c r="QW16" s="52"/>
      <c r="QX16" s="52"/>
      <c r="QY16" s="52"/>
      <c r="QZ16" s="52"/>
      <c r="RA16" s="52"/>
      <c r="RB16" s="52"/>
      <c r="RC16" s="52"/>
      <c r="RD16" s="52"/>
      <c r="RE16" s="52"/>
      <c r="RF16" s="52"/>
      <c r="RG16" s="52"/>
      <c r="RH16" s="52"/>
      <c r="RI16" s="52"/>
      <c r="RJ16" s="52"/>
      <c r="RK16" s="52"/>
      <c r="RL16" s="52"/>
      <c r="RM16" s="52"/>
      <c r="RN16" s="52"/>
      <c r="RO16" s="52"/>
      <c r="RP16" s="52"/>
      <c r="RQ16" s="52"/>
      <c r="RR16" s="52"/>
      <c r="RS16" s="52"/>
      <c r="RT16" s="52"/>
      <c r="RU16" s="52"/>
      <c r="RV16" s="52"/>
      <c r="RW16" s="52"/>
      <c r="RX16" s="52"/>
      <c r="RY16" s="52"/>
      <c r="RZ16" s="52"/>
      <c r="SA16" s="52"/>
      <c r="SB16" s="52"/>
      <c r="SC16" s="52"/>
      <c r="SD16" s="52"/>
      <c r="SE16" s="52"/>
      <c r="SF16" s="52"/>
      <c r="SG16" s="52"/>
      <c r="SH16" s="52"/>
      <c r="SI16" s="52"/>
      <c r="SJ16" s="52"/>
      <c r="SK16" s="52"/>
      <c r="SL16" s="52"/>
      <c r="SM16" s="52"/>
      <c r="SN16" s="52"/>
      <c r="SO16" s="52"/>
      <c r="SP16" s="52"/>
      <c r="SQ16" s="52"/>
      <c r="SR16" s="52"/>
      <c r="SS16" s="52"/>
      <c r="ST16" s="52"/>
      <c r="SU16" s="52"/>
      <c r="SV16" s="52"/>
      <c r="SW16" s="52"/>
      <c r="SX16" s="52"/>
      <c r="SY16" s="52"/>
      <c r="SZ16" s="52"/>
      <c r="TA16" s="52"/>
      <c r="TB16" s="52"/>
      <c r="TC16" s="52"/>
      <c r="TD16" s="52"/>
      <c r="TE16" s="52"/>
      <c r="TF16" s="52"/>
      <c r="TG16" s="52"/>
      <c r="TH16" s="52"/>
      <c r="TI16" s="52"/>
      <c r="TJ16" s="52"/>
      <c r="TK16" s="52"/>
    </row>
    <row r="17" spans="1:531" ht="19.5" customHeight="1" x14ac:dyDescent="0.2">
      <c r="A17" s="262" t="s">
        <v>196</v>
      </c>
      <c r="B17" s="363" t="s">
        <v>192</v>
      </c>
      <c r="C17" s="378">
        <f>C8*('🔧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530.80560000000003</v>
      </c>
      <c r="D17" s="378">
        <f>D8*('🔧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1313.74386</v>
      </c>
      <c r="E17" s="378">
        <f>E8*('🔧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2070.1418400000002</v>
      </c>
      <c r="F17" s="378">
        <f>F8*('🔧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2799.9995400000003</v>
      </c>
      <c r="G17" s="378">
        <f>G8*('🔧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3516.5871000000002</v>
      </c>
      <c r="H17" s="378">
        <f>H8*('🔧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4206.6343800000004</v>
      </c>
      <c r="I17" s="378">
        <f>I8*('🔧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4870.1413800000009</v>
      </c>
      <c r="J17" s="378">
        <f>J8*('🔧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5520.3782400000009</v>
      </c>
      <c r="K17" s="378">
        <f>K8*('🔧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6157.3449600000004</v>
      </c>
      <c r="L17" s="378">
        <f>L8*('🔧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6767.7714000000005</v>
      </c>
      <c r="M17" s="378">
        <f>M8*('🔧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7364.9277000000011</v>
      </c>
      <c r="N17" s="378">
        <f>N8*('🔧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7935.5437200000006</v>
      </c>
      <c r="O17" s="378">
        <f>O8*('🔧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8625.5910000000003</v>
      </c>
      <c r="P17" s="378">
        <f>P8*('🔧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9302.3681400000005</v>
      </c>
      <c r="Q17" s="378">
        <f>Q8*('🔧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9952.6050000000014</v>
      </c>
      <c r="R17" s="378">
        <f>R8*('🔧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10589.571720000002</v>
      </c>
      <c r="S17" s="378">
        <f>S8*('🔧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11199.998160000001</v>
      </c>
      <c r="T17" s="378">
        <f>T8*('🔧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11797.154460000002</v>
      </c>
      <c r="U17" s="378">
        <f>U8*('🔧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12367.770480000001</v>
      </c>
      <c r="V17" s="378">
        <f>V8*('🔧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12925.116360000002</v>
      </c>
      <c r="W17" s="378">
        <f>W8*('🔧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13469.192100000002</v>
      </c>
      <c r="X17" s="378">
        <f>X8*('🔧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13999.997700000002</v>
      </c>
      <c r="Y17" s="378">
        <f>Y8*('🔧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14504.263020000002</v>
      </c>
      <c r="Z17" s="379">
        <f>Z8*('🔧 Cenário Ativo'!B22*('🔧 Cenário Ativo'!B23/1000000*'🔧 Cenário Ativo'!B12+'🔧 Cenário Ativo'!B24/1000000*'🔧 Cenário Ativo'!B13)*(1-'🔧 Cenário Ativo'!B16)*'🔧 Cenário Ativo'!B11+'🔧 Cenário Ativo'!B28*('🔧 Cenário Ativo'!B26/1000000*'🔧 Cenário Ativo'!B12+'🔧 Cenário Ativo'!B27/1000000*'🔧 Cenário Ativo'!B13)*(1-'🔧 Cenário Ativo'!B16)*'🔧 Cenário Ativo'!B11)</f>
        <v>14995.258200000002</v>
      </c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2"/>
      <c r="FF17" s="52"/>
      <c r="FG17" s="52"/>
      <c r="FH17" s="52"/>
      <c r="FI17" s="52"/>
      <c r="FJ17" s="52"/>
      <c r="FK17" s="52"/>
      <c r="FL17" s="52"/>
      <c r="FM17" s="52"/>
      <c r="FN17" s="52"/>
      <c r="FO17" s="52"/>
      <c r="FP17" s="52"/>
      <c r="FQ17" s="52"/>
      <c r="FR17" s="52"/>
      <c r="FS17" s="52"/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52"/>
      <c r="GE17" s="52"/>
      <c r="GF17" s="52"/>
      <c r="GG17" s="52"/>
      <c r="GH17" s="52"/>
      <c r="GI17" s="52"/>
      <c r="GJ17" s="52"/>
      <c r="GK17" s="52"/>
      <c r="GL17" s="52"/>
      <c r="GM17" s="52"/>
      <c r="GN17" s="52"/>
      <c r="GO17" s="52"/>
      <c r="GP17" s="52"/>
      <c r="GQ17" s="52"/>
      <c r="GR17" s="52"/>
      <c r="GS17" s="52"/>
      <c r="GT17" s="52"/>
      <c r="GU17" s="52"/>
      <c r="GV17" s="52"/>
      <c r="GW17" s="52"/>
      <c r="GX17" s="52"/>
      <c r="GY17" s="52"/>
      <c r="GZ17" s="52"/>
      <c r="HA17" s="52"/>
      <c r="HB17" s="52"/>
      <c r="HC17" s="52"/>
      <c r="HD17" s="52"/>
      <c r="HE17" s="52"/>
      <c r="HF17" s="52"/>
      <c r="HG17" s="52"/>
      <c r="HH17" s="52"/>
      <c r="HI17" s="52"/>
      <c r="HJ17" s="52"/>
      <c r="HK17" s="52"/>
      <c r="HL17" s="52"/>
      <c r="HM17" s="52"/>
      <c r="HN17" s="52"/>
      <c r="HO17" s="52"/>
      <c r="HP17" s="52"/>
      <c r="HQ17" s="52"/>
      <c r="HR17" s="52"/>
      <c r="HS17" s="52"/>
      <c r="HT17" s="52"/>
      <c r="HU17" s="52"/>
      <c r="HV17" s="52"/>
      <c r="HW17" s="52"/>
      <c r="HX17" s="52"/>
      <c r="HY17" s="52"/>
      <c r="HZ17" s="52"/>
      <c r="IA17" s="52"/>
      <c r="IB17" s="52"/>
      <c r="IC17" s="52"/>
      <c r="ID17" s="52"/>
      <c r="IE17" s="52"/>
      <c r="IF17" s="52"/>
      <c r="IG17" s="52"/>
      <c r="IH17" s="52"/>
      <c r="II17" s="52"/>
      <c r="IJ17" s="52"/>
      <c r="IK17" s="52"/>
      <c r="IL17" s="52"/>
      <c r="IM17" s="52"/>
      <c r="IN17" s="52"/>
      <c r="IO17" s="52"/>
      <c r="IP17" s="52"/>
      <c r="IQ17" s="52"/>
      <c r="IR17" s="52"/>
      <c r="IS17" s="52"/>
      <c r="IT17" s="52"/>
      <c r="IU17" s="52"/>
      <c r="IV17" s="52"/>
      <c r="IW17" s="52"/>
      <c r="IX17" s="52"/>
      <c r="IY17" s="52"/>
      <c r="IZ17" s="52"/>
      <c r="JA17" s="52"/>
      <c r="JB17" s="52"/>
      <c r="JC17" s="52"/>
      <c r="JD17" s="52"/>
      <c r="JE17" s="52"/>
      <c r="JF17" s="52"/>
      <c r="JG17" s="52"/>
      <c r="JH17" s="52"/>
      <c r="JI17" s="52"/>
      <c r="JJ17" s="52"/>
      <c r="JK17" s="52"/>
      <c r="JL17" s="52"/>
      <c r="JM17" s="52"/>
      <c r="JN17" s="52"/>
      <c r="JO17" s="52"/>
      <c r="JP17" s="52"/>
      <c r="JQ17" s="52"/>
      <c r="JR17" s="52"/>
      <c r="JS17" s="52"/>
      <c r="JT17" s="52"/>
      <c r="JU17" s="52"/>
      <c r="JV17" s="52"/>
      <c r="JW17" s="52"/>
      <c r="JX17" s="52"/>
      <c r="JY17" s="52"/>
      <c r="JZ17" s="52"/>
      <c r="KA17" s="52"/>
      <c r="KB17" s="52"/>
      <c r="KC17" s="52"/>
      <c r="KD17" s="52"/>
      <c r="KE17" s="52"/>
      <c r="KF17" s="52"/>
      <c r="KG17" s="52"/>
      <c r="KH17" s="52"/>
      <c r="KI17" s="52"/>
      <c r="KJ17" s="52"/>
      <c r="KK17" s="52"/>
      <c r="KL17" s="52"/>
      <c r="KM17" s="52"/>
      <c r="KN17" s="52"/>
      <c r="KO17" s="52"/>
      <c r="KP17" s="52"/>
      <c r="KQ17" s="52"/>
      <c r="KR17" s="52"/>
      <c r="KS17" s="52"/>
      <c r="KT17" s="52"/>
      <c r="KU17" s="52"/>
      <c r="KV17" s="52"/>
      <c r="KW17" s="52"/>
      <c r="KX17" s="52"/>
      <c r="KY17" s="52"/>
      <c r="KZ17" s="52"/>
      <c r="LA17" s="52"/>
      <c r="LB17" s="52"/>
      <c r="LC17" s="52"/>
      <c r="LD17" s="52"/>
      <c r="LE17" s="52"/>
      <c r="LF17" s="52"/>
      <c r="LG17" s="52"/>
      <c r="LH17" s="52"/>
      <c r="LI17" s="52"/>
      <c r="LJ17" s="52"/>
      <c r="LK17" s="52"/>
      <c r="LL17" s="52"/>
      <c r="LM17" s="52"/>
      <c r="LN17" s="52"/>
      <c r="LO17" s="52"/>
      <c r="LP17" s="52"/>
      <c r="LQ17" s="52"/>
      <c r="LR17" s="52"/>
      <c r="LS17" s="52"/>
      <c r="LT17" s="52"/>
      <c r="LU17" s="52"/>
      <c r="LV17" s="52"/>
      <c r="LW17" s="52"/>
      <c r="LX17" s="52"/>
      <c r="LY17" s="52"/>
      <c r="LZ17" s="52"/>
      <c r="MA17" s="52"/>
      <c r="MB17" s="52"/>
      <c r="MC17" s="52"/>
      <c r="MD17" s="52"/>
      <c r="ME17" s="52"/>
      <c r="MF17" s="52"/>
      <c r="MG17" s="52"/>
      <c r="MH17" s="52"/>
      <c r="MI17" s="52"/>
      <c r="MJ17" s="52"/>
      <c r="MK17" s="52"/>
      <c r="ML17" s="52"/>
      <c r="MM17" s="52"/>
      <c r="MN17" s="52"/>
      <c r="MO17" s="52"/>
      <c r="MP17" s="52"/>
      <c r="MQ17" s="52"/>
      <c r="MR17" s="52"/>
      <c r="MS17" s="52"/>
      <c r="MT17" s="52"/>
      <c r="MU17" s="52"/>
      <c r="MV17" s="52"/>
      <c r="MW17" s="52"/>
      <c r="MX17" s="52"/>
      <c r="MY17" s="52"/>
      <c r="MZ17" s="52"/>
      <c r="NA17" s="52"/>
      <c r="NB17" s="52"/>
      <c r="NC17" s="52"/>
      <c r="ND17" s="52"/>
      <c r="NE17" s="52"/>
      <c r="NF17" s="52"/>
      <c r="NG17" s="52"/>
      <c r="NH17" s="52"/>
      <c r="NI17" s="52"/>
      <c r="NJ17" s="52"/>
      <c r="NK17" s="52"/>
      <c r="NL17" s="52"/>
      <c r="NM17" s="52"/>
      <c r="NN17" s="52"/>
      <c r="NO17" s="52"/>
      <c r="NP17" s="52"/>
      <c r="NQ17" s="52"/>
      <c r="NR17" s="52"/>
      <c r="NS17" s="52"/>
      <c r="NT17" s="52"/>
      <c r="NU17" s="52"/>
      <c r="NV17" s="52"/>
      <c r="NW17" s="52"/>
      <c r="NX17" s="52"/>
      <c r="NY17" s="52"/>
      <c r="NZ17" s="52"/>
      <c r="OA17" s="52"/>
      <c r="OB17" s="52"/>
      <c r="OC17" s="52"/>
      <c r="OD17" s="52"/>
      <c r="OE17" s="52"/>
      <c r="OF17" s="52"/>
      <c r="OG17" s="52"/>
      <c r="OH17" s="52"/>
      <c r="OI17" s="52"/>
      <c r="OJ17" s="52"/>
      <c r="OK17" s="52"/>
      <c r="OL17" s="52"/>
      <c r="OM17" s="52"/>
      <c r="ON17" s="52"/>
      <c r="OO17" s="52"/>
      <c r="OP17" s="52"/>
      <c r="OQ17" s="52"/>
      <c r="OR17" s="52"/>
      <c r="OS17" s="52"/>
      <c r="OT17" s="52"/>
      <c r="OU17" s="52"/>
      <c r="OV17" s="52"/>
      <c r="OW17" s="52"/>
      <c r="OX17" s="52"/>
      <c r="OY17" s="52"/>
      <c r="OZ17" s="52"/>
      <c r="PA17" s="52"/>
      <c r="PB17" s="52"/>
      <c r="PC17" s="52"/>
      <c r="PD17" s="52"/>
      <c r="PE17" s="52"/>
      <c r="PF17" s="52"/>
      <c r="PG17" s="52"/>
      <c r="PH17" s="52"/>
      <c r="PI17" s="52"/>
      <c r="PJ17" s="52"/>
      <c r="PK17" s="52"/>
      <c r="PL17" s="52"/>
      <c r="PM17" s="52"/>
      <c r="PN17" s="52"/>
      <c r="PO17" s="52"/>
      <c r="PP17" s="52"/>
      <c r="PQ17" s="52"/>
      <c r="PR17" s="52"/>
      <c r="PS17" s="52"/>
      <c r="PT17" s="52"/>
      <c r="PU17" s="52"/>
      <c r="PV17" s="52"/>
      <c r="PW17" s="52"/>
      <c r="PX17" s="52"/>
      <c r="PY17" s="52"/>
      <c r="PZ17" s="52"/>
      <c r="QA17" s="52"/>
      <c r="QB17" s="52"/>
      <c r="QC17" s="52"/>
      <c r="QD17" s="52"/>
      <c r="QE17" s="52"/>
      <c r="QF17" s="52"/>
      <c r="QG17" s="52"/>
      <c r="QH17" s="52"/>
      <c r="QI17" s="52"/>
      <c r="QJ17" s="52"/>
      <c r="QK17" s="52"/>
      <c r="QL17" s="52"/>
      <c r="QM17" s="52"/>
      <c r="QN17" s="52"/>
      <c r="QO17" s="52"/>
      <c r="QP17" s="52"/>
      <c r="QQ17" s="52"/>
      <c r="QR17" s="52"/>
      <c r="QS17" s="52"/>
      <c r="QT17" s="52"/>
      <c r="QU17" s="52"/>
      <c r="QV17" s="52"/>
      <c r="QW17" s="52"/>
      <c r="QX17" s="52"/>
      <c r="QY17" s="52"/>
      <c r="QZ17" s="52"/>
      <c r="RA17" s="52"/>
      <c r="RB17" s="52"/>
      <c r="RC17" s="52"/>
      <c r="RD17" s="52"/>
      <c r="RE17" s="52"/>
      <c r="RF17" s="52"/>
      <c r="RG17" s="52"/>
      <c r="RH17" s="52"/>
      <c r="RI17" s="52"/>
      <c r="RJ17" s="52"/>
      <c r="RK17" s="52"/>
      <c r="RL17" s="52"/>
      <c r="RM17" s="52"/>
      <c r="RN17" s="52"/>
      <c r="RO17" s="52"/>
      <c r="RP17" s="52"/>
      <c r="RQ17" s="52"/>
      <c r="RR17" s="52"/>
      <c r="RS17" s="52"/>
      <c r="RT17" s="52"/>
      <c r="RU17" s="52"/>
      <c r="RV17" s="52"/>
      <c r="RW17" s="52"/>
      <c r="RX17" s="52"/>
      <c r="RY17" s="52"/>
      <c r="RZ17" s="52"/>
      <c r="SA17" s="52"/>
      <c r="SB17" s="52"/>
      <c r="SC17" s="52"/>
      <c r="SD17" s="52"/>
      <c r="SE17" s="52"/>
      <c r="SF17" s="52"/>
      <c r="SG17" s="52"/>
      <c r="SH17" s="52"/>
      <c r="SI17" s="52"/>
      <c r="SJ17" s="52"/>
      <c r="SK17" s="52"/>
      <c r="SL17" s="52"/>
      <c r="SM17" s="52"/>
      <c r="SN17" s="52"/>
      <c r="SO17" s="52"/>
      <c r="SP17" s="52"/>
      <c r="SQ17" s="52"/>
      <c r="SR17" s="52"/>
      <c r="SS17" s="52"/>
      <c r="ST17" s="52"/>
      <c r="SU17" s="52"/>
      <c r="SV17" s="52"/>
      <c r="SW17" s="52"/>
      <c r="SX17" s="52"/>
      <c r="SY17" s="52"/>
      <c r="SZ17" s="52"/>
      <c r="TA17" s="52"/>
      <c r="TB17" s="52"/>
      <c r="TC17" s="52"/>
      <c r="TD17" s="52"/>
      <c r="TE17" s="52"/>
      <c r="TF17" s="52"/>
      <c r="TG17" s="52"/>
      <c r="TH17" s="52"/>
      <c r="TI17" s="52"/>
      <c r="TJ17" s="52"/>
      <c r="TK17" s="52"/>
    </row>
    <row r="18" spans="1:531" ht="19.5" customHeight="1" x14ac:dyDescent="0.2">
      <c r="A18" s="366" t="s">
        <v>197</v>
      </c>
      <c r="B18" s="363" t="s">
        <v>192</v>
      </c>
      <c r="C18" s="380">
        <f t="shared" ref="C18:Z18" si="3">SUM(C14:C17)</f>
        <v>3662.9307000000003</v>
      </c>
      <c r="D18" s="380">
        <f t="shared" si="3"/>
        <v>8437.0185900000015</v>
      </c>
      <c r="E18" s="380">
        <f t="shared" si="3"/>
        <v>12677.510430000002</v>
      </c>
      <c r="F18" s="380">
        <f t="shared" si="3"/>
        <v>16667.35785</v>
      </c>
      <c r="G18" s="380">
        <f t="shared" si="3"/>
        <v>20441.658510000005</v>
      </c>
      <c r="H18" s="380">
        <f t="shared" si="3"/>
        <v>23998.800150000003</v>
      </c>
      <c r="I18" s="380">
        <f t="shared" si="3"/>
        <v>27348.952410000005</v>
      </c>
      <c r="J18" s="380">
        <f t="shared" si="3"/>
        <v>30517.043310000005</v>
      </c>
      <c r="K18" s="380">
        <f t="shared" si="3"/>
        <v>33519.071430000004</v>
      </c>
      <c r="L18" s="380">
        <f t="shared" si="3"/>
        <v>36353.424510000004</v>
      </c>
      <c r="M18" s="380">
        <f t="shared" si="3"/>
        <v>39033.372690000004</v>
      </c>
      <c r="N18" s="380">
        <f t="shared" si="3"/>
        <v>41561.644410000008</v>
      </c>
      <c r="O18" s="380">
        <f t="shared" si="3"/>
        <v>44868.730725000009</v>
      </c>
      <c r="P18" s="380">
        <f t="shared" si="3"/>
        <v>47874.107385000003</v>
      </c>
      <c r="Q18" s="380">
        <f t="shared" si="3"/>
        <v>50711.80900500001</v>
      </c>
      <c r="R18" s="380">
        <f t="shared" si="3"/>
        <v>53400.934665000001</v>
      </c>
      <c r="S18" s="380">
        <f t="shared" si="3"/>
        <v>55944.21280500001</v>
      </c>
      <c r="T18" s="380">
        <f t="shared" si="3"/>
        <v>58350.572865000009</v>
      </c>
      <c r="U18" s="380">
        <f t="shared" si="3"/>
        <v>60627.083985000005</v>
      </c>
      <c r="V18" s="380">
        <f t="shared" si="3"/>
        <v>62782.675605000004</v>
      </c>
      <c r="W18" s="380">
        <f t="shared" si="3"/>
        <v>64833.346304999999</v>
      </c>
      <c r="X18" s="380">
        <f t="shared" si="3"/>
        <v>66779.096085000012</v>
      </c>
      <c r="Y18" s="380">
        <f t="shared" si="3"/>
        <v>68612.483745000005</v>
      </c>
      <c r="Z18" s="381">
        <f t="shared" si="3"/>
        <v>70362.778005</v>
      </c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52"/>
      <c r="FC18" s="52"/>
      <c r="FD18" s="52"/>
      <c r="FE18" s="52"/>
      <c r="FF18" s="52"/>
      <c r="FG18" s="52"/>
      <c r="FH18" s="52"/>
      <c r="FI18" s="52"/>
      <c r="FJ18" s="52"/>
      <c r="FK18" s="52"/>
      <c r="FL18" s="52"/>
      <c r="FM18" s="52"/>
      <c r="FN18" s="52"/>
      <c r="FO18" s="52"/>
      <c r="FP18" s="52"/>
      <c r="FQ18" s="52"/>
      <c r="FR18" s="52"/>
      <c r="FS18" s="52"/>
      <c r="FT18" s="52"/>
      <c r="FU18" s="52"/>
      <c r="FV18" s="52"/>
      <c r="FW18" s="52"/>
      <c r="FX18" s="52"/>
      <c r="FY18" s="52"/>
      <c r="FZ18" s="52"/>
      <c r="GA18" s="52"/>
      <c r="GB18" s="52"/>
      <c r="GC18" s="52"/>
      <c r="GD18" s="52"/>
      <c r="GE18" s="52"/>
      <c r="GF18" s="52"/>
      <c r="GG18" s="52"/>
      <c r="GH18" s="52"/>
      <c r="GI18" s="52"/>
      <c r="GJ18" s="52"/>
      <c r="GK18" s="52"/>
      <c r="GL18" s="52"/>
      <c r="GM18" s="52"/>
      <c r="GN18" s="52"/>
      <c r="GO18" s="52"/>
      <c r="GP18" s="52"/>
      <c r="GQ18" s="52"/>
      <c r="GR18" s="52"/>
      <c r="GS18" s="52"/>
      <c r="GT18" s="52"/>
      <c r="GU18" s="52"/>
      <c r="GV18" s="52"/>
      <c r="GW18" s="52"/>
      <c r="GX18" s="52"/>
      <c r="GY18" s="52"/>
      <c r="GZ18" s="52"/>
      <c r="HA18" s="52"/>
      <c r="HB18" s="52"/>
      <c r="HC18" s="52"/>
      <c r="HD18" s="52"/>
      <c r="HE18" s="52"/>
      <c r="HF18" s="52"/>
      <c r="HG18" s="52"/>
      <c r="HH18" s="52"/>
      <c r="HI18" s="52"/>
      <c r="HJ18" s="52"/>
      <c r="HK18" s="52"/>
      <c r="HL18" s="52"/>
      <c r="HM18" s="52"/>
      <c r="HN18" s="52"/>
      <c r="HO18" s="52"/>
      <c r="HP18" s="52"/>
      <c r="HQ18" s="52"/>
      <c r="HR18" s="52"/>
      <c r="HS18" s="52"/>
      <c r="HT18" s="52"/>
      <c r="HU18" s="52"/>
      <c r="HV18" s="52"/>
      <c r="HW18" s="52"/>
      <c r="HX18" s="52"/>
      <c r="HY18" s="52"/>
      <c r="HZ18" s="52"/>
      <c r="IA18" s="52"/>
      <c r="IB18" s="52"/>
      <c r="IC18" s="52"/>
      <c r="ID18" s="52"/>
      <c r="IE18" s="52"/>
      <c r="IF18" s="52"/>
      <c r="IG18" s="52"/>
      <c r="IH18" s="52"/>
      <c r="II18" s="52"/>
      <c r="IJ18" s="52"/>
      <c r="IK18" s="52"/>
      <c r="IL18" s="52"/>
      <c r="IM18" s="52"/>
      <c r="IN18" s="52"/>
      <c r="IO18" s="52"/>
      <c r="IP18" s="52"/>
      <c r="IQ18" s="52"/>
      <c r="IR18" s="52"/>
      <c r="IS18" s="52"/>
      <c r="IT18" s="52"/>
      <c r="IU18" s="52"/>
      <c r="IV18" s="52"/>
      <c r="IW18" s="52"/>
      <c r="IX18" s="52"/>
      <c r="IY18" s="52"/>
      <c r="IZ18" s="52"/>
      <c r="JA18" s="52"/>
      <c r="JB18" s="52"/>
      <c r="JC18" s="52"/>
      <c r="JD18" s="52"/>
      <c r="JE18" s="52"/>
      <c r="JF18" s="52"/>
      <c r="JG18" s="52"/>
      <c r="JH18" s="52"/>
      <c r="JI18" s="52"/>
      <c r="JJ18" s="52"/>
      <c r="JK18" s="52"/>
      <c r="JL18" s="52"/>
      <c r="JM18" s="52"/>
      <c r="JN18" s="52"/>
      <c r="JO18" s="52"/>
      <c r="JP18" s="52"/>
      <c r="JQ18" s="52"/>
      <c r="JR18" s="52"/>
      <c r="JS18" s="52"/>
      <c r="JT18" s="52"/>
      <c r="JU18" s="52"/>
      <c r="JV18" s="52"/>
      <c r="JW18" s="52"/>
      <c r="JX18" s="52"/>
      <c r="JY18" s="52"/>
      <c r="JZ18" s="52"/>
      <c r="KA18" s="52"/>
      <c r="KB18" s="52"/>
      <c r="KC18" s="52"/>
      <c r="KD18" s="52"/>
      <c r="KE18" s="52"/>
      <c r="KF18" s="52"/>
      <c r="KG18" s="52"/>
      <c r="KH18" s="52"/>
      <c r="KI18" s="52"/>
      <c r="KJ18" s="52"/>
      <c r="KK18" s="52"/>
      <c r="KL18" s="52"/>
      <c r="KM18" s="52"/>
      <c r="KN18" s="52"/>
      <c r="KO18" s="52"/>
      <c r="KP18" s="52"/>
      <c r="KQ18" s="52"/>
      <c r="KR18" s="52"/>
      <c r="KS18" s="52"/>
      <c r="KT18" s="52"/>
      <c r="KU18" s="52"/>
      <c r="KV18" s="52"/>
      <c r="KW18" s="52"/>
      <c r="KX18" s="52"/>
      <c r="KY18" s="52"/>
      <c r="KZ18" s="52"/>
      <c r="LA18" s="52"/>
      <c r="LB18" s="52"/>
      <c r="LC18" s="52"/>
      <c r="LD18" s="52"/>
      <c r="LE18" s="52"/>
      <c r="LF18" s="52"/>
      <c r="LG18" s="52"/>
      <c r="LH18" s="52"/>
      <c r="LI18" s="52"/>
      <c r="LJ18" s="52"/>
      <c r="LK18" s="52"/>
      <c r="LL18" s="52"/>
      <c r="LM18" s="52"/>
      <c r="LN18" s="52"/>
      <c r="LO18" s="52"/>
      <c r="LP18" s="52"/>
      <c r="LQ18" s="52"/>
      <c r="LR18" s="52"/>
      <c r="LS18" s="52"/>
      <c r="LT18" s="52"/>
      <c r="LU18" s="52"/>
      <c r="LV18" s="52"/>
      <c r="LW18" s="52"/>
      <c r="LX18" s="52"/>
      <c r="LY18" s="52"/>
      <c r="LZ18" s="52"/>
      <c r="MA18" s="52"/>
      <c r="MB18" s="52"/>
      <c r="MC18" s="52"/>
      <c r="MD18" s="52"/>
      <c r="ME18" s="52"/>
      <c r="MF18" s="52"/>
      <c r="MG18" s="52"/>
      <c r="MH18" s="52"/>
      <c r="MI18" s="52"/>
      <c r="MJ18" s="52"/>
      <c r="MK18" s="52"/>
      <c r="ML18" s="52"/>
      <c r="MM18" s="52"/>
      <c r="MN18" s="52"/>
      <c r="MO18" s="52"/>
      <c r="MP18" s="52"/>
      <c r="MQ18" s="52"/>
      <c r="MR18" s="52"/>
      <c r="MS18" s="52"/>
      <c r="MT18" s="52"/>
      <c r="MU18" s="52"/>
      <c r="MV18" s="52"/>
      <c r="MW18" s="52"/>
      <c r="MX18" s="52"/>
      <c r="MY18" s="52"/>
      <c r="MZ18" s="52"/>
      <c r="NA18" s="52"/>
      <c r="NB18" s="52"/>
      <c r="NC18" s="52"/>
      <c r="ND18" s="52"/>
      <c r="NE18" s="52"/>
      <c r="NF18" s="52"/>
      <c r="NG18" s="52"/>
      <c r="NH18" s="52"/>
      <c r="NI18" s="52"/>
      <c r="NJ18" s="52"/>
      <c r="NK18" s="52"/>
      <c r="NL18" s="52"/>
      <c r="NM18" s="52"/>
      <c r="NN18" s="52"/>
      <c r="NO18" s="52"/>
      <c r="NP18" s="52"/>
      <c r="NQ18" s="52"/>
      <c r="NR18" s="52"/>
      <c r="NS18" s="52"/>
      <c r="NT18" s="52"/>
      <c r="NU18" s="52"/>
      <c r="NV18" s="52"/>
      <c r="NW18" s="52"/>
      <c r="NX18" s="52"/>
      <c r="NY18" s="52"/>
      <c r="NZ18" s="52"/>
      <c r="OA18" s="52"/>
      <c r="OB18" s="52"/>
      <c r="OC18" s="52"/>
      <c r="OD18" s="52"/>
      <c r="OE18" s="52"/>
      <c r="OF18" s="52"/>
      <c r="OG18" s="52"/>
      <c r="OH18" s="52"/>
      <c r="OI18" s="52"/>
      <c r="OJ18" s="52"/>
      <c r="OK18" s="52"/>
      <c r="OL18" s="52"/>
      <c r="OM18" s="52"/>
      <c r="ON18" s="52"/>
      <c r="OO18" s="52"/>
      <c r="OP18" s="52"/>
      <c r="OQ18" s="52"/>
      <c r="OR18" s="52"/>
      <c r="OS18" s="52"/>
      <c r="OT18" s="52"/>
      <c r="OU18" s="52"/>
      <c r="OV18" s="52"/>
      <c r="OW18" s="52"/>
      <c r="OX18" s="52"/>
      <c r="OY18" s="52"/>
      <c r="OZ18" s="52"/>
      <c r="PA18" s="52"/>
      <c r="PB18" s="52"/>
      <c r="PC18" s="52"/>
      <c r="PD18" s="52"/>
      <c r="PE18" s="52"/>
      <c r="PF18" s="52"/>
      <c r="PG18" s="52"/>
      <c r="PH18" s="52"/>
      <c r="PI18" s="52"/>
      <c r="PJ18" s="52"/>
      <c r="PK18" s="52"/>
      <c r="PL18" s="52"/>
      <c r="PM18" s="52"/>
      <c r="PN18" s="52"/>
      <c r="PO18" s="52"/>
      <c r="PP18" s="52"/>
      <c r="PQ18" s="52"/>
      <c r="PR18" s="52"/>
      <c r="PS18" s="52"/>
      <c r="PT18" s="52"/>
      <c r="PU18" s="52"/>
      <c r="PV18" s="52"/>
      <c r="PW18" s="52"/>
      <c r="PX18" s="52"/>
      <c r="PY18" s="52"/>
      <c r="PZ18" s="52"/>
      <c r="QA18" s="52"/>
      <c r="QB18" s="52"/>
      <c r="QC18" s="52"/>
      <c r="QD18" s="52"/>
      <c r="QE18" s="52"/>
      <c r="QF18" s="52"/>
      <c r="QG18" s="52"/>
      <c r="QH18" s="52"/>
      <c r="QI18" s="52"/>
      <c r="QJ18" s="52"/>
      <c r="QK18" s="52"/>
      <c r="QL18" s="52"/>
      <c r="QM18" s="52"/>
      <c r="QN18" s="52"/>
      <c r="QO18" s="52"/>
      <c r="QP18" s="52"/>
      <c r="QQ18" s="52"/>
      <c r="QR18" s="52"/>
      <c r="QS18" s="52"/>
      <c r="QT18" s="52"/>
      <c r="QU18" s="52"/>
      <c r="QV18" s="52"/>
      <c r="QW18" s="52"/>
      <c r="QX18" s="52"/>
      <c r="QY18" s="52"/>
      <c r="QZ18" s="52"/>
      <c r="RA18" s="52"/>
      <c r="RB18" s="52"/>
      <c r="RC18" s="52"/>
      <c r="RD18" s="52"/>
      <c r="RE18" s="52"/>
      <c r="RF18" s="52"/>
      <c r="RG18" s="52"/>
      <c r="RH18" s="52"/>
      <c r="RI18" s="52"/>
      <c r="RJ18" s="52"/>
      <c r="RK18" s="52"/>
      <c r="RL18" s="52"/>
      <c r="RM18" s="52"/>
      <c r="RN18" s="52"/>
      <c r="RO18" s="52"/>
      <c r="RP18" s="52"/>
      <c r="RQ18" s="52"/>
      <c r="RR18" s="52"/>
      <c r="RS18" s="52"/>
      <c r="RT18" s="52"/>
      <c r="RU18" s="52"/>
      <c r="RV18" s="52"/>
      <c r="RW18" s="52"/>
      <c r="RX18" s="52"/>
      <c r="RY18" s="52"/>
      <c r="RZ18" s="52"/>
      <c r="SA18" s="52"/>
      <c r="SB18" s="52"/>
      <c r="SC18" s="52"/>
      <c r="SD18" s="52"/>
      <c r="SE18" s="52"/>
      <c r="SF18" s="52"/>
      <c r="SG18" s="52"/>
      <c r="SH18" s="52"/>
      <c r="SI18" s="52"/>
      <c r="SJ18" s="52"/>
      <c r="SK18" s="52"/>
      <c r="SL18" s="52"/>
      <c r="SM18" s="52"/>
      <c r="SN18" s="52"/>
      <c r="SO18" s="52"/>
      <c r="SP18" s="52"/>
      <c r="SQ18" s="52"/>
      <c r="SR18" s="52"/>
      <c r="SS18" s="52"/>
      <c r="ST18" s="52"/>
      <c r="SU18" s="52"/>
      <c r="SV18" s="52"/>
      <c r="SW18" s="52"/>
      <c r="SX18" s="52"/>
      <c r="SY18" s="52"/>
      <c r="SZ18" s="52"/>
      <c r="TA18" s="52"/>
      <c r="TB18" s="52"/>
      <c r="TC18" s="52"/>
      <c r="TD18" s="52"/>
      <c r="TE18" s="52"/>
      <c r="TF18" s="52"/>
      <c r="TG18" s="52"/>
      <c r="TH18" s="52"/>
      <c r="TI18" s="52"/>
      <c r="TJ18" s="52"/>
      <c r="TK18" s="52"/>
    </row>
    <row r="19" spans="1:531" s="5" customFormat="1" ht="24" customHeight="1" x14ac:dyDescent="0.2">
      <c r="A19" s="382" t="s">
        <v>198</v>
      </c>
      <c r="B19" s="383"/>
      <c r="C19" s="383"/>
      <c r="D19" s="383"/>
      <c r="E19" s="383"/>
      <c r="F19" s="383"/>
      <c r="G19" s="383"/>
      <c r="H19" s="383"/>
      <c r="I19" s="383"/>
      <c r="J19" s="383"/>
      <c r="K19" s="383"/>
      <c r="L19" s="383"/>
      <c r="M19" s="383"/>
      <c r="N19" s="383"/>
      <c r="O19" s="383"/>
      <c r="P19" s="383"/>
      <c r="Q19" s="383"/>
      <c r="R19" s="383"/>
      <c r="S19" s="383"/>
      <c r="T19" s="383"/>
      <c r="U19" s="383"/>
      <c r="V19" s="383"/>
      <c r="W19" s="383"/>
      <c r="X19" s="383"/>
      <c r="Y19" s="383"/>
      <c r="Z19" s="384"/>
      <c r="AA19" s="385"/>
      <c r="AB19" s="385"/>
      <c r="AC19" s="385"/>
      <c r="AD19" s="385"/>
      <c r="AE19" s="385"/>
      <c r="AF19" s="385"/>
      <c r="AG19" s="385"/>
      <c r="AH19" s="385"/>
      <c r="AI19" s="385"/>
      <c r="AJ19" s="385"/>
      <c r="AK19" s="385"/>
      <c r="AL19" s="385"/>
      <c r="AM19" s="385"/>
      <c r="AN19" s="385"/>
      <c r="AO19" s="385"/>
      <c r="AP19" s="385"/>
      <c r="AQ19" s="385"/>
      <c r="AR19" s="385"/>
      <c r="AS19" s="385"/>
      <c r="AT19" s="385"/>
      <c r="AU19" s="385"/>
      <c r="AV19" s="385"/>
      <c r="AW19" s="385"/>
      <c r="AX19" s="385"/>
      <c r="AY19" s="385"/>
      <c r="AZ19" s="385"/>
      <c r="BA19" s="385"/>
      <c r="BB19" s="385"/>
      <c r="BC19" s="385"/>
      <c r="BD19" s="385"/>
      <c r="BE19" s="385"/>
      <c r="BF19" s="385"/>
      <c r="BG19" s="385"/>
      <c r="BH19" s="385"/>
      <c r="BI19" s="385"/>
      <c r="BJ19" s="385"/>
      <c r="BK19" s="385"/>
      <c r="BL19" s="385"/>
      <c r="BM19" s="385"/>
      <c r="BN19" s="385"/>
      <c r="BO19" s="385"/>
      <c r="BP19" s="385"/>
      <c r="BQ19" s="385"/>
      <c r="BR19" s="385"/>
      <c r="BS19" s="385"/>
      <c r="BT19" s="385"/>
      <c r="BU19" s="385"/>
      <c r="BV19" s="385"/>
      <c r="BW19" s="385"/>
      <c r="BX19" s="385"/>
      <c r="BY19" s="385"/>
      <c r="BZ19" s="385"/>
      <c r="CA19" s="385"/>
      <c r="CB19" s="385"/>
      <c r="CC19" s="385"/>
      <c r="CD19" s="385"/>
      <c r="CE19" s="385"/>
      <c r="CF19" s="385"/>
      <c r="CG19" s="385"/>
      <c r="CH19" s="385"/>
      <c r="CI19" s="385"/>
      <c r="CJ19" s="385"/>
      <c r="CK19" s="385"/>
      <c r="CL19" s="385"/>
      <c r="CM19" s="385"/>
      <c r="CN19" s="385"/>
      <c r="CO19" s="385"/>
      <c r="CP19" s="385"/>
      <c r="CQ19" s="385"/>
      <c r="CR19" s="385"/>
      <c r="CS19" s="385"/>
      <c r="CT19" s="385"/>
      <c r="CU19" s="385"/>
      <c r="CV19" s="385"/>
      <c r="CW19" s="385"/>
      <c r="CX19" s="385"/>
      <c r="CY19" s="385"/>
      <c r="CZ19" s="385"/>
      <c r="DA19" s="385"/>
      <c r="DB19" s="385"/>
      <c r="DC19" s="385"/>
      <c r="DD19" s="385"/>
      <c r="DE19" s="385"/>
      <c r="DF19" s="385"/>
      <c r="DG19" s="385"/>
      <c r="DH19" s="385"/>
      <c r="DI19" s="385"/>
      <c r="DJ19" s="385"/>
      <c r="DK19" s="385"/>
      <c r="DL19" s="385"/>
      <c r="DM19" s="385"/>
      <c r="DN19" s="385"/>
      <c r="DO19" s="385"/>
      <c r="DP19" s="385"/>
      <c r="DQ19" s="385"/>
      <c r="DR19" s="385"/>
      <c r="DS19" s="385"/>
      <c r="DT19" s="385"/>
      <c r="DU19" s="385"/>
      <c r="DV19" s="385"/>
      <c r="DW19" s="385"/>
      <c r="DX19" s="385"/>
      <c r="DY19" s="385"/>
      <c r="DZ19" s="385"/>
      <c r="EA19" s="385"/>
      <c r="EB19" s="385"/>
      <c r="EC19" s="385"/>
      <c r="ED19" s="385"/>
      <c r="EE19" s="385"/>
      <c r="EF19" s="385"/>
      <c r="EG19" s="385"/>
      <c r="EH19" s="385"/>
      <c r="EI19" s="385"/>
      <c r="EJ19" s="385"/>
      <c r="EK19" s="385"/>
      <c r="EL19" s="385"/>
      <c r="EM19" s="385"/>
      <c r="EN19" s="385"/>
      <c r="EO19" s="385"/>
      <c r="EP19" s="385"/>
      <c r="EQ19" s="385"/>
      <c r="ER19" s="385"/>
      <c r="ES19" s="385"/>
      <c r="ET19" s="385"/>
      <c r="EU19" s="385"/>
      <c r="EV19" s="385"/>
      <c r="EW19" s="385"/>
      <c r="EX19" s="385"/>
      <c r="EY19" s="385"/>
      <c r="EZ19" s="385"/>
      <c r="FA19" s="385"/>
      <c r="FB19" s="385"/>
      <c r="FC19" s="385"/>
      <c r="FD19" s="385"/>
      <c r="FE19" s="385"/>
      <c r="FF19" s="385"/>
      <c r="FG19" s="385"/>
      <c r="FH19" s="385"/>
      <c r="FI19" s="385"/>
      <c r="FJ19" s="385"/>
      <c r="FK19" s="385"/>
      <c r="FL19" s="385"/>
      <c r="FM19" s="385"/>
      <c r="FN19" s="385"/>
      <c r="FO19" s="385"/>
      <c r="FP19" s="385"/>
      <c r="FQ19" s="385"/>
      <c r="FR19" s="385"/>
      <c r="FS19" s="385"/>
      <c r="FT19" s="385"/>
      <c r="FU19" s="385"/>
      <c r="FV19" s="385"/>
      <c r="FW19" s="385"/>
      <c r="FX19" s="385"/>
      <c r="FY19" s="385"/>
      <c r="FZ19" s="385"/>
      <c r="GA19" s="385"/>
      <c r="GB19" s="385"/>
      <c r="GC19" s="385"/>
      <c r="GD19" s="385"/>
      <c r="GE19" s="385"/>
      <c r="GF19" s="385"/>
      <c r="GG19" s="385"/>
      <c r="GH19" s="385"/>
      <c r="GI19" s="385"/>
      <c r="GJ19" s="385"/>
      <c r="GK19" s="385"/>
      <c r="GL19" s="385"/>
      <c r="GM19" s="385"/>
      <c r="GN19" s="385"/>
      <c r="GO19" s="385"/>
      <c r="GP19" s="385"/>
      <c r="GQ19" s="385"/>
      <c r="GR19" s="385"/>
      <c r="GS19" s="385"/>
      <c r="GT19" s="385"/>
      <c r="GU19" s="385"/>
      <c r="GV19" s="385"/>
      <c r="GW19" s="385"/>
      <c r="GX19" s="385"/>
      <c r="GY19" s="385"/>
      <c r="GZ19" s="385"/>
      <c r="HA19" s="385"/>
      <c r="HB19" s="385"/>
      <c r="HC19" s="385"/>
      <c r="HD19" s="385"/>
      <c r="HE19" s="385"/>
      <c r="HF19" s="385"/>
      <c r="HG19" s="385"/>
      <c r="HH19" s="385"/>
      <c r="HI19" s="385"/>
      <c r="HJ19" s="385"/>
      <c r="HK19" s="385"/>
      <c r="HL19" s="385"/>
      <c r="HM19" s="385"/>
      <c r="HN19" s="385"/>
      <c r="HO19" s="385"/>
      <c r="HP19" s="385"/>
      <c r="HQ19" s="385"/>
      <c r="HR19" s="385"/>
      <c r="HS19" s="385"/>
      <c r="HT19" s="385"/>
      <c r="HU19" s="385"/>
      <c r="HV19" s="385"/>
      <c r="HW19" s="385"/>
      <c r="HX19" s="385"/>
      <c r="HY19" s="385"/>
      <c r="HZ19" s="385"/>
      <c r="IA19" s="385"/>
      <c r="IB19" s="385"/>
      <c r="IC19" s="385"/>
      <c r="ID19" s="385"/>
      <c r="IE19" s="385"/>
      <c r="IF19" s="385"/>
      <c r="IG19" s="385"/>
      <c r="IH19" s="385"/>
      <c r="II19" s="385"/>
      <c r="IJ19" s="385"/>
      <c r="IK19" s="385"/>
      <c r="IL19" s="385"/>
      <c r="IM19" s="385"/>
      <c r="IN19" s="385"/>
      <c r="IO19" s="385"/>
      <c r="IP19" s="385"/>
      <c r="IQ19" s="385"/>
      <c r="IR19" s="385"/>
      <c r="IS19" s="385"/>
      <c r="IT19" s="385"/>
      <c r="IU19" s="385"/>
      <c r="IV19" s="385"/>
      <c r="IW19" s="385"/>
      <c r="IX19" s="385"/>
      <c r="IY19" s="385"/>
      <c r="IZ19" s="385"/>
      <c r="JA19" s="385"/>
      <c r="JB19" s="385"/>
      <c r="JC19" s="385"/>
      <c r="JD19" s="385"/>
      <c r="JE19" s="385"/>
      <c r="JF19" s="385"/>
      <c r="JG19" s="385"/>
      <c r="JH19" s="385"/>
      <c r="JI19" s="385"/>
      <c r="JJ19" s="385"/>
      <c r="JK19" s="385"/>
      <c r="JL19" s="385"/>
      <c r="JM19" s="385"/>
      <c r="JN19" s="385"/>
      <c r="JO19" s="385"/>
      <c r="JP19" s="385"/>
      <c r="JQ19" s="385"/>
      <c r="JR19" s="385"/>
      <c r="JS19" s="385"/>
      <c r="JT19" s="385"/>
      <c r="JU19" s="385"/>
      <c r="JV19" s="385"/>
      <c r="JW19" s="385"/>
      <c r="JX19" s="385"/>
      <c r="JY19" s="385"/>
      <c r="JZ19" s="385"/>
      <c r="KA19" s="385"/>
      <c r="KB19" s="385"/>
      <c r="KC19" s="385"/>
      <c r="KD19" s="385"/>
      <c r="KE19" s="385"/>
      <c r="KF19" s="385"/>
      <c r="KG19" s="385"/>
      <c r="KH19" s="385"/>
      <c r="KI19" s="385"/>
      <c r="KJ19" s="385"/>
      <c r="KK19" s="385"/>
      <c r="KL19" s="385"/>
      <c r="KM19" s="385"/>
      <c r="KN19" s="385"/>
      <c r="KO19" s="385"/>
      <c r="KP19" s="385"/>
      <c r="KQ19" s="385"/>
      <c r="KR19" s="385"/>
      <c r="KS19" s="385"/>
      <c r="KT19" s="385"/>
      <c r="KU19" s="385"/>
      <c r="KV19" s="385"/>
      <c r="KW19" s="385"/>
      <c r="KX19" s="385"/>
      <c r="KY19" s="385"/>
      <c r="KZ19" s="385"/>
      <c r="LA19" s="385"/>
      <c r="LB19" s="385"/>
      <c r="LC19" s="385"/>
      <c r="LD19" s="385"/>
      <c r="LE19" s="385"/>
      <c r="LF19" s="385"/>
      <c r="LG19" s="385"/>
      <c r="LH19" s="385"/>
      <c r="LI19" s="385"/>
      <c r="LJ19" s="385"/>
      <c r="LK19" s="385"/>
      <c r="LL19" s="385"/>
      <c r="LM19" s="385"/>
      <c r="LN19" s="385"/>
      <c r="LO19" s="385"/>
      <c r="LP19" s="385"/>
      <c r="LQ19" s="385"/>
      <c r="LR19" s="385"/>
      <c r="LS19" s="385"/>
      <c r="LT19" s="385"/>
      <c r="LU19" s="385"/>
      <c r="LV19" s="385"/>
      <c r="LW19" s="385"/>
      <c r="LX19" s="385"/>
      <c r="LY19" s="385"/>
      <c r="LZ19" s="385"/>
      <c r="MA19" s="385"/>
      <c r="MB19" s="385"/>
      <c r="MC19" s="385"/>
      <c r="MD19" s="385"/>
      <c r="ME19" s="385"/>
      <c r="MF19" s="385"/>
      <c r="MG19" s="385"/>
      <c r="MH19" s="385"/>
      <c r="MI19" s="385"/>
      <c r="MJ19" s="385"/>
      <c r="MK19" s="385"/>
      <c r="ML19" s="385"/>
      <c r="MM19" s="385"/>
      <c r="MN19" s="385"/>
      <c r="MO19" s="385"/>
      <c r="MP19" s="385"/>
      <c r="MQ19" s="385"/>
      <c r="MR19" s="385"/>
      <c r="MS19" s="385"/>
      <c r="MT19" s="385"/>
      <c r="MU19" s="385"/>
      <c r="MV19" s="385"/>
      <c r="MW19" s="385"/>
      <c r="MX19" s="385"/>
      <c r="MY19" s="385"/>
      <c r="MZ19" s="385"/>
      <c r="NA19" s="385"/>
      <c r="NB19" s="385"/>
      <c r="NC19" s="385"/>
      <c r="ND19" s="385"/>
      <c r="NE19" s="385"/>
      <c r="NF19" s="385"/>
      <c r="NG19" s="385"/>
      <c r="NH19" s="385"/>
      <c r="NI19" s="385"/>
      <c r="NJ19" s="385"/>
      <c r="NK19" s="385"/>
      <c r="NL19" s="385"/>
      <c r="NM19" s="385"/>
      <c r="NN19" s="385"/>
      <c r="NO19" s="385"/>
      <c r="NP19" s="385"/>
      <c r="NQ19" s="385"/>
      <c r="NR19" s="385"/>
      <c r="NS19" s="385"/>
      <c r="NT19" s="385"/>
      <c r="NU19" s="385"/>
      <c r="NV19" s="385"/>
      <c r="NW19" s="385"/>
      <c r="NX19" s="385"/>
      <c r="NY19" s="385"/>
      <c r="NZ19" s="385"/>
      <c r="OA19" s="385"/>
      <c r="OB19" s="385"/>
      <c r="OC19" s="385"/>
      <c r="OD19" s="385"/>
      <c r="OE19" s="385"/>
      <c r="OF19" s="385"/>
      <c r="OG19" s="385"/>
      <c r="OH19" s="385"/>
      <c r="OI19" s="385"/>
      <c r="OJ19" s="385"/>
      <c r="OK19" s="385"/>
      <c r="OL19" s="385"/>
      <c r="OM19" s="385"/>
      <c r="ON19" s="385"/>
      <c r="OO19" s="385"/>
      <c r="OP19" s="385"/>
      <c r="OQ19" s="385"/>
      <c r="OR19" s="385"/>
      <c r="OS19" s="385"/>
      <c r="OT19" s="385"/>
      <c r="OU19" s="385"/>
      <c r="OV19" s="385"/>
      <c r="OW19" s="385"/>
      <c r="OX19" s="385"/>
      <c r="OY19" s="385"/>
      <c r="OZ19" s="385"/>
      <c r="PA19" s="385"/>
      <c r="PB19" s="385"/>
      <c r="PC19" s="385"/>
      <c r="PD19" s="385"/>
      <c r="PE19" s="385"/>
      <c r="PF19" s="385"/>
      <c r="PG19" s="385"/>
      <c r="PH19" s="385"/>
      <c r="PI19" s="385"/>
      <c r="PJ19" s="385"/>
      <c r="PK19" s="385"/>
      <c r="PL19" s="385"/>
      <c r="PM19" s="385"/>
      <c r="PN19" s="385"/>
      <c r="PO19" s="385"/>
      <c r="PP19" s="385"/>
      <c r="PQ19" s="385"/>
      <c r="PR19" s="385"/>
      <c r="PS19" s="385"/>
      <c r="PT19" s="385"/>
      <c r="PU19" s="385"/>
      <c r="PV19" s="385"/>
      <c r="PW19" s="385"/>
      <c r="PX19" s="385"/>
      <c r="PY19" s="385"/>
      <c r="PZ19" s="385"/>
      <c r="QA19" s="385"/>
      <c r="QB19" s="385"/>
      <c r="QC19" s="385"/>
      <c r="QD19" s="385"/>
      <c r="QE19" s="385"/>
      <c r="QF19" s="385"/>
      <c r="QG19" s="385"/>
      <c r="QH19" s="385"/>
      <c r="QI19" s="385"/>
      <c r="QJ19" s="385"/>
      <c r="QK19" s="385"/>
      <c r="QL19" s="385"/>
      <c r="QM19" s="385"/>
      <c r="QN19" s="385"/>
      <c r="QO19" s="385"/>
      <c r="QP19" s="385"/>
      <c r="QQ19" s="385"/>
      <c r="QR19" s="385"/>
      <c r="QS19" s="385"/>
      <c r="QT19" s="385"/>
      <c r="QU19" s="385"/>
      <c r="QV19" s="385"/>
      <c r="QW19" s="385"/>
      <c r="QX19" s="385"/>
      <c r="QY19" s="385"/>
      <c r="QZ19" s="385"/>
      <c r="RA19" s="385"/>
      <c r="RB19" s="385"/>
      <c r="RC19" s="385"/>
      <c r="RD19" s="385"/>
      <c r="RE19" s="385"/>
      <c r="RF19" s="385"/>
      <c r="RG19" s="385"/>
      <c r="RH19" s="385"/>
      <c r="RI19" s="385"/>
      <c r="RJ19" s="385"/>
      <c r="RK19" s="385"/>
      <c r="RL19" s="385"/>
      <c r="RM19" s="385"/>
      <c r="RN19" s="385"/>
      <c r="RO19" s="385"/>
      <c r="RP19" s="385"/>
      <c r="RQ19" s="385"/>
      <c r="RR19" s="385"/>
      <c r="RS19" s="385"/>
      <c r="RT19" s="385"/>
      <c r="RU19" s="385"/>
      <c r="RV19" s="385"/>
      <c r="RW19" s="385"/>
      <c r="RX19" s="385"/>
      <c r="RY19" s="385"/>
      <c r="RZ19" s="385"/>
      <c r="SA19" s="385"/>
      <c r="SB19" s="385"/>
      <c r="SC19" s="385"/>
      <c r="SD19" s="385"/>
      <c r="SE19" s="385"/>
      <c r="SF19" s="385"/>
      <c r="SG19" s="385"/>
      <c r="SH19" s="385"/>
      <c r="SI19" s="385"/>
      <c r="SJ19" s="385"/>
      <c r="SK19" s="385"/>
      <c r="SL19" s="385"/>
      <c r="SM19" s="385"/>
      <c r="SN19" s="385"/>
      <c r="SO19" s="385"/>
      <c r="SP19" s="385"/>
      <c r="SQ19" s="385"/>
      <c r="SR19" s="385"/>
      <c r="SS19" s="385"/>
      <c r="ST19" s="385"/>
      <c r="SU19" s="385"/>
      <c r="SV19" s="385"/>
      <c r="SW19" s="385"/>
      <c r="SX19" s="385"/>
      <c r="SY19" s="385"/>
      <c r="SZ19" s="385"/>
      <c r="TA19" s="385"/>
      <c r="TB19" s="385"/>
      <c r="TC19" s="385"/>
      <c r="TD19" s="385"/>
      <c r="TE19" s="385"/>
      <c r="TF19" s="385"/>
      <c r="TG19" s="385"/>
      <c r="TH19" s="385"/>
      <c r="TI19" s="385"/>
      <c r="TJ19" s="385"/>
      <c r="TK19" s="385"/>
    </row>
    <row r="20" spans="1:531" ht="19.5" customHeight="1" x14ac:dyDescent="0.2">
      <c r="A20" s="262" t="s">
        <v>199</v>
      </c>
      <c r="B20" s="363" t="s">
        <v>192</v>
      </c>
      <c r="C20" s="386">
        <f>'🔧 Cenário Ativo'!B39+'🔧 Cenário Ativo'!B41+'🔧 Cenário Ativo'!B43+'🔧 Cenário Ativo'!B45</f>
        <v>55000</v>
      </c>
      <c r="D20" s="386">
        <f>'🔧 Cenário Ativo'!B39+'🔧 Cenário Ativo'!B41+'🔧 Cenário Ativo'!B43+'🔧 Cenário Ativo'!B45</f>
        <v>55000</v>
      </c>
      <c r="E20" s="386">
        <f>'🔧 Cenário Ativo'!B39+'🔧 Cenário Ativo'!B41+'🔧 Cenário Ativo'!B43+'🔧 Cenário Ativo'!B45</f>
        <v>55000</v>
      </c>
      <c r="F20" s="386">
        <f>'🔧 Cenário Ativo'!B39+'🔧 Cenário Ativo'!B41+'🔧 Cenário Ativo'!B43+'🔧 Cenário Ativo'!B45</f>
        <v>55000</v>
      </c>
      <c r="G20" s="386">
        <f>'🔧 Cenário Ativo'!B39+'🔧 Cenário Ativo'!B41+'🔧 Cenário Ativo'!B43+'🔧 Cenário Ativo'!B45</f>
        <v>55000</v>
      </c>
      <c r="H20" s="386">
        <f>'🔧 Cenário Ativo'!B39+'🔧 Cenário Ativo'!B41+'🔧 Cenário Ativo'!B43+'🔧 Cenário Ativo'!B45</f>
        <v>55000</v>
      </c>
      <c r="I20" s="386">
        <f>'🔧 Cenário Ativo'!B39+'🔧 Cenário Ativo'!B41+'🔧 Cenário Ativo'!B43+'🔧 Cenário Ativo'!B45</f>
        <v>55000</v>
      </c>
      <c r="J20" s="386">
        <f>'🔧 Cenário Ativo'!B39+'🔧 Cenário Ativo'!B41+'🔧 Cenário Ativo'!B43+'🔧 Cenário Ativo'!B45</f>
        <v>55000</v>
      </c>
      <c r="K20" s="386">
        <f>'🔧 Cenário Ativo'!B39+'🔧 Cenário Ativo'!B41+'🔧 Cenário Ativo'!B43+'🔧 Cenário Ativo'!B45</f>
        <v>55000</v>
      </c>
      <c r="L20" s="386">
        <f>'🔧 Cenário Ativo'!B39+'🔧 Cenário Ativo'!B41+'🔧 Cenário Ativo'!B43+'🔧 Cenário Ativo'!B45</f>
        <v>55000</v>
      </c>
      <c r="M20" s="386">
        <f>'🔧 Cenário Ativo'!B39+'🔧 Cenário Ativo'!B41+'🔧 Cenário Ativo'!B43+'🔧 Cenário Ativo'!B45</f>
        <v>55000</v>
      </c>
      <c r="N20" s="386">
        <f>'🔧 Cenário Ativo'!B39+'🔧 Cenário Ativo'!B41+'🔧 Cenário Ativo'!B43+'🔧 Cenário Ativo'!B45</f>
        <v>55000</v>
      </c>
      <c r="O20" s="386">
        <f>'🔧 Cenário Ativo'!B40+'🔧 Cenário Ativo'!B42+'🔧 Cenário Ativo'!B44+'🔧 Cenário Ativo'!B45</f>
        <v>70000</v>
      </c>
      <c r="P20" s="386">
        <f>'🔧 Cenário Ativo'!B40+'🔧 Cenário Ativo'!B42+'🔧 Cenário Ativo'!B44+'🔧 Cenário Ativo'!B45</f>
        <v>70000</v>
      </c>
      <c r="Q20" s="386">
        <f>'🔧 Cenário Ativo'!B40+'🔧 Cenário Ativo'!B42+'🔧 Cenário Ativo'!B44+'🔧 Cenário Ativo'!B45</f>
        <v>70000</v>
      </c>
      <c r="R20" s="386">
        <f>'🔧 Cenário Ativo'!B40+'🔧 Cenário Ativo'!B42+'🔧 Cenário Ativo'!B44+'🔧 Cenário Ativo'!B45</f>
        <v>70000</v>
      </c>
      <c r="S20" s="386">
        <f>'🔧 Cenário Ativo'!B40+'🔧 Cenário Ativo'!B42+'🔧 Cenário Ativo'!B44+'🔧 Cenário Ativo'!B45</f>
        <v>70000</v>
      </c>
      <c r="T20" s="386">
        <f>'🔧 Cenário Ativo'!B40+'🔧 Cenário Ativo'!B42+'🔧 Cenário Ativo'!B44+'🔧 Cenário Ativo'!B45</f>
        <v>70000</v>
      </c>
      <c r="U20" s="386">
        <f>'🔧 Cenário Ativo'!B40+'🔧 Cenário Ativo'!B42+'🔧 Cenário Ativo'!B44+'🔧 Cenário Ativo'!B45</f>
        <v>70000</v>
      </c>
      <c r="V20" s="386">
        <f>'🔧 Cenário Ativo'!B40+'🔧 Cenário Ativo'!B42+'🔧 Cenário Ativo'!B44+'🔧 Cenário Ativo'!B45</f>
        <v>70000</v>
      </c>
      <c r="W20" s="386">
        <f>'🔧 Cenário Ativo'!B40+'🔧 Cenário Ativo'!B42+'🔧 Cenário Ativo'!B44+'🔧 Cenário Ativo'!B45</f>
        <v>70000</v>
      </c>
      <c r="X20" s="386">
        <f>'🔧 Cenário Ativo'!B40+'🔧 Cenário Ativo'!B42+'🔧 Cenário Ativo'!B44+'🔧 Cenário Ativo'!B45</f>
        <v>70000</v>
      </c>
      <c r="Y20" s="386">
        <f>'🔧 Cenário Ativo'!B40+'🔧 Cenário Ativo'!B42+'🔧 Cenário Ativo'!B44+'🔧 Cenário Ativo'!B45</f>
        <v>70000</v>
      </c>
      <c r="Z20" s="387">
        <f>'🔧 Cenário Ativo'!B40+'🔧 Cenário Ativo'!B42+'🔧 Cenário Ativo'!B44+'🔧 Cenário Ativo'!B45</f>
        <v>70000</v>
      </c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  <c r="FE20" s="52"/>
      <c r="FF20" s="52"/>
      <c r="FG20" s="52"/>
      <c r="FH20" s="52"/>
      <c r="FI20" s="52"/>
      <c r="FJ20" s="52"/>
      <c r="FK20" s="52"/>
      <c r="FL20" s="52"/>
      <c r="FM20" s="52"/>
      <c r="FN20" s="52"/>
      <c r="FO20" s="52"/>
      <c r="FP20" s="52"/>
      <c r="FQ20" s="52"/>
      <c r="FR20" s="52"/>
      <c r="FS20" s="52"/>
      <c r="FT20" s="52"/>
      <c r="FU20" s="52"/>
      <c r="FV20" s="52"/>
      <c r="FW20" s="52"/>
      <c r="FX20" s="52"/>
      <c r="FY20" s="52"/>
      <c r="FZ20" s="52"/>
      <c r="GA20" s="52"/>
      <c r="GB20" s="52"/>
      <c r="GC20" s="52"/>
      <c r="GD20" s="52"/>
      <c r="GE20" s="52"/>
      <c r="GF20" s="52"/>
      <c r="GG20" s="52"/>
      <c r="GH20" s="52"/>
      <c r="GI20" s="52"/>
      <c r="GJ20" s="52"/>
      <c r="GK20" s="52"/>
      <c r="GL20" s="52"/>
      <c r="GM20" s="52"/>
      <c r="GN20" s="52"/>
      <c r="GO20" s="52"/>
      <c r="GP20" s="52"/>
      <c r="GQ20" s="52"/>
      <c r="GR20" s="52"/>
      <c r="GS20" s="52"/>
      <c r="GT20" s="52"/>
      <c r="GU20" s="52"/>
      <c r="GV20" s="52"/>
      <c r="GW20" s="52"/>
      <c r="GX20" s="52"/>
      <c r="GY20" s="52"/>
      <c r="GZ20" s="52"/>
      <c r="HA20" s="52"/>
      <c r="HB20" s="52"/>
      <c r="HC20" s="52"/>
      <c r="HD20" s="52"/>
      <c r="HE20" s="52"/>
      <c r="HF20" s="52"/>
      <c r="HG20" s="52"/>
      <c r="HH20" s="52"/>
      <c r="HI20" s="52"/>
      <c r="HJ20" s="52"/>
      <c r="HK20" s="52"/>
      <c r="HL20" s="52"/>
      <c r="HM20" s="52"/>
      <c r="HN20" s="52"/>
      <c r="HO20" s="52"/>
      <c r="HP20" s="52"/>
      <c r="HQ20" s="52"/>
      <c r="HR20" s="52"/>
      <c r="HS20" s="52"/>
      <c r="HT20" s="52"/>
      <c r="HU20" s="52"/>
      <c r="HV20" s="52"/>
      <c r="HW20" s="52"/>
      <c r="HX20" s="52"/>
      <c r="HY20" s="52"/>
      <c r="HZ20" s="52"/>
      <c r="IA20" s="52"/>
      <c r="IB20" s="52"/>
      <c r="IC20" s="52"/>
      <c r="ID20" s="52"/>
      <c r="IE20" s="52"/>
      <c r="IF20" s="52"/>
      <c r="IG20" s="52"/>
      <c r="IH20" s="52"/>
      <c r="II20" s="52"/>
      <c r="IJ20" s="52"/>
      <c r="IK20" s="52"/>
      <c r="IL20" s="52"/>
      <c r="IM20" s="52"/>
      <c r="IN20" s="52"/>
      <c r="IO20" s="52"/>
      <c r="IP20" s="52"/>
      <c r="IQ20" s="52"/>
      <c r="IR20" s="52"/>
      <c r="IS20" s="52"/>
      <c r="IT20" s="52"/>
      <c r="IU20" s="52"/>
      <c r="IV20" s="52"/>
      <c r="IW20" s="52"/>
      <c r="IX20" s="52"/>
      <c r="IY20" s="52"/>
      <c r="IZ20" s="52"/>
      <c r="JA20" s="52"/>
      <c r="JB20" s="52"/>
      <c r="JC20" s="52"/>
      <c r="JD20" s="52"/>
      <c r="JE20" s="52"/>
      <c r="JF20" s="52"/>
      <c r="JG20" s="52"/>
      <c r="JH20" s="52"/>
      <c r="JI20" s="52"/>
      <c r="JJ20" s="52"/>
      <c r="JK20" s="52"/>
      <c r="JL20" s="52"/>
      <c r="JM20" s="52"/>
      <c r="JN20" s="52"/>
      <c r="JO20" s="52"/>
      <c r="JP20" s="52"/>
      <c r="JQ20" s="52"/>
      <c r="JR20" s="52"/>
      <c r="JS20" s="52"/>
      <c r="JT20" s="52"/>
      <c r="JU20" s="52"/>
      <c r="JV20" s="52"/>
      <c r="JW20" s="52"/>
      <c r="JX20" s="52"/>
      <c r="JY20" s="52"/>
      <c r="JZ20" s="52"/>
      <c r="KA20" s="52"/>
      <c r="KB20" s="52"/>
      <c r="KC20" s="52"/>
      <c r="KD20" s="52"/>
      <c r="KE20" s="52"/>
      <c r="KF20" s="52"/>
      <c r="KG20" s="52"/>
      <c r="KH20" s="52"/>
      <c r="KI20" s="52"/>
      <c r="KJ20" s="52"/>
      <c r="KK20" s="52"/>
      <c r="KL20" s="52"/>
      <c r="KM20" s="52"/>
      <c r="KN20" s="52"/>
      <c r="KO20" s="52"/>
      <c r="KP20" s="52"/>
      <c r="KQ20" s="52"/>
      <c r="KR20" s="52"/>
      <c r="KS20" s="52"/>
      <c r="KT20" s="52"/>
      <c r="KU20" s="52"/>
      <c r="KV20" s="52"/>
      <c r="KW20" s="52"/>
      <c r="KX20" s="52"/>
      <c r="KY20" s="52"/>
      <c r="KZ20" s="52"/>
      <c r="LA20" s="52"/>
      <c r="LB20" s="52"/>
      <c r="LC20" s="52"/>
      <c r="LD20" s="52"/>
      <c r="LE20" s="52"/>
      <c r="LF20" s="52"/>
      <c r="LG20" s="52"/>
      <c r="LH20" s="52"/>
      <c r="LI20" s="52"/>
      <c r="LJ20" s="52"/>
      <c r="LK20" s="52"/>
      <c r="LL20" s="52"/>
      <c r="LM20" s="52"/>
      <c r="LN20" s="52"/>
      <c r="LO20" s="52"/>
      <c r="LP20" s="52"/>
      <c r="LQ20" s="52"/>
      <c r="LR20" s="52"/>
      <c r="LS20" s="52"/>
      <c r="LT20" s="52"/>
      <c r="LU20" s="52"/>
      <c r="LV20" s="52"/>
      <c r="LW20" s="52"/>
      <c r="LX20" s="52"/>
      <c r="LY20" s="52"/>
      <c r="LZ20" s="52"/>
      <c r="MA20" s="52"/>
      <c r="MB20" s="52"/>
      <c r="MC20" s="52"/>
      <c r="MD20" s="52"/>
      <c r="ME20" s="52"/>
      <c r="MF20" s="52"/>
      <c r="MG20" s="52"/>
      <c r="MH20" s="52"/>
      <c r="MI20" s="52"/>
      <c r="MJ20" s="52"/>
      <c r="MK20" s="52"/>
      <c r="ML20" s="52"/>
      <c r="MM20" s="52"/>
      <c r="MN20" s="52"/>
      <c r="MO20" s="52"/>
      <c r="MP20" s="52"/>
      <c r="MQ20" s="52"/>
      <c r="MR20" s="52"/>
      <c r="MS20" s="52"/>
      <c r="MT20" s="52"/>
      <c r="MU20" s="52"/>
      <c r="MV20" s="52"/>
      <c r="MW20" s="52"/>
      <c r="MX20" s="52"/>
      <c r="MY20" s="52"/>
      <c r="MZ20" s="52"/>
      <c r="NA20" s="52"/>
      <c r="NB20" s="52"/>
      <c r="NC20" s="52"/>
      <c r="ND20" s="52"/>
      <c r="NE20" s="52"/>
      <c r="NF20" s="52"/>
      <c r="NG20" s="52"/>
      <c r="NH20" s="52"/>
      <c r="NI20" s="52"/>
      <c r="NJ20" s="52"/>
      <c r="NK20" s="52"/>
      <c r="NL20" s="52"/>
      <c r="NM20" s="52"/>
      <c r="NN20" s="52"/>
      <c r="NO20" s="52"/>
      <c r="NP20" s="52"/>
      <c r="NQ20" s="52"/>
      <c r="NR20" s="52"/>
      <c r="NS20" s="52"/>
      <c r="NT20" s="52"/>
      <c r="NU20" s="52"/>
      <c r="NV20" s="52"/>
      <c r="NW20" s="52"/>
      <c r="NX20" s="52"/>
      <c r="NY20" s="52"/>
      <c r="NZ20" s="52"/>
      <c r="OA20" s="52"/>
      <c r="OB20" s="52"/>
      <c r="OC20" s="52"/>
      <c r="OD20" s="52"/>
      <c r="OE20" s="52"/>
      <c r="OF20" s="52"/>
      <c r="OG20" s="52"/>
      <c r="OH20" s="52"/>
      <c r="OI20" s="52"/>
      <c r="OJ20" s="52"/>
      <c r="OK20" s="52"/>
      <c r="OL20" s="52"/>
      <c r="OM20" s="52"/>
      <c r="ON20" s="52"/>
      <c r="OO20" s="52"/>
      <c r="OP20" s="52"/>
      <c r="OQ20" s="52"/>
      <c r="OR20" s="52"/>
      <c r="OS20" s="52"/>
      <c r="OT20" s="52"/>
      <c r="OU20" s="52"/>
      <c r="OV20" s="52"/>
      <c r="OW20" s="52"/>
      <c r="OX20" s="52"/>
      <c r="OY20" s="52"/>
      <c r="OZ20" s="52"/>
      <c r="PA20" s="52"/>
      <c r="PB20" s="52"/>
      <c r="PC20" s="52"/>
      <c r="PD20" s="52"/>
      <c r="PE20" s="52"/>
      <c r="PF20" s="52"/>
      <c r="PG20" s="52"/>
      <c r="PH20" s="52"/>
      <c r="PI20" s="52"/>
      <c r="PJ20" s="52"/>
      <c r="PK20" s="52"/>
      <c r="PL20" s="52"/>
      <c r="PM20" s="52"/>
      <c r="PN20" s="52"/>
      <c r="PO20" s="52"/>
      <c r="PP20" s="52"/>
      <c r="PQ20" s="52"/>
      <c r="PR20" s="52"/>
      <c r="PS20" s="52"/>
      <c r="PT20" s="52"/>
      <c r="PU20" s="52"/>
      <c r="PV20" s="52"/>
      <c r="PW20" s="52"/>
      <c r="PX20" s="52"/>
      <c r="PY20" s="52"/>
      <c r="PZ20" s="52"/>
      <c r="QA20" s="52"/>
      <c r="QB20" s="52"/>
      <c r="QC20" s="52"/>
      <c r="QD20" s="52"/>
      <c r="QE20" s="52"/>
      <c r="QF20" s="52"/>
      <c r="QG20" s="52"/>
      <c r="QH20" s="52"/>
      <c r="QI20" s="52"/>
      <c r="QJ20" s="52"/>
      <c r="QK20" s="52"/>
      <c r="QL20" s="52"/>
      <c r="QM20" s="52"/>
      <c r="QN20" s="52"/>
      <c r="QO20" s="52"/>
      <c r="QP20" s="52"/>
      <c r="QQ20" s="52"/>
      <c r="QR20" s="52"/>
      <c r="QS20" s="52"/>
      <c r="QT20" s="52"/>
      <c r="QU20" s="52"/>
      <c r="QV20" s="52"/>
      <c r="QW20" s="52"/>
      <c r="QX20" s="52"/>
      <c r="QY20" s="52"/>
      <c r="QZ20" s="52"/>
      <c r="RA20" s="52"/>
      <c r="RB20" s="52"/>
      <c r="RC20" s="52"/>
      <c r="RD20" s="52"/>
      <c r="RE20" s="52"/>
      <c r="RF20" s="52"/>
      <c r="RG20" s="52"/>
      <c r="RH20" s="52"/>
      <c r="RI20" s="52"/>
      <c r="RJ20" s="52"/>
      <c r="RK20" s="52"/>
      <c r="RL20" s="52"/>
      <c r="RM20" s="52"/>
      <c r="RN20" s="52"/>
      <c r="RO20" s="52"/>
      <c r="RP20" s="52"/>
      <c r="RQ20" s="52"/>
      <c r="RR20" s="52"/>
      <c r="RS20" s="52"/>
      <c r="RT20" s="52"/>
      <c r="RU20" s="52"/>
      <c r="RV20" s="52"/>
      <c r="RW20" s="52"/>
      <c r="RX20" s="52"/>
      <c r="RY20" s="52"/>
      <c r="RZ20" s="52"/>
      <c r="SA20" s="52"/>
      <c r="SB20" s="52"/>
      <c r="SC20" s="52"/>
      <c r="SD20" s="52"/>
      <c r="SE20" s="52"/>
      <c r="SF20" s="52"/>
      <c r="SG20" s="52"/>
      <c r="SH20" s="52"/>
      <c r="SI20" s="52"/>
      <c r="SJ20" s="52"/>
      <c r="SK20" s="52"/>
      <c r="SL20" s="52"/>
      <c r="SM20" s="52"/>
      <c r="SN20" s="52"/>
      <c r="SO20" s="52"/>
      <c r="SP20" s="52"/>
      <c r="SQ20" s="52"/>
      <c r="SR20" s="52"/>
      <c r="SS20" s="52"/>
      <c r="ST20" s="52"/>
      <c r="SU20" s="52"/>
      <c r="SV20" s="52"/>
      <c r="SW20" s="52"/>
      <c r="SX20" s="52"/>
      <c r="SY20" s="52"/>
      <c r="SZ20" s="52"/>
      <c r="TA20" s="52"/>
      <c r="TB20" s="52"/>
      <c r="TC20" s="52"/>
      <c r="TD20" s="52"/>
      <c r="TE20" s="52"/>
      <c r="TF20" s="52"/>
      <c r="TG20" s="52"/>
      <c r="TH20" s="52"/>
      <c r="TI20" s="52"/>
      <c r="TJ20" s="52"/>
      <c r="TK20" s="52"/>
    </row>
    <row r="21" spans="1:531" ht="19.5" customHeight="1" x14ac:dyDescent="0.2">
      <c r="A21" s="366" t="s">
        <v>314</v>
      </c>
      <c r="B21" s="388" t="s">
        <v>192</v>
      </c>
      <c r="C21" s="389">
        <f>C11*'🔧 Cenário Ativo'!$B$59</f>
        <v>2803.06</v>
      </c>
      <c r="D21" s="389">
        <f>D11*'🔧 Cenário Ativo'!$B$59</f>
        <v>6838.9620000000004</v>
      </c>
      <c r="E21" s="389">
        <f>E11*'🔧 Cenário Ativo'!$B$59</f>
        <v>10627.018999999998</v>
      </c>
      <c r="F21" s="389">
        <f>F11*'🔧 Cenário Ativo'!$B$59</f>
        <v>14180.205</v>
      </c>
      <c r="G21" s="389">
        <f>G11*'🔧 Cenário Ativo'!$B$59</f>
        <v>17529.668000000001</v>
      </c>
      <c r="H21" s="389">
        <f>H11*'🔧 Cenário Ativo'!$B$59</f>
        <v>20677.994999999999</v>
      </c>
      <c r="I21" s="389">
        <f>I11*'🔧 Cenário Ativo'!$B$59</f>
        <v>23632.972999999998</v>
      </c>
      <c r="J21" s="389">
        <f>J11*'🔧 Cenário Ativo'!$B$59</f>
        <v>26417.962999999996</v>
      </c>
      <c r="K21" s="389">
        <f>K11*'🔧 Cenário Ativo'!$B$59</f>
        <v>29047.239000000005</v>
      </c>
      <c r="L21" s="389">
        <f>L11*'🔧 Cenário Ativo'!$B$59</f>
        <v>31523.387999999999</v>
      </c>
      <c r="M21" s="389">
        <f>M11*'🔧 Cenário Ativo'!$B$59</f>
        <v>33856.796999999999</v>
      </c>
      <c r="N21" s="389">
        <f>N11*'🔧 Cenário Ativo'!$B$59</f>
        <v>36051.352999999996</v>
      </c>
      <c r="O21" s="389">
        <f>O11*'🔧 Cenário Ativo'!$B$59</f>
        <v>38823.395000000004</v>
      </c>
      <c r="P21" s="389">
        <f>P11*'🔧 Cenário Ativo'!$B$59</f>
        <v>41439.723000000005</v>
      </c>
      <c r="Q21" s="389">
        <f>Q11*'🔧 Cenário Ativo'!$B$59</f>
        <v>43902.923999999999</v>
      </c>
      <c r="R21" s="389">
        <f>R11*'🔧 Cenário Ativo'!$B$59</f>
        <v>46229.872000000003</v>
      </c>
      <c r="S21" s="389">
        <f>S11*'🔧 Cenário Ativo'!$B$59</f>
        <v>48424.453999999991</v>
      </c>
      <c r="T21" s="389">
        <f>T11*'🔧 Cenário Ativo'!$B$59</f>
        <v>50495.757000000005</v>
      </c>
      <c r="U21" s="389">
        <f>U11*'🔧 Cenário Ativo'!$B$59</f>
        <v>52448.968000000001</v>
      </c>
      <c r="V21" s="389">
        <f>V11*'🔧 Cenário Ativo'!$B$59</f>
        <v>54293.174000000006</v>
      </c>
      <c r="W21" s="389">
        <f>W11*'🔧 Cenário Ativo'!$B$59</f>
        <v>56042.648999999998</v>
      </c>
      <c r="X21" s="389">
        <f>X11*'🔧 Cenário Ativo'!$B$59</f>
        <v>57697.392999999996</v>
      </c>
      <c r="Y21" s="389">
        <f>Y11*'🔧 Cenário Ativo'!$B$59</f>
        <v>59253.506000000001</v>
      </c>
      <c r="Z21" s="390">
        <f>Z11*'🔧 Cenário Ativo'!$B$59</f>
        <v>60735.648999999998</v>
      </c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  <c r="FB21" s="52"/>
      <c r="FC21" s="52"/>
      <c r="FD21" s="52"/>
      <c r="FE21" s="52"/>
      <c r="FF21" s="52"/>
      <c r="FG21" s="52"/>
      <c r="FH21" s="52"/>
      <c r="FI21" s="52"/>
      <c r="FJ21" s="52"/>
      <c r="FK21" s="52"/>
      <c r="FL21" s="52"/>
      <c r="FM21" s="52"/>
      <c r="FN21" s="52"/>
      <c r="FO21" s="52"/>
      <c r="FP21" s="52"/>
      <c r="FQ21" s="52"/>
      <c r="FR21" s="52"/>
      <c r="FS21" s="52"/>
      <c r="FT21" s="52"/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  <c r="GG21" s="52"/>
      <c r="GH21" s="52"/>
      <c r="GI21" s="52"/>
      <c r="GJ21" s="52"/>
      <c r="GK21" s="52"/>
      <c r="GL21" s="52"/>
      <c r="GM21" s="52"/>
      <c r="GN21" s="52"/>
      <c r="GO21" s="52"/>
      <c r="GP21" s="52"/>
      <c r="GQ21" s="52"/>
      <c r="GR21" s="52"/>
      <c r="GS21" s="52"/>
      <c r="GT21" s="52"/>
      <c r="GU21" s="52"/>
      <c r="GV21" s="52"/>
      <c r="GW21" s="52"/>
      <c r="GX21" s="52"/>
      <c r="GY21" s="52"/>
      <c r="GZ21" s="52"/>
      <c r="HA21" s="52"/>
      <c r="HB21" s="52"/>
      <c r="HC21" s="52"/>
      <c r="HD21" s="52"/>
      <c r="HE21" s="52"/>
      <c r="HF21" s="52"/>
      <c r="HG21" s="52"/>
      <c r="HH21" s="52"/>
      <c r="HI21" s="52"/>
      <c r="HJ21" s="52"/>
      <c r="HK21" s="52"/>
      <c r="HL21" s="52"/>
      <c r="HM21" s="52"/>
      <c r="HN21" s="52"/>
      <c r="HO21" s="52"/>
      <c r="HP21" s="52"/>
      <c r="HQ21" s="52"/>
      <c r="HR21" s="52"/>
      <c r="HS21" s="52"/>
      <c r="HT21" s="52"/>
      <c r="HU21" s="52"/>
      <c r="HV21" s="52"/>
      <c r="HW21" s="52"/>
      <c r="HX21" s="52"/>
      <c r="HY21" s="52"/>
      <c r="HZ21" s="52"/>
      <c r="IA21" s="52"/>
      <c r="IB21" s="52"/>
      <c r="IC21" s="52"/>
      <c r="ID21" s="52"/>
      <c r="IE21" s="52"/>
      <c r="IF21" s="52"/>
      <c r="IG21" s="52"/>
      <c r="IH21" s="52"/>
      <c r="II21" s="52"/>
      <c r="IJ21" s="52"/>
      <c r="IK21" s="52"/>
      <c r="IL21" s="52"/>
      <c r="IM21" s="52"/>
      <c r="IN21" s="52"/>
      <c r="IO21" s="52"/>
      <c r="IP21" s="52"/>
      <c r="IQ21" s="52"/>
      <c r="IR21" s="52"/>
      <c r="IS21" s="52"/>
      <c r="IT21" s="52"/>
      <c r="IU21" s="52"/>
      <c r="IV21" s="52"/>
      <c r="IW21" s="52"/>
      <c r="IX21" s="52"/>
      <c r="IY21" s="52"/>
      <c r="IZ21" s="52"/>
      <c r="JA21" s="52"/>
      <c r="JB21" s="52"/>
      <c r="JC21" s="52"/>
      <c r="JD21" s="52"/>
      <c r="JE21" s="52"/>
      <c r="JF21" s="52"/>
      <c r="JG21" s="52"/>
      <c r="JH21" s="52"/>
      <c r="JI21" s="52"/>
      <c r="JJ21" s="52"/>
      <c r="JK21" s="52"/>
      <c r="JL21" s="52"/>
      <c r="JM21" s="52"/>
      <c r="JN21" s="52"/>
      <c r="JO21" s="52"/>
      <c r="JP21" s="52"/>
      <c r="JQ21" s="52"/>
      <c r="JR21" s="52"/>
      <c r="JS21" s="52"/>
      <c r="JT21" s="52"/>
      <c r="JU21" s="52"/>
      <c r="JV21" s="52"/>
      <c r="JW21" s="52"/>
      <c r="JX21" s="52"/>
      <c r="JY21" s="52"/>
      <c r="JZ21" s="52"/>
      <c r="KA21" s="52"/>
      <c r="KB21" s="52"/>
      <c r="KC21" s="52"/>
      <c r="KD21" s="52"/>
      <c r="KE21" s="52"/>
      <c r="KF21" s="52"/>
      <c r="KG21" s="52"/>
      <c r="KH21" s="52"/>
      <c r="KI21" s="52"/>
      <c r="KJ21" s="52"/>
      <c r="KK21" s="52"/>
      <c r="KL21" s="52"/>
      <c r="KM21" s="52"/>
      <c r="KN21" s="52"/>
      <c r="KO21" s="52"/>
      <c r="KP21" s="52"/>
      <c r="KQ21" s="52"/>
      <c r="KR21" s="52"/>
      <c r="KS21" s="52"/>
      <c r="KT21" s="52"/>
      <c r="KU21" s="52"/>
      <c r="KV21" s="52"/>
      <c r="KW21" s="52"/>
      <c r="KX21" s="52"/>
      <c r="KY21" s="52"/>
      <c r="KZ21" s="52"/>
      <c r="LA21" s="52"/>
      <c r="LB21" s="52"/>
      <c r="LC21" s="52"/>
      <c r="LD21" s="52"/>
      <c r="LE21" s="52"/>
      <c r="LF21" s="52"/>
      <c r="LG21" s="52"/>
      <c r="LH21" s="52"/>
      <c r="LI21" s="52"/>
      <c r="LJ21" s="52"/>
      <c r="LK21" s="52"/>
      <c r="LL21" s="52"/>
      <c r="LM21" s="52"/>
      <c r="LN21" s="52"/>
      <c r="LO21" s="52"/>
      <c r="LP21" s="52"/>
      <c r="LQ21" s="52"/>
      <c r="LR21" s="52"/>
      <c r="LS21" s="52"/>
      <c r="LT21" s="52"/>
      <c r="LU21" s="52"/>
      <c r="LV21" s="52"/>
      <c r="LW21" s="52"/>
      <c r="LX21" s="52"/>
      <c r="LY21" s="52"/>
      <c r="LZ21" s="52"/>
      <c r="MA21" s="52"/>
      <c r="MB21" s="52"/>
      <c r="MC21" s="52"/>
      <c r="MD21" s="52"/>
      <c r="ME21" s="52"/>
      <c r="MF21" s="52"/>
      <c r="MG21" s="52"/>
      <c r="MH21" s="52"/>
      <c r="MI21" s="52"/>
      <c r="MJ21" s="52"/>
      <c r="MK21" s="52"/>
      <c r="ML21" s="52"/>
      <c r="MM21" s="52"/>
      <c r="MN21" s="52"/>
      <c r="MO21" s="52"/>
      <c r="MP21" s="52"/>
      <c r="MQ21" s="52"/>
      <c r="MR21" s="52"/>
      <c r="MS21" s="52"/>
      <c r="MT21" s="52"/>
      <c r="MU21" s="52"/>
      <c r="MV21" s="52"/>
      <c r="MW21" s="52"/>
      <c r="MX21" s="52"/>
      <c r="MY21" s="52"/>
      <c r="MZ21" s="52"/>
      <c r="NA21" s="52"/>
      <c r="NB21" s="52"/>
      <c r="NC21" s="52"/>
      <c r="ND21" s="52"/>
      <c r="NE21" s="52"/>
      <c r="NF21" s="52"/>
      <c r="NG21" s="52"/>
      <c r="NH21" s="52"/>
      <c r="NI21" s="52"/>
      <c r="NJ21" s="52"/>
      <c r="NK21" s="52"/>
      <c r="NL21" s="52"/>
      <c r="NM21" s="52"/>
      <c r="NN21" s="52"/>
      <c r="NO21" s="52"/>
      <c r="NP21" s="52"/>
      <c r="NQ21" s="52"/>
      <c r="NR21" s="52"/>
      <c r="NS21" s="52"/>
      <c r="NT21" s="52"/>
      <c r="NU21" s="52"/>
      <c r="NV21" s="52"/>
      <c r="NW21" s="52"/>
      <c r="NX21" s="52"/>
      <c r="NY21" s="52"/>
      <c r="NZ21" s="52"/>
      <c r="OA21" s="52"/>
      <c r="OB21" s="52"/>
      <c r="OC21" s="52"/>
      <c r="OD21" s="52"/>
      <c r="OE21" s="52"/>
      <c r="OF21" s="52"/>
      <c r="OG21" s="52"/>
      <c r="OH21" s="52"/>
      <c r="OI21" s="52"/>
      <c r="OJ21" s="52"/>
      <c r="OK21" s="52"/>
      <c r="OL21" s="52"/>
      <c r="OM21" s="52"/>
      <c r="ON21" s="52"/>
      <c r="OO21" s="52"/>
      <c r="OP21" s="52"/>
      <c r="OQ21" s="52"/>
      <c r="OR21" s="52"/>
      <c r="OS21" s="52"/>
      <c r="OT21" s="52"/>
      <c r="OU21" s="52"/>
      <c r="OV21" s="52"/>
      <c r="OW21" s="52"/>
      <c r="OX21" s="52"/>
      <c r="OY21" s="52"/>
      <c r="OZ21" s="52"/>
      <c r="PA21" s="52"/>
      <c r="PB21" s="52"/>
      <c r="PC21" s="52"/>
      <c r="PD21" s="52"/>
      <c r="PE21" s="52"/>
      <c r="PF21" s="52"/>
      <c r="PG21" s="52"/>
      <c r="PH21" s="52"/>
      <c r="PI21" s="52"/>
      <c r="PJ21" s="52"/>
      <c r="PK21" s="52"/>
      <c r="PL21" s="52"/>
      <c r="PM21" s="52"/>
      <c r="PN21" s="52"/>
      <c r="PO21" s="52"/>
      <c r="PP21" s="52"/>
      <c r="PQ21" s="52"/>
      <c r="PR21" s="52"/>
      <c r="PS21" s="52"/>
      <c r="PT21" s="52"/>
      <c r="PU21" s="52"/>
      <c r="PV21" s="52"/>
      <c r="PW21" s="52"/>
      <c r="PX21" s="52"/>
      <c r="PY21" s="52"/>
      <c r="PZ21" s="52"/>
      <c r="QA21" s="52"/>
      <c r="QB21" s="52"/>
      <c r="QC21" s="52"/>
      <c r="QD21" s="52"/>
      <c r="QE21" s="52"/>
      <c r="QF21" s="52"/>
      <c r="QG21" s="52"/>
      <c r="QH21" s="52"/>
      <c r="QI21" s="52"/>
      <c r="QJ21" s="52"/>
      <c r="QK21" s="52"/>
      <c r="QL21" s="52"/>
      <c r="QM21" s="52"/>
      <c r="QN21" s="52"/>
      <c r="QO21" s="52"/>
      <c r="QP21" s="52"/>
      <c r="QQ21" s="52"/>
      <c r="QR21" s="52"/>
      <c r="QS21" s="52"/>
      <c r="QT21" s="52"/>
      <c r="QU21" s="52"/>
      <c r="QV21" s="52"/>
      <c r="QW21" s="52"/>
      <c r="QX21" s="52"/>
      <c r="QY21" s="52"/>
      <c r="QZ21" s="52"/>
      <c r="RA21" s="52"/>
      <c r="RB21" s="52"/>
      <c r="RC21" s="52"/>
      <c r="RD21" s="52"/>
      <c r="RE21" s="52"/>
      <c r="RF21" s="52"/>
      <c r="RG21" s="52"/>
      <c r="RH21" s="52"/>
      <c r="RI21" s="52"/>
      <c r="RJ21" s="52"/>
      <c r="RK21" s="52"/>
      <c r="RL21" s="52"/>
      <c r="RM21" s="52"/>
      <c r="RN21" s="52"/>
      <c r="RO21" s="52"/>
      <c r="RP21" s="52"/>
      <c r="RQ21" s="52"/>
      <c r="RR21" s="52"/>
      <c r="RS21" s="52"/>
      <c r="RT21" s="52"/>
      <c r="RU21" s="52"/>
      <c r="RV21" s="52"/>
      <c r="RW21" s="52"/>
      <c r="RX21" s="52"/>
      <c r="RY21" s="52"/>
      <c r="RZ21" s="52"/>
      <c r="SA21" s="52"/>
      <c r="SB21" s="52"/>
      <c r="SC21" s="52"/>
      <c r="SD21" s="52"/>
      <c r="SE21" s="52"/>
      <c r="SF21" s="52"/>
      <c r="SG21" s="52"/>
      <c r="SH21" s="52"/>
      <c r="SI21" s="52"/>
      <c r="SJ21" s="52"/>
      <c r="SK21" s="52"/>
      <c r="SL21" s="52"/>
      <c r="SM21" s="52"/>
      <c r="SN21" s="52"/>
      <c r="SO21" s="52"/>
      <c r="SP21" s="52"/>
      <c r="SQ21" s="52"/>
      <c r="SR21" s="52"/>
      <c r="SS21" s="52"/>
      <c r="ST21" s="52"/>
      <c r="SU21" s="52"/>
      <c r="SV21" s="52"/>
      <c r="SW21" s="52"/>
      <c r="SX21" s="52"/>
      <c r="SY21" s="52"/>
      <c r="SZ21" s="52"/>
      <c r="TA21" s="52"/>
      <c r="TB21" s="52"/>
      <c r="TC21" s="52"/>
      <c r="TD21" s="52"/>
      <c r="TE21" s="52"/>
      <c r="TF21" s="52"/>
      <c r="TG21" s="52"/>
      <c r="TH21" s="52"/>
      <c r="TI21" s="52"/>
      <c r="TJ21" s="52"/>
      <c r="TK21" s="52"/>
    </row>
    <row r="22" spans="1:531" s="5" customFormat="1" ht="24" customHeight="1" x14ac:dyDescent="0.2">
      <c r="A22" s="391" t="s">
        <v>200</v>
      </c>
      <c r="B22" s="392"/>
      <c r="C22" s="392"/>
      <c r="D22" s="392"/>
      <c r="E22" s="392"/>
      <c r="F22" s="392"/>
      <c r="G22" s="392"/>
      <c r="H22" s="392"/>
      <c r="I22" s="392"/>
      <c r="J22" s="392"/>
      <c r="K22" s="392"/>
      <c r="L22" s="392"/>
      <c r="M22" s="392"/>
      <c r="N22" s="392"/>
      <c r="O22" s="392"/>
      <c r="P22" s="392"/>
      <c r="Q22" s="392"/>
      <c r="R22" s="392"/>
      <c r="S22" s="392"/>
      <c r="T22" s="392"/>
      <c r="U22" s="392"/>
      <c r="V22" s="392"/>
      <c r="W22" s="392"/>
      <c r="X22" s="392"/>
      <c r="Y22" s="392"/>
      <c r="Z22" s="393"/>
      <c r="AA22" s="385"/>
      <c r="AB22" s="385"/>
      <c r="AC22" s="385"/>
      <c r="AD22" s="385"/>
      <c r="AE22" s="385"/>
      <c r="AF22" s="385"/>
      <c r="AG22" s="385"/>
      <c r="AH22" s="385"/>
      <c r="AI22" s="385"/>
      <c r="AJ22" s="385"/>
      <c r="AK22" s="385"/>
      <c r="AL22" s="385"/>
      <c r="AM22" s="385"/>
      <c r="AN22" s="385"/>
      <c r="AO22" s="385"/>
      <c r="AP22" s="385"/>
      <c r="AQ22" s="385"/>
      <c r="AR22" s="385"/>
      <c r="AS22" s="385"/>
      <c r="AT22" s="385"/>
      <c r="AU22" s="385"/>
      <c r="AV22" s="385"/>
      <c r="AW22" s="385"/>
      <c r="AX22" s="385"/>
      <c r="AY22" s="385"/>
      <c r="AZ22" s="385"/>
      <c r="BA22" s="385"/>
      <c r="BB22" s="385"/>
      <c r="BC22" s="385"/>
      <c r="BD22" s="385"/>
      <c r="BE22" s="385"/>
      <c r="BF22" s="385"/>
      <c r="BG22" s="385"/>
      <c r="BH22" s="385"/>
      <c r="BI22" s="385"/>
      <c r="BJ22" s="385"/>
      <c r="BK22" s="385"/>
      <c r="BL22" s="385"/>
      <c r="BM22" s="385"/>
      <c r="BN22" s="385"/>
      <c r="BO22" s="385"/>
      <c r="BP22" s="385"/>
      <c r="BQ22" s="385"/>
      <c r="BR22" s="385"/>
      <c r="BS22" s="385"/>
      <c r="BT22" s="385"/>
      <c r="BU22" s="385"/>
      <c r="BV22" s="385"/>
      <c r="BW22" s="385"/>
      <c r="BX22" s="385"/>
      <c r="BY22" s="385"/>
      <c r="BZ22" s="385"/>
      <c r="CA22" s="385"/>
      <c r="CB22" s="385"/>
      <c r="CC22" s="385"/>
      <c r="CD22" s="385"/>
      <c r="CE22" s="385"/>
      <c r="CF22" s="385"/>
      <c r="CG22" s="385"/>
      <c r="CH22" s="385"/>
      <c r="CI22" s="385"/>
      <c r="CJ22" s="385"/>
      <c r="CK22" s="385"/>
      <c r="CL22" s="385"/>
      <c r="CM22" s="385"/>
      <c r="CN22" s="385"/>
      <c r="CO22" s="385"/>
      <c r="CP22" s="385"/>
      <c r="CQ22" s="385"/>
      <c r="CR22" s="385"/>
      <c r="CS22" s="385"/>
      <c r="CT22" s="385"/>
      <c r="CU22" s="385"/>
      <c r="CV22" s="385"/>
      <c r="CW22" s="385"/>
      <c r="CX22" s="385"/>
      <c r="CY22" s="385"/>
      <c r="CZ22" s="385"/>
      <c r="DA22" s="385"/>
      <c r="DB22" s="385"/>
      <c r="DC22" s="385"/>
      <c r="DD22" s="385"/>
      <c r="DE22" s="385"/>
      <c r="DF22" s="385"/>
      <c r="DG22" s="385"/>
      <c r="DH22" s="385"/>
      <c r="DI22" s="385"/>
      <c r="DJ22" s="385"/>
      <c r="DK22" s="385"/>
      <c r="DL22" s="385"/>
      <c r="DM22" s="385"/>
      <c r="DN22" s="385"/>
      <c r="DO22" s="385"/>
      <c r="DP22" s="385"/>
      <c r="DQ22" s="385"/>
      <c r="DR22" s="385"/>
      <c r="DS22" s="385"/>
      <c r="DT22" s="385"/>
      <c r="DU22" s="385"/>
      <c r="DV22" s="385"/>
      <c r="DW22" s="385"/>
      <c r="DX22" s="385"/>
      <c r="DY22" s="385"/>
      <c r="DZ22" s="385"/>
      <c r="EA22" s="385"/>
      <c r="EB22" s="385"/>
      <c r="EC22" s="385"/>
      <c r="ED22" s="385"/>
      <c r="EE22" s="385"/>
      <c r="EF22" s="385"/>
      <c r="EG22" s="385"/>
      <c r="EH22" s="385"/>
      <c r="EI22" s="385"/>
      <c r="EJ22" s="385"/>
      <c r="EK22" s="385"/>
      <c r="EL22" s="385"/>
      <c r="EM22" s="385"/>
      <c r="EN22" s="385"/>
      <c r="EO22" s="385"/>
      <c r="EP22" s="385"/>
      <c r="EQ22" s="385"/>
      <c r="ER22" s="385"/>
      <c r="ES22" s="385"/>
      <c r="ET22" s="385"/>
      <c r="EU22" s="385"/>
      <c r="EV22" s="385"/>
      <c r="EW22" s="385"/>
      <c r="EX22" s="385"/>
      <c r="EY22" s="385"/>
      <c r="EZ22" s="385"/>
      <c r="FA22" s="385"/>
      <c r="FB22" s="385"/>
      <c r="FC22" s="385"/>
      <c r="FD22" s="385"/>
      <c r="FE22" s="385"/>
      <c r="FF22" s="385"/>
      <c r="FG22" s="385"/>
      <c r="FH22" s="385"/>
      <c r="FI22" s="385"/>
      <c r="FJ22" s="385"/>
      <c r="FK22" s="385"/>
      <c r="FL22" s="385"/>
      <c r="FM22" s="385"/>
      <c r="FN22" s="385"/>
      <c r="FO22" s="385"/>
      <c r="FP22" s="385"/>
      <c r="FQ22" s="385"/>
      <c r="FR22" s="385"/>
      <c r="FS22" s="385"/>
      <c r="FT22" s="385"/>
      <c r="FU22" s="385"/>
      <c r="FV22" s="385"/>
      <c r="FW22" s="385"/>
      <c r="FX22" s="385"/>
      <c r="FY22" s="385"/>
      <c r="FZ22" s="385"/>
      <c r="GA22" s="385"/>
      <c r="GB22" s="385"/>
      <c r="GC22" s="385"/>
      <c r="GD22" s="385"/>
      <c r="GE22" s="385"/>
      <c r="GF22" s="385"/>
      <c r="GG22" s="385"/>
      <c r="GH22" s="385"/>
      <c r="GI22" s="385"/>
      <c r="GJ22" s="385"/>
      <c r="GK22" s="385"/>
      <c r="GL22" s="385"/>
      <c r="GM22" s="385"/>
      <c r="GN22" s="385"/>
      <c r="GO22" s="385"/>
      <c r="GP22" s="385"/>
      <c r="GQ22" s="385"/>
      <c r="GR22" s="385"/>
      <c r="GS22" s="385"/>
      <c r="GT22" s="385"/>
      <c r="GU22" s="385"/>
      <c r="GV22" s="385"/>
      <c r="GW22" s="385"/>
      <c r="GX22" s="385"/>
      <c r="GY22" s="385"/>
      <c r="GZ22" s="385"/>
      <c r="HA22" s="385"/>
      <c r="HB22" s="385"/>
      <c r="HC22" s="385"/>
      <c r="HD22" s="385"/>
      <c r="HE22" s="385"/>
      <c r="HF22" s="385"/>
      <c r="HG22" s="385"/>
      <c r="HH22" s="385"/>
      <c r="HI22" s="385"/>
      <c r="HJ22" s="385"/>
      <c r="HK22" s="385"/>
      <c r="HL22" s="385"/>
      <c r="HM22" s="385"/>
      <c r="HN22" s="385"/>
      <c r="HO22" s="385"/>
      <c r="HP22" s="385"/>
      <c r="HQ22" s="385"/>
      <c r="HR22" s="385"/>
      <c r="HS22" s="385"/>
      <c r="HT22" s="385"/>
      <c r="HU22" s="385"/>
      <c r="HV22" s="385"/>
      <c r="HW22" s="385"/>
      <c r="HX22" s="385"/>
      <c r="HY22" s="385"/>
      <c r="HZ22" s="385"/>
      <c r="IA22" s="385"/>
      <c r="IB22" s="385"/>
      <c r="IC22" s="385"/>
      <c r="ID22" s="385"/>
      <c r="IE22" s="385"/>
      <c r="IF22" s="385"/>
      <c r="IG22" s="385"/>
      <c r="IH22" s="385"/>
      <c r="II22" s="385"/>
      <c r="IJ22" s="385"/>
      <c r="IK22" s="385"/>
      <c r="IL22" s="385"/>
      <c r="IM22" s="385"/>
      <c r="IN22" s="385"/>
      <c r="IO22" s="385"/>
      <c r="IP22" s="385"/>
      <c r="IQ22" s="385"/>
      <c r="IR22" s="385"/>
      <c r="IS22" s="385"/>
      <c r="IT22" s="385"/>
      <c r="IU22" s="385"/>
      <c r="IV22" s="385"/>
      <c r="IW22" s="385"/>
      <c r="IX22" s="385"/>
      <c r="IY22" s="385"/>
      <c r="IZ22" s="385"/>
      <c r="JA22" s="385"/>
      <c r="JB22" s="385"/>
      <c r="JC22" s="385"/>
      <c r="JD22" s="385"/>
      <c r="JE22" s="385"/>
      <c r="JF22" s="385"/>
      <c r="JG22" s="385"/>
      <c r="JH22" s="385"/>
      <c r="JI22" s="385"/>
      <c r="JJ22" s="385"/>
      <c r="JK22" s="385"/>
      <c r="JL22" s="385"/>
      <c r="JM22" s="385"/>
      <c r="JN22" s="385"/>
      <c r="JO22" s="385"/>
      <c r="JP22" s="385"/>
      <c r="JQ22" s="385"/>
      <c r="JR22" s="385"/>
      <c r="JS22" s="385"/>
      <c r="JT22" s="385"/>
      <c r="JU22" s="385"/>
      <c r="JV22" s="385"/>
      <c r="JW22" s="385"/>
      <c r="JX22" s="385"/>
      <c r="JY22" s="385"/>
      <c r="JZ22" s="385"/>
      <c r="KA22" s="385"/>
      <c r="KB22" s="385"/>
      <c r="KC22" s="385"/>
      <c r="KD22" s="385"/>
      <c r="KE22" s="385"/>
      <c r="KF22" s="385"/>
      <c r="KG22" s="385"/>
      <c r="KH22" s="385"/>
      <c r="KI22" s="385"/>
      <c r="KJ22" s="385"/>
      <c r="KK22" s="385"/>
      <c r="KL22" s="385"/>
      <c r="KM22" s="385"/>
      <c r="KN22" s="385"/>
      <c r="KO22" s="385"/>
      <c r="KP22" s="385"/>
      <c r="KQ22" s="385"/>
      <c r="KR22" s="385"/>
      <c r="KS22" s="385"/>
      <c r="KT22" s="385"/>
      <c r="KU22" s="385"/>
      <c r="KV22" s="385"/>
      <c r="KW22" s="385"/>
      <c r="KX22" s="385"/>
      <c r="KY22" s="385"/>
      <c r="KZ22" s="385"/>
      <c r="LA22" s="385"/>
      <c r="LB22" s="385"/>
      <c r="LC22" s="385"/>
      <c r="LD22" s="385"/>
      <c r="LE22" s="385"/>
      <c r="LF22" s="385"/>
      <c r="LG22" s="385"/>
      <c r="LH22" s="385"/>
      <c r="LI22" s="385"/>
      <c r="LJ22" s="385"/>
      <c r="LK22" s="385"/>
      <c r="LL22" s="385"/>
      <c r="LM22" s="385"/>
      <c r="LN22" s="385"/>
      <c r="LO22" s="385"/>
      <c r="LP22" s="385"/>
      <c r="LQ22" s="385"/>
      <c r="LR22" s="385"/>
      <c r="LS22" s="385"/>
      <c r="LT22" s="385"/>
      <c r="LU22" s="385"/>
      <c r="LV22" s="385"/>
      <c r="LW22" s="385"/>
      <c r="LX22" s="385"/>
      <c r="LY22" s="385"/>
      <c r="LZ22" s="385"/>
      <c r="MA22" s="385"/>
      <c r="MB22" s="385"/>
      <c r="MC22" s="385"/>
      <c r="MD22" s="385"/>
      <c r="ME22" s="385"/>
      <c r="MF22" s="385"/>
      <c r="MG22" s="385"/>
      <c r="MH22" s="385"/>
      <c r="MI22" s="385"/>
      <c r="MJ22" s="385"/>
      <c r="MK22" s="385"/>
      <c r="ML22" s="385"/>
      <c r="MM22" s="385"/>
      <c r="MN22" s="385"/>
      <c r="MO22" s="385"/>
      <c r="MP22" s="385"/>
      <c r="MQ22" s="385"/>
      <c r="MR22" s="385"/>
      <c r="MS22" s="385"/>
      <c r="MT22" s="385"/>
      <c r="MU22" s="385"/>
      <c r="MV22" s="385"/>
      <c r="MW22" s="385"/>
      <c r="MX22" s="385"/>
      <c r="MY22" s="385"/>
      <c r="MZ22" s="385"/>
      <c r="NA22" s="385"/>
      <c r="NB22" s="385"/>
      <c r="NC22" s="385"/>
      <c r="ND22" s="385"/>
      <c r="NE22" s="385"/>
      <c r="NF22" s="385"/>
      <c r="NG22" s="385"/>
      <c r="NH22" s="385"/>
      <c r="NI22" s="385"/>
      <c r="NJ22" s="385"/>
      <c r="NK22" s="385"/>
      <c r="NL22" s="385"/>
      <c r="NM22" s="385"/>
      <c r="NN22" s="385"/>
      <c r="NO22" s="385"/>
      <c r="NP22" s="385"/>
      <c r="NQ22" s="385"/>
      <c r="NR22" s="385"/>
      <c r="NS22" s="385"/>
      <c r="NT22" s="385"/>
      <c r="NU22" s="385"/>
      <c r="NV22" s="385"/>
      <c r="NW22" s="385"/>
      <c r="NX22" s="385"/>
      <c r="NY22" s="385"/>
      <c r="NZ22" s="385"/>
      <c r="OA22" s="385"/>
      <c r="OB22" s="385"/>
      <c r="OC22" s="385"/>
      <c r="OD22" s="385"/>
      <c r="OE22" s="385"/>
      <c r="OF22" s="385"/>
      <c r="OG22" s="385"/>
      <c r="OH22" s="385"/>
      <c r="OI22" s="385"/>
      <c r="OJ22" s="385"/>
      <c r="OK22" s="385"/>
      <c r="OL22" s="385"/>
      <c r="OM22" s="385"/>
      <c r="ON22" s="385"/>
      <c r="OO22" s="385"/>
      <c r="OP22" s="385"/>
      <c r="OQ22" s="385"/>
      <c r="OR22" s="385"/>
      <c r="OS22" s="385"/>
      <c r="OT22" s="385"/>
      <c r="OU22" s="385"/>
      <c r="OV22" s="385"/>
      <c r="OW22" s="385"/>
      <c r="OX22" s="385"/>
      <c r="OY22" s="385"/>
      <c r="OZ22" s="385"/>
      <c r="PA22" s="385"/>
      <c r="PB22" s="385"/>
      <c r="PC22" s="385"/>
      <c r="PD22" s="385"/>
      <c r="PE22" s="385"/>
      <c r="PF22" s="385"/>
      <c r="PG22" s="385"/>
      <c r="PH22" s="385"/>
      <c r="PI22" s="385"/>
      <c r="PJ22" s="385"/>
      <c r="PK22" s="385"/>
      <c r="PL22" s="385"/>
      <c r="PM22" s="385"/>
      <c r="PN22" s="385"/>
      <c r="PO22" s="385"/>
      <c r="PP22" s="385"/>
      <c r="PQ22" s="385"/>
      <c r="PR22" s="385"/>
      <c r="PS22" s="385"/>
      <c r="PT22" s="385"/>
      <c r="PU22" s="385"/>
      <c r="PV22" s="385"/>
      <c r="PW22" s="385"/>
      <c r="PX22" s="385"/>
      <c r="PY22" s="385"/>
      <c r="PZ22" s="385"/>
      <c r="QA22" s="385"/>
      <c r="QB22" s="385"/>
      <c r="QC22" s="385"/>
      <c r="QD22" s="385"/>
      <c r="QE22" s="385"/>
      <c r="QF22" s="385"/>
      <c r="QG22" s="385"/>
      <c r="QH22" s="385"/>
      <c r="QI22" s="385"/>
      <c r="QJ22" s="385"/>
      <c r="QK22" s="385"/>
      <c r="QL22" s="385"/>
      <c r="QM22" s="385"/>
      <c r="QN22" s="385"/>
      <c r="QO22" s="385"/>
      <c r="QP22" s="385"/>
      <c r="QQ22" s="385"/>
      <c r="QR22" s="385"/>
      <c r="QS22" s="385"/>
      <c r="QT22" s="385"/>
      <c r="QU22" s="385"/>
      <c r="QV22" s="385"/>
      <c r="QW22" s="385"/>
      <c r="QX22" s="385"/>
      <c r="QY22" s="385"/>
      <c r="QZ22" s="385"/>
      <c r="RA22" s="385"/>
      <c r="RB22" s="385"/>
      <c r="RC22" s="385"/>
      <c r="RD22" s="385"/>
      <c r="RE22" s="385"/>
      <c r="RF22" s="385"/>
      <c r="RG22" s="385"/>
      <c r="RH22" s="385"/>
      <c r="RI22" s="385"/>
      <c r="RJ22" s="385"/>
      <c r="RK22" s="385"/>
      <c r="RL22" s="385"/>
      <c r="RM22" s="385"/>
      <c r="RN22" s="385"/>
      <c r="RO22" s="385"/>
      <c r="RP22" s="385"/>
      <c r="RQ22" s="385"/>
      <c r="RR22" s="385"/>
      <c r="RS22" s="385"/>
      <c r="RT22" s="385"/>
      <c r="RU22" s="385"/>
      <c r="RV22" s="385"/>
      <c r="RW22" s="385"/>
      <c r="RX22" s="385"/>
      <c r="RY22" s="385"/>
      <c r="RZ22" s="385"/>
      <c r="SA22" s="385"/>
      <c r="SB22" s="385"/>
      <c r="SC22" s="385"/>
      <c r="SD22" s="385"/>
      <c r="SE22" s="385"/>
      <c r="SF22" s="385"/>
      <c r="SG22" s="385"/>
      <c r="SH22" s="385"/>
      <c r="SI22" s="385"/>
      <c r="SJ22" s="385"/>
      <c r="SK22" s="385"/>
      <c r="SL22" s="385"/>
      <c r="SM22" s="385"/>
      <c r="SN22" s="385"/>
      <c r="SO22" s="385"/>
      <c r="SP22" s="385"/>
      <c r="SQ22" s="385"/>
      <c r="SR22" s="385"/>
      <c r="SS22" s="385"/>
      <c r="ST22" s="385"/>
      <c r="SU22" s="385"/>
      <c r="SV22" s="385"/>
      <c r="SW22" s="385"/>
      <c r="SX22" s="385"/>
      <c r="SY22" s="385"/>
      <c r="SZ22" s="385"/>
      <c r="TA22" s="385"/>
      <c r="TB22" s="385"/>
      <c r="TC22" s="385"/>
      <c r="TD22" s="385"/>
      <c r="TE22" s="385"/>
      <c r="TF22" s="385"/>
      <c r="TG22" s="385"/>
      <c r="TH22" s="385"/>
      <c r="TI22" s="385"/>
      <c r="TJ22" s="385"/>
      <c r="TK22" s="385"/>
    </row>
    <row r="23" spans="1:531" ht="19.5" customHeight="1" x14ac:dyDescent="0.2">
      <c r="A23" s="262" t="s">
        <v>312</v>
      </c>
      <c r="B23" s="363" t="s">
        <v>192</v>
      </c>
      <c r="C23" s="394">
        <f>C18+C20+C21</f>
        <v>61465.990699999995</v>
      </c>
      <c r="D23" s="394">
        <f t="shared" ref="D23:Z23" si="4">D18+D20+D21</f>
        <v>70275.980590000006</v>
      </c>
      <c r="E23" s="394">
        <f t="shared" si="4"/>
        <v>78304.529429999995</v>
      </c>
      <c r="F23" s="394">
        <f t="shared" si="4"/>
        <v>85847.562850000002</v>
      </c>
      <c r="G23" s="394">
        <f t="shared" si="4"/>
        <v>92971.326510000014</v>
      </c>
      <c r="H23" s="394">
        <f t="shared" si="4"/>
        <v>99676.795149999991</v>
      </c>
      <c r="I23" s="394">
        <f t="shared" si="4"/>
        <v>105981.92541</v>
      </c>
      <c r="J23" s="394">
        <f t="shared" si="4"/>
        <v>111935.00631</v>
      </c>
      <c r="K23" s="394">
        <f t="shared" si="4"/>
        <v>117566.31043000001</v>
      </c>
      <c r="L23" s="394">
        <f t="shared" si="4"/>
        <v>122876.81251000002</v>
      </c>
      <c r="M23" s="394">
        <f t="shared" si="4"/>
        <v>127890.16969000001</v>
      </c>
      <c r="N23" s="394">
        <f t="shared" si="4"/>
        <v>132612.99741000001</v>
      </c>
      <c r="O23" s="394">
        <f t="shared" si="4"/>
        <v>153692.12572499999</v>
      </c>
      <c r="P23" s="394">
        <f t="shared" si="4"/>
        <v>159313.83038500001</v>
      </c>
      <c r="Q23" s="394">
        <f t="shared" si="4"/>
        <v>164614.73300500002</v>
      </c>
      <c r="R23" s="394">
        <f t="shared" si="4"/>
        <v>169630.80666500001</v>
      </c>
      <c r="S23" s="394">
        <f t="shared" si="4"/>
        <v>174368.66680500002</v>
      </c>
      <c r="T23" s="394">
        <f t="shared" si="4"/>
        <v>178846.32986500001</v>
      </c>
      <c r="U23" s="394">
        <f t="shared" si="4"/>
        <v>183076.051985</v>
      </c>
      <c r="V23" s="394">
        <f t="shared" si="4"/>
        <v>187075.849605</v>
      </c>
      <c r="W23" s="394">
        <f t="shared" si="4"/>
        <v>190875.99530500002</v>
      </c>
      <c r="X23" s="394">
        <f t="shared" si="4"/>
        <v>194476.48908500001</v>
      </c>
      <c r="Y23" s="394">
        <f t="shared" si="4"/>
        <v>197865.989745</v>
      </c>
      <c r="Z23" s="395">
        <f t="shared" si="4"/>
        <v>201098.42700500001</v>
      </c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52"/>
      <c r="GZ23" s="52"/>
      <c r="HA23" s="52"/>
      <c r="HB23" s="52"/>
      <c r="HC23" s="52"/>
      <c r="HD23" s="52"/>
      <c r="HE23" s="52"/>
      <c r="HF23" s="52"/>
      <c r="HG23" s="52"/>
      <c r="HH23" s="52"/>
      <c r="HI23" s="52"/>
      <c r="HJ23" s="52"/>
      <c r="HK23" s="52"/>
      <c r="HL23" s="52"/>
      <c r="HM23" s="52"/>
      <c r="HN23" s="52"/>
      <c r="HO23" s="52"/>
      <c r="HP23" s="52"/>
      <c r="HQ23" s="52"/>
      <c r="HR23" s="52"/>
      <c r="HS23" s="52"/>
      <c r="HT23" s="52"/>
      <c r="HU23" s="52"/>
      <c r="HV23" s="52"/>
      <c r="HW23" s="52"/>
      <c r="HX23" s="52"/>
      <c r="HY23" s="52"/>
      <c r="HZ23" s="52"/>
      <c r="IA23" s="52"/>
      <c r="IB23" s="52"/>
      <c r="IC23" s="52"/>
      <c r="ID23" s="52"/>
      <c r="IE23" s="52"/>
      <c r="IF23" s="52"/>
      <c r="IG23" s="52"/>
      <c r="IH23" s="52"/>
      <c r="II23" s="52"/>
      <c r="IJ23" s="52"/>
      <c r="IK23" s="52"/>
      <c r="IL23" s="52"/>
      <c r="IM23" s="52"/>
      <c r="IN23" s="52"/>
      <c r="IO23" s="52"/>
      <c r="IP23" s="52"/>
      <c r="IQ23" s="52"/>
      <c r="IR23" s="52"/>
      <c r="IS23" s="52"/>
      <c r="IT23" s="52"/>
      <c r="IU23" s="52"/>
      <c r="IV23" s="52"/>
      <c r="IW23" s="52"/>
      <c r="IX23" s="52"/>
      <c r="IY23" s="52"/>
      <c r="IZ23" s="52"/>
      <c r="JA23" s="52"/>
      <c r="JB23" s="52"/>
      <c r="JC23" s="52"/>
      <c r="JD23" s="52"/>
      <c r="JE23" s="52"/>
      <c r="JF23" s="52"/>
      <c r="JG23" s="52"/>
      <c r="JH23" s="52"/>
      <c r="JI23" s="52"/>
      <c r="JJ23" s="52"/>
      <c r="JK23" s="52"/>
      <c r="JL23" s="52"/>
      <c r="JM23" s="52"/>
      <c r="JN23" s="52"/>
      <c r="JO23" s="52"/>
      <c r="JP23" s="52"/>
      <c r="JQ23" s="52"/>
      <c r="JR23" s="52"/>
      <c r="JS23" s="52"/>
      <c r="JT23" s="52"/>
      <c r="JU23" s="52"/>
      <c r="JV23" s="52"/>
      <c r="JW23" s="52"/>
      <c r="JX23" s="52"/>
      <c r="JY23" s="52"/>
      <c r="JZ23" s="52"/>
      <c r="KA23" s="52"/>
      <c r="KB23" s="52"/>
      <c r="KC23" s="52"/>
      <c r="KD23" s="52"/>
      <c r="KE23" s="52"/>
      <c r="KF23" s="52"/>
      <c r="KG23" s="52"/>
      <c r="KH23" s="52"/>
      <c r="KI23" s="52"/>
      <c r="KJ23" s="52"/>
      <c r="KK23" s="52"/>
      <c r="KL23" s="52"/>
      <c r="KM23" s="52"/>
      <c r="KN23" s="52"/>
      <c r="KO23" s="52"/>
      <c r="KP23" s="52"/>
      <c r="KQ23" s="52"/>
      <c r="KR23" s="52"/>
      <c r="KS23" s="52"/>
      <c r="KT23" s="52"/>
      <c r="KU23" s="52"/>
      <c r="KV23" s="52"/>
      <c r="KW23" s="52"/>
      <c r="KX23" s="52"/>
      <c r="KY23" s="52"/>
      <c r="KZ23" s="52"/>
      <c r="LA23" s="52"/>
      <c r="LB23" s="52"/>
      <c r="LC23" s="52"/>
      <c r="LD23" s="52"/>
      <c r="LE23" s="52"/>
      <c r="LF23" s="52"/>
      <c r="LG23" s="52"/>
      <c r="LH23" s="52"/>
      <c r="LI23" s="52"/>
      <c r="LJ23" s="52"/>
      <c r="LK23" s="52"/>
      <c r="LL23" s="52"/>
      <c r="LM23" s="52"/>
      <c r="LN23" s="52"/>
      <c r="LO23" s="52"/>
      <c r="LP23" s="52"/>
      <c r="LQ23" s="52"/>
      <c r="LR23" s="52"/>
      <c r="LS23" s="52"/>
      <c r="LT23" s="52"/>
      <c r="LU23" s="52"/>
      <c r="LV23" s="52"/>
      <c r="LW23" s="52"/>
      <c r="LX23" s="52"/>
      <c r="LY23" s="52"/>
      <c r="LZ23" s="52"/>
      <c r="MA23" s="52"/>
      <c r="MB23" s="52"/>
      <c r="MC23" s="52"/>
      <c r="MD23" s="52"/>
      <c r="ME23" s="52"/>
      <c r="MF23" s="52"/>
      <c r="MG23" s="52"/>
      <c r="MH23" s="52"/>
      <c r="MI23" s="52"/>
      <c r="MJ23" s="52"/>
      <c r="MK23" s="52"/>
      <c r="ML23" s="52"/>
      <c r="MM23" s="52"/>
      <c r="MN23" s="52"/>
      <c r="MO23" s="52"/>
      <c r="MP23" s="52"/>
      <c r="MQ23" s="52"/>
      <c r="MR23" s="52"/>
      <c r="MS23" s="52"/>
      <c r="MT23" s="52"/>
      <c r="MU23" s="52"/>
      <c r="MV23" s="52"/>
      <c r="MW23" s="52"/>
      <c r="MX23" s="52"/>
      <c r="MY23" s="52"/>
      <c r="MZ23" s="52"/>
      <c r="NA23" s="52"/>
      <c r="NB23" s="52"/>
      <c r="NC23" s="52"/>
      <c r="ND23" s="52"/>
      <c r="NE23" s="52"/>
      <c r="NF23" s="52"/>
      <c r="NG23" s="52"/>
      <c r="NH23" s="52"/>
      <c r="NI23" s="52"/>
      <c r="NJ23" s="52"/>
      <c r="NK23" s="52"/>
      <c r="NL23" s="52"/>
      <c r="NM23" s="52"/>
      <c r="NN23" s="52"/>
      <c r="NO23" s="52"/>
      <c r="NP23" s="52"/>
      <c r="NQ23" s="52"/>
      <c r="NR23" s="52"/>
      <c r="NS23" s="52"/>
      <c r="NT23" s="52"/>
      <c r="NU23" s="52"/>
      <c r="NV23" s="52"/>
      <c r="NW23" s="52"/>
      <c r="NX23" s="52"/>
      <c r="NY23" s="52"/>
      <c r="NZ23" s="52"/>
      <c r="OA23" s="52"/>
      <c r="OB23" s="52"/>
      <c r="OC23" s="52"/>
      <c r="OD23" s="52"/>
      <c r="OE23" s="52"/>
      <c r="OF23" s="52"/>
      <c r="OG23" s="52"/>
      <c r="OH23" s="52"/>
      <c r="OI23" s="52"/>
      <c r="OJ23" s="52"/>
      <c r="OK23" s="52"/>
      <c r="OL23" s="52"/>
      <c r="OM23" s="52"/>
      <c r="ON23" s="52"/>
      <c r="OO23" s="52"/>
      <c r="OP23" s="52"/>
      <c r="OQ23" s="52"/>
      <c r="OR23" s="52"/>
      <c r="OS23" s="52"/>
      <c r="OT23" s="52"/>
      <c r="OU23" s="52"/>
      <c r="OV23" s="52"/>
      <c r="OW23" s="52"/>
      <c r="OX23" s="52"/>
      <c r="OY23" s="52"/>
      <c r="OZ23" s="52"/>
      <c r="PA23" s="52"/>
      <c r="PB23" s="52"/>
      <c r="PC23" s="52"/>
      <c r="PD23" s="52"/>
      <c r="PE23" s="52"/>
      <c r="PF23" s="52"/>
      <c r="PG23" s="52"/>
      <c r="PH23" s="52"/>
      <c r="PI23" s="52"/>
      <c r="PJ23" s="52"/>
      <c r="PK23" s="52"/>
      <c r="PL23" s="52"/>
      <c r="PM23" s="52"/>
      <c r="PN23" s="52"/>
      <c r="PO23" s="52"/>
      <c r="PP23" s="52"/>
      <c r="PQ23" s="52"/>
      <c r="PR23" s="52"/>
      <c r="PS23" s="52"/>
      <c r="PT23" s="52"/>
      <c r="PU23" s="52"/>
      <c r="PV23" s="52"/>
      <c r="PW23" s="52"/>
      <c r="PX23" s="52"/>
      <c r="PY23" s="52"/>
      <c r="PZ23" s="52"/>
      <c r="QA23" s="52"/>
      <c r="QB23" s="52"/>
      <c r="QC23" s="52"/>
      <c r="QD23" s="52"/>
      <c r="QE23" s="52"/>
      <c r="QF23" s="52"/>
      <c r="QG23" s="52"/>
      <c r="QH23" s="52"/>
      <c r="QI23" s="52"/>
      <c r="QJ23" s="52"/>
      <c r="QK23" s="52"/>
      <c r="QL23" s="52"/>
      <c r="QM23" s="52"/>
      <c r="QN23" s="52"/>
      <c r="QO23" s="52"/>
      <c r="QP23" s="52"/>
      <c r="QQ23" s="52"/>
      <c r="QR23" s="52"/>
      <c r="QS23" s="52"/>
      <c r="QT23" s="52"/>
      <c r="QU23" s="52"/>
      <c r="QV23" s="52"/>
      <c r="QW23" s="52"/>
      <c r="QX23" s="52"/>
      <c r="QY23" s="52"/>
      <c r="QZ23" s="52"/>
      <c r="RA23" s="52"/>
      <c r="RB23" s="52"/>
      <c r="RC23" s="52"/>
      <c r="RD23" s="52"/>
      <c r="RE23" s="52"/>
      <c r="RF23" s="52"/>
      <c r="RG23" s="52"/>
      <c r="RH23" s="52"/>
      <c r="RI23" s="52"/>
      <c r="RJ23" s="52"/>
      <c r="RK23" s="52"/>
      <c r="RL23" s="52"/>
      <c r="RM23" s="52"/>
      <c r="RN23" s="52"/>
      <c r="RO23" s="52"/>
      <c r="RP23" s="52"/>
      <c r="RQ23" s="52"/>
      <c r="RR23" s="52"/>
      <c r="RS23" s="52"/>
      <c r="RT23" s="52"/>
      <c r="RU23" s="52"/>
      <c r="RV23" s="52"/>
      <c r="RW23" s="52"/>
      <c r="RX23" s="52"/>
      <c r="RY23" s="52"/>
      <c r="RZ23" s="52"/>
      <c r="SA23" s="52"/>
      <c r="SB23" s="52"/>
      <c r="SC23" s="52"/>
      <c r="SD23" s="52"/>
      <c r="SE23" s="52"/>
      <c r="SF23" s="52"/>
      <c r="SG23" s="52"/>
      <c r="SH23" s="52"/>
      <c r="SI23" s="52"/>
      <c r="SJ23" s="52"/>
      <c r="SK23" s="52"/>
      <c r="SL23" s="52"/>
      <c r="SM23" s="52"/>
      <c r="SN23" s="52"/>
      <c r="SO23" s="52"/>
      <c r="SP23" s="52"/>
      <c r="SQ23" s="52"/>
      <c r="SR23" s="52"/>
      <c r="SS23" s="52"/>
      <c r="ST23" s="52"/>
      <c r="SU23" s="52"/>
      <c r="SV23" s="52"/>
      <c r="SW23" s="52"/>
      <c r="SX23" s="52"/>
      <c r="SY23" s="52"/>
      <c r="SZ23" s="52"/>
      <c r="TA23" s="52"/>
      <c r="TB23" s="52"/>
      <c r="TC23" s="52"/>
      <c r="TD23" s="52"/>
      <c r="TE23" s="52"/>
      <c r="TF23" s="52"/>
      <c r="TG23" s="52"/>
      <c r="TH23" s="52"/>
      <c r="TI23" s="52"/>
      <c r="TJ23" s="52"/>
      <c r="TK23" s="52"/>
    </row>
    <row r="24" spans="1:531" ht="19.5" customHeight="1" x14ac:dyDescent="0.2">
      <c r="A24" s="396" t="s">
        <v>201</v>
      </c>
      <c r="B24" s="397" t="s">
        <v>192</v>
      </c>
      <c r="C24" s="398">
        <f t="shared" ref="C24:Z24" si="5">C11-C23</f>
        <v>-39903.990699999995</v>
      </c>
      <c r="D24" s="398">
        <f t="shared" si="5"/>
        <v>-17668.580590000005</v>
      </c>
      <c r="E24" s="398">
        <f t="shared" si="5"/>
        <v>3441.7705699999933</v>
      </c>
      <c r="F24" s="398">
        <f t="shared" si="5"/>
        <v>23230.937149999998</v>
      </c>
      <c r="G24" s="398">
        <f t="shared" si="5"/>
        <v>41872.273489999992</v>
      </c>
      <c r="H24" s="398">
        <f t="shared" si="5"/>
        <v>59384.704850000009</v>
      </c>
      <c r="I24" s="398">
        <f t="shared" si="5"/>
        <v>75810.174589999981</v>
      </c>
      <c r="J24" s="398">
        <f t="shared" si="5"/>
        <v>91280.09368999998</v>
      </c>
      <c r="K24" s="398">
        <f t="shared" si="5"/>
        <v>105873.98957000001</v>
      </c>
      <c r="L24" s="398">
        <f t="shared" si="5"/>
        <v>119610.78748999996</v>
      </c>
      <c r="M24" s="398">
        <f t="shared" si="5"/>
        <v>132546.73030999998</v>
      </c>
      <c r="N24" s="398">
        <f t="shared" si="5"/>
        <v>144705.10258999997</v>
      </c>
      <c r="O24" s="398">
        <f t="shared" si="5"/>
        <v>144949.37427500001</v>
      </c>
      <c r="P24" s="398">
        <f t="shared" si="5"/>
        <v>159453.26961500003</v>
      </c>
      <c r="Q24" s="398">
        <f t="shared" si="5"/>
        <v>173100.06699499997</v>
      </c>
      <c r="R24" s="398">
        <f t="shared" si="5"/>
        <v>185983.59333500001</v>
      </c>
      <c r="S24" s="398">
        <f t="shared" si="5"/>
        <v>198127.13319499991</v>
      </c>
      <c r="T24" s="398">
        <f t="shared" si="5"/>
        <v>209582.57013500002</v>
      </c>
      <c r="U24" s="398">
        <f t="shared" si="5"/>
        <v>220377.54801499998</v>
      </c>
      <c r="V24" s="398">
        <f t="shared" si="5"/>
        <v>230563.95039500005</v>
      </c>
      <c r="W24" s="398">
        <f t="shared" si="5"/>
        <v>240221.30469499997</v>
      </c>
      <c r="X24" s="398">
        <f t="shared" si="5"/>
        <v>249349.61091499997</v>
      </c>
      <c r="Y24" s="398">
        <f t="shared" si="5"/>
        <v>257930.21025500001</v>
      </c>
      <c r="Z24" s="399">
        <f t="shared" si="5"/>
        <v>266098.87299499998</v>
      </c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2"/>
      <c r="FF24" s="52"/>
      <c r="FG24" s="52"/>
      <c r="FH24" s="52"/>
      <c r="FI24" s="52"/>
      <c r="FJ24" s="52"/>
      <c r="FK24" s="52"/>
      <c r="FL24" s="52"/>
      <c r="FM24" s="52"/>
      <c r="FN24" s="52"/>
      <c r="FO24" s="52"/>
      <c r="FP24" s="52"/>
      <c r="FQ24" s="52"/>
      <c r="FR24" s="52"/>
      <c r="FS24" s="52"/>
      <c r="FT24" s="52"/>
      <c r="FU24" s="52"/>
      <c r="FV24" s="52"/>
      <c r="FW24" s="52"/>
      <c r="FX24" s="52"/>
      <c r="FY24" s="52"/>
      <c r="FZ24" s="52"/>
      <c r="GA24" s="52"/>
      <c r="GB24" s="52"/>
      <c r="GC24" s="52"/>
      <c r="GD24" s="52"/>
      <c r="GE24" s="52"/>
      <c r="GF24" s="52"/>
      <c r="GG24" s="52"/>
      <c r="GH24" s="52"/>
      <c r="GI24" s="52"/>
      <c r="GJ24" s="52"/>
      <c r="GK24" s="52"/>
      <c r="GL24" s="52"/>
      <c r="GM24" s="52"/>
      <c r="GN24" s="52"/>
      <c r="GO24" s="52"/>
      <c r="GP24" s="52"/>
      <c r="GQ24" s="52"/>
      <c r="GR24" s="52"/>
      <c r="GS24" s="52"/>
      <c r="GT24" s="52"/>
      <c r="GU24" s="52"/>
      <c r="GV24" s="52"/>
      <c r="GW24" s="52"/>
      <c r="GX24" s="52"/>
      <c r="GY24" s="52"/>
      <c r="GZ24" s="52"/>
      <c r="HA24" s="52"/>
      <c r="HB24" s="52"/>
      <c r="HC24" s="52"/>
      <c r="HD24" s="52"/>
      <c r="HE24" s="52"/>
      <c r="HF24" s="52"/>
      <c r="HG24" s="52"/>
      <c r="HH24" s="52"/>
      <c r="HI24" s="52"/>
      <c r="HJ24" s="52"/>
      <c r="HK24" s="52"/>
      <c r="HL24" s="52"/>
      <c r="HM24" s="52"/>
      <c r="HN24" s="52"/>
      <c r="HO24" s="52"/>
      <c r="HP24" s="52"/>
      <c r="HQ24" s="52"/>
      <c r="HR24" s="52"/>
      <c r="HS24" s="52"/>
      <c r="HT24" s="52"/>
      <c r="HU24" s="52"/>
      <c r="HV24" s="52"/>
      <c r="HW24" s="52"/>
      <c r="HX24" s="52"/>
      <c r="HY24" s="52"/>
      <c r="HZ24" s="52"/>
      <c r="IA24" s="52"/>
      <c r="IB24" s="52"/>
      <c r="IC24" s="52"/>
      <c r="ID24" s="52"/>
      <c r="IE24" s="52"/>
      <c r="IF24" s="52"/>
      <c r="IG24" s="52"/>
      <c r="IH24" s="52"/>
      <c r="II24" s="52"/>
      <c r="IJ24" s="52"/>
      <c r="IK24" s="52"/>
      <c r="IL24" s="52"/>
      <c r="IM24" s="52"/>
      <c r="IN24" s="52"/>
      <c r="IO24" s="52"/>
      <c r="IP24" s="52"/>
      <c r="IQ24" s="52"/>
      <c r="IR24" s="52"/>
      <c r="IS24" s="52"/>
      <c r="IT24" s="52"/>
      <c r="IU24" s="52"/>
      <c r="IV24" s="52"/>
      <c r="IW24" s="52"/>
      <c r="IX24" s="52"/>
      <c r="IY24" s="52"/>
      <c r="IZ24" s="52"/>
      <c r="JA24" s="52"/>
      <c r="JB24" s="52"/>
      <c r="JC24" s="52"/>
      <c r="JD24" s="52"/>
      <c r="JE24" s="52"/>
      <c r="JF24" s="52"/>
      <c r="JG24" s="52"/>
      <c r="JH24" s="52"/>
      <c r="JI24" s="52"/>
      <c r="JJ24" s="52"/>
      <c r="JK24" s="52"/>
      <c r="JL24" s="52"/>
      <c r="JM24" s="52"/>
      <c r="JN24" s="52"/>
      <c r="JO24" s="52"/>
      <c r="JP24" s="52"/>
      <c r="JQ24" s="52"/>
      <c r="JR24" s="52"/>
      <c r="JS24" s="52"/>
      <c r="JT24" s="52"/>
      <c r="JU24" s="52"/>
      <c r="JV24" s="52"/>
      <c r="JW24" s="52"/>
      <c r="JX24" s="52"/>
      <c r="JY24" s="52"/>
      <c r="JZ24" s="52"/>
      <c r="KA24" s="52"/>
      <c r="KB24" s="52"/>
      <c r="KC24" s="52"/>
      <c r="KD24" s="52"/>
      <c r="KE24" s="52"/>
      <c r="KF24" s="52"/>
      <c r="KG24" s="52"/>
      <c r="KH24" s="52"/>
      <c r="KI24" s="52"/>
      <c r="KJ24" s="52"/>
      <c r="KK24" s="52"/>
      <c r="KL24" s="52"/>
      <c r="KM24" s="52"/>
      <c r="KN24" s="52"/>
      <c r="KO24" s="52"/>
      <c r="KP24" s="52"/>
      <c r="KQ24" s="52"/>
      <c r="KR24" s="52"/>
      <c r="KS24" s="52"/>
      <c r="KT24" s="52"/>
      <c r="KU24" s="52"/>
      <c r="KV24" s="52"/>
      <c r="KW24" s="52"/>
      <c r="KX24" s="52"/>
      <c r="KY24" s="52"/>
      <c r="KZ24" s="52"/>
      <c r="LA24" s="52"/>
      <c r="LB24" s="52"/>
      <c r="LC24" s="52"/>
      <c r="LD24" s="52"/>
      <c r="LE24" s="52"/>
      <c r="LF24" s="52"/>
      <c r="LG24" s="52"/>
      <c r="LH24" s="52"/>
      <c r="LI24" s="52"/>
      <c r="LJ24" s="52"/>
      <c r="LK24" s="52"/>
      <c r="LL24" s="52"/>
      <c r="LM24" s="52"/>
      <c r="LN24" s="52"/>
      <c r="LO24" s="52"/>
      <c r="LP24" s="52"/>
      <c r="LQ24" s="52"/>
      <c r="LR24" s="52"/>
      <c r="LS24" s="52"/>
      <c r="LT24" s="52"/>
      <c r="LU24" s="52"/>
      <c r="LV24" s="52"/>
      <c r="LW24" s="52"/>
      <c r="LX24" s="52"/>
      <c r="LY24" s="52"/>
      <c r="LZ24" s="52"/>
      <c r="MA24" s="52"/>
      <c r="MB24" s="52"/>
      <c r="MC24" s="52"/>
      <c r="MD24" s="52"/>
      <c r="ME24" s="52"/>
      <c r="MF24" s="52"/>
      <c r="MG24" s="52"/>
      <c r="MH24" s="52"/>
      <c r="MI24" s="52"/>
      <c r="MJ24" s="52"/>
      <c r="MK24" s="52"/>
      <c r="ML24" s="52"/>
      <c r="MM24" s="52"/>
      <c r="MN24" s="52"/>
      <c r="MO24" s="52"/>
      <c r="MP24" s="52"/>
      <c r="MQ24" s="52"/>
      <c r="MR24" s="52"/>
      <c r="MS24" s="52"/>
      <c r="MT24" s="52"/>
      <c r="MU24" s="52"/>
      <c r="MV24" s="52"/>
      <c r="MW24" s="52"/>
      <c r="MX24" s="52"/>
      <c r="MY24" s="52"/>
      <c r="MZ24" s="52"/>
      <c r="NA24" s="52"/>
      <c r="NB24" s="52"/>
      <c r="NC24" s="52"/>
      <c r="ND24" s="52"/>
      <c r="NE24" s="52"/>
      <c r="NF24" s="52"/>
      <c r="NG24" s="52"/>
      <c r="NH24" s="52"/>
      <c r="NI24" s="52"/>
      <c r="NJ24" s="52"/>
      <c r="NK24" s="52"/>
      <c r="NL24" s="52"/>
      <c r="NM24" s="52"/>
      <c r="NN24" s="52"/>
      <c r="NO24" s="52"/>
      <c r="NP24" s="52"/>
      <c r="NQ24" s="52"/>
      <c r="NR24" s="52"/>
      <c r="NS24" s="52"/>
      <c r="NT24" s="52"/>
      <c r="NU24" s="52"/>
      <c r="NV24" s="52"/>
      <c r="NW24" s="52"/>
      <c r="NX24" s="52"/>
      <c r="NY24" s="52"/>
      <c r="NZ24" s="52"/>
      <c r="OA24" s="52"/>
      <c r="OB24" s="52"/>
      <c r="OC24" s="52"/>
      <c r="OD24" s="52"/>
      <c r="OE24" s="52"/>
      <c r="OF24" s="52"/>
      <c r="OG24" s="52"/>
      <c r="OH24" s="52"/>
      <c r="OI24" s="52"/>
      <c r="OJ24" s="52"/>
      <c r="OK24" s="52"/>
      <c r="OL24" s="52"/>
      <c r="OM24" s="52"/>
      <c r="ON24" s="52"/>
      <c r="OO24" s="52"/>
      <c r="OP24" s="52"/>
      <c r="OQ24" s="52"/>
      <c r="OR24" s="52"/>
      <c r="OS24" s="52"/>
      <c r="OT24" s="52"/>
      <c r="OU24" s="52"/>
      <c r="OV24" s="52"/>
      <c r="OW24" s="52"/>
      <c r="OX24" s="52"/>
      <c r="OY24" s="52"/>
      <c r="OZ24" s="52"/>
      <c r="PA24" s="52"/>
      <c r="PB24" s="52"/>
      <c r="PC24" s="52"/>
      <c r="PD24" s="52"/>
      <c r="PE24" s="52"/>
      <c r="PF24" s="52"/>
      <c r="PG24" s="52"/>
      <c r="PH24" s="52"/>
      <c r="PI24" s="52"/>
      <c r="PJ24" s="52"/>
      <c r="PK24" s="52"/>
      <c r="PL24" s="52"/>
      <c r="PM24" s="52"/>
      <c r="PN24" s="52"/>
      <c r="PO24" s="52"/>
      <c r="PP24" s="52"/>
      <c r="PQ24" s="52"/>
      <c r="PR24" s="52"/>
      <c r="PS24" s="52"/>
      <c r="PT24" s="52"/>
      <c r="PU24" s="52"/>
      <c r="PV24" s="52"/>
      <c r="PW24" s="52"/>
      <c r="PX24" s="52"/>
      <c r="PY24" s="52"/>
      <c r="PZ24" s="52"/>
      <c r="QA24" s="52"/>
      <c r="QB24" s="52"/>
      <c r="QC24" s="52"/>
      <c r="QD24" s="52"/>
      <c r="QE24" s="52"/>
      <c r="QF24" s="52"/>
      <c r="QG24" s="52"/>
      <c r="QH24" s="52"/>
      <c r="QI24" s="52"/>
      <c r="QJ24" s="52"/>
      <c r="QK24" s="52"/>
      <c r="QL24" s="52"/>
      <c r="QM24" s="52"/>
      <c r="QN24" s="52"/>
      <c r="QO24" s="52"/>
      <c r="QP24" s="52"/>
      <c r="QQ24" s="52"/>
      <c r="QR24" s="52"/>
      <c r="QS24" s="52"/>
      <c r="QT24" s="52"/>
      <c r="QU24" s="52"/>
      <c r="QV24" s="52"/>
      <c r="QW24" s="52"/>
      <c r="QX24" s="52"/>
      <c r="QY24" s="52"/>
      <c r="QZ24" s="52"/>
      <c r="RA24" s="52"/>
      <c r="RB24" s="52"/>
      <c r="RC24" s="52"/>
      <c r="RD24" s="52"/>
      <c r="RE24" s="52"/>
      <c r="RF24" s="52"/>
      <c r="RG24" s="52"/>
      <c r="RH24" s="52"/>
      <c r="RI24" s="52"/>
      <c r="RJ24" s="52"/>
      <c r="RK24" s="52"/>
      <c r="RL24" s="52"/>
      <c r="RM24" s="52"/>
      <c r="RN24" s="52"/>
      <c r="RO24" s="52"/>
      <c r="RP24" s="52"/>
      <c r="RQ24" s="52"/>
      <c r="RR24" s="52"/>
      <c r="RS24" s="52"/>
      <c r="RT24" s="52"/>
      <c r="RU24" s="52"/>
      <c r="RV24" s="52"/>
      <c r="RW24" s="52"/>
      <c r="RX24" s="52"/>
      <c r="RY24" s="52"/>
      <c r="RZ24" s="52"/>
      <c r="SA24" s="52"/>
      <c r="SB24" s="52"/>
      <c r="SC24" s="52"/>
      <c r="SD24" s="52"/>
      <c r="SE24" s="52"/>
      <c r="SF24" s="52"/>
      <c r="SG24" s="52"/>
      <c r="SH24" s="52"/>
      <c r="SI24" s="52"/>
      <c r="SJ24" s="52"/>
      <c r="SK24" s="52"/>
      <c r="SL24" s="52"/>
      <c r="SM24" s="52"/>
      <c r="SN24" s="52"/>
      <c r="SO24" s="52"/>
      <c r="SP24" s="52"/>
      <c r="SQ24" s="52"/>
      <c r="SR24" s="52"/>
      <c r="SS24" s="52"/>
      <c r="ST24" s="52"/>
      <c r="SU24" s="52"/>
      <c r="SV24" s="52"/>
      <c r="SW24" s="52"/>
      <c r="SX24" s="52"/>
      <c r="SY24" s="52"/>
      <c r="SZ24" s="52"/>
      <c r="TA24" s="52"/>
      <c r="TB24" s="52"/>
      <c r="TC24" s="52"/>
      <c r="TD24" s="52"/>
      <c r="TE24" s="52"/>
      <c r="TF24" s="52"/>
      <c r="TG24" s="52"/>
      <c r="TH24" s="52"/>
      <c r="TI24" s="52"/>
      <c r="TJ24" s="52"/>
      <c r="TK24" s="52"/>
    </row>
    <row r="25" spans="1:531" ht="19.5" customHeight="1" x14ac:dyDescent="0.2">
      <c r="A25" s="396" t="s">
        <v>323</v>
      </c>
      <c r="B25" s="400" t="s">
        <v>192</v>
      </c>
      <c r="C25" s="398">
        <f>C24</f>
        <v>-39903.990699999995</v>
      </c>
      <c r="D25" s="398">
        <f t="shared" ref="D25:Z25" si="6">C25+D24</f>
        <v>-57572.57129</v>
      </c>
      <c r="E25" s="398">
        <f t="shared" si="6"/>
        <v>-54130.800720000007</v>
      </c>
      <c r="F25" s="398">
        <f t="shared" si="6"/>
        <v>-30899.863570000009</v>
      </c>
      <c r="G25" s="398">
        <f t="shared" si="6"/>
        <v>10972.409919999984</v>
      </c>
      <c r="H25" s="398">
        <f t="shared" si="6"/>
        <v>70357.114769999986</v>
      </c>
      <c r="I25" s="398">
        <f t="shared" si="6"/>
        <v>146167.28935999997</v>
      </c>
      <c r="J25" s="398">
        <f t="shared" si="6"/>
        <v>237447.38304999995</v>
      </c>
      <c r="K25" s="398">
        <f t="shared" si="6"/>
        <v>343321.37261999992</v>
      </c>
      <c r="L25" s="398">
        <f t="shared" si="6"/>
        <v>462932.16010999988</v>
      </c>
      <c r="M25" s="398">
        <f t="shared" si="6"/>
        <v>595478.89041999984</v>
      </c>
      <c r="N25" s="398">
        <f t="shared" si="6"/>
        <v>740183.99300999986</v>
      </c>
      <c r="O25" s="398">
        <f t="shared" si="6"/>
        <v>885133.36728499993</v>
      </c>
      <c r="P25" s="398">
        <f t="shared" si="6"/>
        <v>1044586.6368999999</v>
      </c>
      <c r="Q25" s="398">
        <f t="shared" si="6"/>
        <v>1217686.7038949998</v>
      </c>
      <c r="R25" s="398">
        <f t="shared" si="6"/>
        <v>1403670.2972299999</v>
      </c>
      <c r="S25" s="398">
        <f t="shared" si="6"/>
        <v>1601797.4304249999</v>
      </c>
      <c r="T25" s="398">
        <f t="shared" si="6"/>
        <v>1811380.0005599998</v>
      </c>
      <c r="U25" s="398">
        <f t="shared" si="6"/>
        <v>2031757.5485749999</v>
      </c>
      <c r="V25" s="398">
        <f t="shared" si="6"/>
        <v>2262321.4989700001</v>
      </c>
      <c r="W25" s="398">
        <f t="shared" si="6"/>
        <v>2502542.803665</v>
      </c>
      <c r="X25" s="398">
        <f t="shared" si="6"/>
        <v>2751892.4145800001</v>
      </c>
      <c r="Y25" s="398">
        <f t="shared" si="6"/>
        <v>3009822.6248349999</v>
      </c>
      <c r="Z25" s="399">
        <f t="shared" si="6"/>
        <v>3275921.4978299998</v>
      </c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  <c r="FE25" s="52"/>
      <c r="FF25" s="52"/>
      <c r="FG25" s="52"/>
      <c r="FH25" s="52"/>
      <c r="FI25" s="52"/>
      <c r="FJ25" s="52"/>
      <c r="FK25" s="52"/>
      <c r="FL25" s="52"/>
      <c r="FM25" s="52"/>
      <c r="FN25" s="52"/>
      <c r="FO25" s="52"/>
      <c r="FP25" s="52"/>
      <c r="FQ25" s="52"/>
      <c r="FR25" s="52"/>
      <c r="FS25" s="52"/>
      <c r="FT25" s="52"/>
      <c r="FU25" s="52"/>
      <c r="FV25" s="52"/>
      <c r="FW25" s="52"/>
      <c r="FX25" s="52"/>
      <c r="FY25" s="52"/>
      <c r="FZ25" s="52"/>
      <c r="GA25" s="52"/>
      <c r="GB25" s="52"/>
      <c r="GC25" s="52"/>
      <c r="GD25" s="52"/>
      <c r="GE25" s="52"/>
      <c r="GF25" s="52"/>
      <c r="GG25" s="52"/>
      <c r="GH25" s="52"/>
      <c r="GI25" s="52"/>
      <c r="GJ25" s="52"/>
      <c r="GK25" s="52"/>
      <c r="GL25" s="52"/>
      <c r="GM25" s="52"/>
      <c r="GN25" s="52"/>
      <c r="GO25" s="52"/>
      <c r="GP25" s="52"/>
      <c r="GQ25" s="52"/>
      <c r="GR25" s="52"/>
      <c r="GS25" s="52"/>
      <c r="GT25" s="52"/>
      <c r="GU25" s="52"/>
      <c r="GV25" s="52"/>
      <c r="GW25" s="52"/>
      <c r="GX25" s="52"/>
      <c r="GY25" s="52"/>
      <c r="GZ25" s="52"/>
      <c r="HA25" s="52"/>
      <c r="HB25" s="52"/>
      <c r="HC25" s="52"/>
      <c r="HD25" s="52"/>
      <c r="HE25" s="52"/>
      <c r="HF25" s="52"/>
      <c r="HG25" s="52"/>
      <c r="HH25" s="52"/>
      <c r="HI25" s="52"/>
      <c r="HJ25" s="52"/>
      <c r="HK25" s="52"/>
      <c r="HL25" s="52"/>
      <c r="HM25" s="52"/>
      <c r="HN25" s="52"/>
      <c r="HO25" s="52"/>
      <c r="HP25" s="52"/>
      <c r="HQ25" s="52"/>
      <c r="HR25" s="52"/>
      <c r="HS25" s="52"/>
      <c r="HT25" s="52"/>
      <c r="HU25" s="52"/>
      <c r="HV25" s="52"/>
      <c r="HW25" s="52"/>
      <c r="HX25" s="52"/>
      <c r="HY25" s="52"/>
      <c r="HZ25" s="52"/>
      <c r="IA25" s="52"/>
      <c r="IB25" s="52"/>
      <c r="IC25" s="52"/>
      <c r="ID25" s="52"/>
      <c r="IE25" s="52"/>
      <c r="IF25" s="52"/>
      <c r="IG25" s="52"/>
      <c r="IH25" s="52"/>
      <c r="II25" s="52"/>
      <c r="IJ25" s="52"/>
      <c r="IK25" s="52"/>
      <c r="IL25" s="52"/>
      <c r="IM25" s="52"/>
      <c r="IN25" s="52"/>
      <c r="IO25" s="52"/>
      <c r="IP25" s="52"/>
      <c r="IQ25" s="52"/>
      <c r="IR25" s="52"/>
      <c r="IS25" s="52"/>
      <c r="IT25" s="52"/>
      <c r="IU25" s="52"/>
      <c r="IV25" s="52"/>
      <c r="IW25" s="52"/>
      <c r="IX25" s="52"/>
      <c r="IY25" s="52"/>
      <c r="IZ25" s="52"/>
      <c r="JA25" s="52"/>
      <c r="JB25" s="52"/>
      <c r="JC25" s="52"/>
      <c r="JD25" s="52"/>
      <c r="JE25" s="52"/>
      <c r="JF25" s="52"/>
      <c r="JG25" s="52"/>
      <c r="JH25" s="52"/>
      <c r="JI25" s="52"/>
      <c r="JJ25" s="52"/>
      <c r="JK25" s="52"/>
      <c r="JL25" s="52"/>
      <c r="JM25" s="52"/>
      <c r="JN25" s="52"/>
      <c r="JO25" s="52"/>
      <c r="JP25" s="52"/>
      <c r="JQ25" s="52"/>
      <c r="JR25" s="52"/>
      <c r="JS25" s="52"/>
      <c r="JT25" s="52"/>
      <c r="JU25" s="52"/>
      <c r="JV25" s="52"/>
      <c r="JW25" s="52"/>
      <c r="JX25" s="52"/>
      <c r="JY25" s="52"/>
      <c r="JZ25" s="52"/>
      <c r="KA25" s="52"/>
      <c r="KB25" s="52"/>
      <c r="KC25" s="52"/>
      <c r="KD25" s="52"/>
      <c r="KE25" s="52"/>
      <c r="KF25" s="52"/>
      <c r="KG25" s="52"/>
      <c r="KH25" s="52"/>
      <c r="KI25" s="52"/>
      <c r="KJ25" s="52"/>
      <c r="KK25" s="52"/>
      <c r="KL25" s="52"/>
      <c r="KM25" s="52"/>
      <c r="KN25" s="52"/>
      <c r="KO25" s="52"/>
      <c r="KP25" s="52"/>
      <c r="KQ25" s="52"/>
      <c r="KR25" s="52"/>
      <c r="KS25" s="52"/>
      <c r="KT25" s="52"/>
      <c r="KU25" s="52"/>
      <c r="KV25" s="52"/>
      <c r="KW25" s="52"/>
      <c r="KX25" s="52"/>
      <c r="KY25" s="52"/>
      <c r="KZ25" s="52"/>
      <c r="LA25" s="52"/>
      <c r="LB25" s="52"/>
      <c r="LC25" s="52"/>
      <c r="LD25" s="52"/>
      <c r="LE25" s="52"/>
      <c r="LF25" s="52"/>
      <c r="LG25" s="52"/>
      <c r="LH25" s="52"/>
      <c r="LI25" s="52"/>
      <c r="LJ25" s="52"/>
      <c r="LK25" s="52"/>
      <c r="LL25" s="52"/>
      <c r="LM25" s="52"/>
      <c r="LN25" s="52"/>
      <c r="LO25" s="52"/>
      <c r="LP25" s="52"/>
      <c r="LQ25" s="52"/>
      <c r="LR25" s="52"/>
      <c r="LS25" s="52"/>
      <c r="LT25" s="52"/>
      <c r="LU25" s="52"/>
      <c r="LV25" s="52"/>
      <c r="LW25" s="52"/>
      <c r="LX25" s="52"/>
      <c r="LY25" s="52"/>
      <c r="LZ25" s="52"/>
      <c r="MA25" s="52"/>
      <c r="MB25" s="52"/>
      <c r="MC25" s="52"/>
      <c r="MD25" s="52"/>
      <c r="ME25" s="52"/>
      <c r="MF25" s="52"/>
      <c r="MG25" s="52"/>
      <c r="MH25" s="52"/>
      <c r="MI25" s="52"/>
      <c r="MJ25" s="52"/>
      <c r="MK25" s="52"/>
      <c r="ML25" s="52"/>
      <c r="MM25" s="52"/>
      <c r="MN25" s="52"/>
      <c r="MO25" s="52"/>
      <c r="MP25" s="52"/>
      <c r="MQ25" s="52"/>
      <c r="MR25" s="52"/>
      <c r="MS25" s="52"/>
      <c r="MT25" s="52"/>
      <c r="MU25" s="52"/>
      <c r="MV25" s="52"/>
      <c r="MW25" s="52"/>
      <c r="MX25" s="52"/>
      <c r="MY25" s="52"/>
      <c r="MZ25" s="52"/>
      <c r="NA25" s="52"/>
      <c r="NB25" s="52"/>
      <c r="NC25" s="52"/>
      <c r="ND25" s="52"/>
      <c r="NE25" s="52"/>
      <c r="NF25" s="52"/>
      <c r="NG25" s="52"/>
      <c r="NH25" s="52"/>
      <c r="NI25" s="52"/>
      <c r="NJ25" s="52"/>
      <c r="NK25" s="52"/>
      <c r="NL25" s="52"/>
      <c r="NM25" s="52"/>
      <c r="NN25" s="52"/>
      <c r="NO25" s="52"/>
      <c r="NP25" s="52"/>
      <c r="NQ25" s="52"/>
      <c r="NR25" s="52"/>
      <c r="NS25" s="52"/>
      <c r="NT25" s="52"/>
      <c r="NU25" s="52"/>
      <c r="NV25" s="52"/>
      <c r="NW25" s="52"/>
      <c r="NX25" s="52"/>
      <c r="NY25" s="52"/>
      <c r="NZ25" s="52"/>
      <c r="OA25" s="52"/>
      <c r="OB25" s="52"/>
      <c r="OC25" s="52"/>
      <c r="OD25" s="52"/>
      <c r="OE25" s="52"/>
      <c r="OF25" s="52"/>
      <c r="OG25" s="52"/>
      <c r="OH25" s="52"/>
      <c r="OI25" s="52"/>
      <c r="OJ25" s="52"/>
      <c r="OK25" s="52"/>
      <c r="OL25" s="52"/>
      <c r="OM25" s="52"/>
      <c r="ON25" s="52"/>
      <c r="OO25" s="52"/>
      <c r="OP25" s="52"/>
      <c r="OQ25" s="52"/>
      <c r="OR25" s="52"/>
      <c r="OS25" s="52"/>
      <c r="OT25" s="52"/>
      <c r="OU25" s="52"/>
      <c r="OV25" s="52"/>
      <c r="OW25" s="52"/>
      <c r="OX25" s="52"/>
      <c r="OY25" s="52"/>
      <c r="OZ25" s="52"/>
      <c r="PA25" s="52"/>
      <c r="PB25" s="52"/>
      <c r="PC25" s="52"/>
      <c r="PD25" s="52"/>
      <c r="PE25" s="52"/>
      <c r="PF25" s="52"/>
      <c r="PG25" s="52"/>
      <c r="PH25" s="52"/>
      <c r="PI25" s="52"/>
      <c r="PJ25" s="52"/>
      <c r="PK25" s="52"/>
      <c r="PL25" s="52"/>
      <c r="PM25" s="52"/>
      <c r="PN25" s="52"/>
      <c r="PO25" s="52"/>
      <c r="PP25" s="52"/>
      <c r="PQ25" s="52"/>
      <c r="PR25" s="52"/>
      <c r="PS25" s="52"/>
      <c r="PT25" s="52"/>
      <c r="PU25" s="52"/>
      <c r="PV25" s="52"/>
      <c r="PW25" s="52"/>
      <c r="PX25" s="52"/>
      <c r="PY25" s="52"/>
      <c r="PZ25" s="52"/>
      <c r="QA25" s="52"/>
      <c r="QB25" s="52"/>
      <c r="QC25" s="52"/>
      <c r="QD25" s="52"/>
      <c r="QE25" s="52"/>
      <c r="QF25" s="52"/>
      <c r="QG25" s="52"/>
      <c r="QH25" s="52"/>
      <c r="QI25" s="52"/>
      <c r="QJ25" s="52"/>
      <c r="QK25" s="52"/>
      <c r="QL25" s="52"/>
      <c r="QM25" s="52"/>
      <c r="QN25" s="52"/>
      <c r="QO25" s="52"/>
      <c r="QP25" s="52"/>
      <c r="QQ25" s="52"/>
      <c r="QR25" s="52"/>
      <c r="QS25" s="52"/>
      <c r="QT25" s="52"/>
      <c r="QU25" s="52"/>
      <c r="QV25" s="52"/>
      <c r="QW25" s="52"/>
      <c r="QX25" s="52"/>
      <c r="QY25" s="52"/>
      <c r="QZ25" s="52"/>
      <c r="RA25" s="52"/>
      <c r="RB25" s="52"/>
      <c r="RC25" s="52"/>
      <c r="RD25" s="52"/>
      <c r="RE25" s="52"/>
      <c r="RF25" s="52"/>
      <c r="RG25" s="52"/>
      <c r="RH25" s="52"/>
      <c r="RI25" s="52"/>
      <c r="RJ25" s="52"/>
      <c r="RK25" s="52"/>
      <c r="RL25" s="52"/>
      <c r="RM25" s="52"/>
      <c r="RN25" s="52"/>
      <c r="RO25" s="52"/>
      <c r="RP25" s="52"/>
      <c r="RQ25" s="52"/>
      <c r="RR25" s="52"/>
      <c r="RS25" s="52"/>
      <c r="RT25" s="52"/>
      <c r="RU25" s="52"/>
      <c r="RV25" s="52"/>
      <c r="RW25" s="52"/>
      <c r="RX25" s="52"/>
      <c r="RY25" s="52"/>
      <c r="RZ25" s="52"/>
      <c r="SA25" s="52"/>
      <c r="SB25" s="52"/>
      <c r="SC25" s="52"/>
      <c r="SD25" s="52"/>
      <c r="SE25" s="52"/>
      <c r="SF25" s="52"/>
      <c r="SG25" s="52"/>
      <c r="SH25" s="52"/>
      <c r="SI25" s="52"/>
      <c r="SJ25" s="52"/>
      <c r="SK25" s="52"/>
      <c r="SL25" s="52"/>
      <c r="SM25" s="52"/>
      <c r="SN25" s="52"/>
      <c r="SO25" s="52"/>
      <c r="SP25" s="52"/>
      <c r="SQ25" s="52"/>
      <c r="SR25" s="52"/>
      <c r="SS25" s="52"/>
      <c r="ST25" s="52"/>
      <c r="SU25" s="52"/>
      <c r="SV25" s="52"/>
      <c r="SW25" s="52"/>
      <c r="SX25" s="52"/>
      <c r="SY25" s="52"/>
      <c r="SZ25" s="52"/>
      <c r="TA25" s="52"/>
      <c r="TB25" s="52"/>
      <c r="TC25" s="52"/>
      <c r="TD25" s="52"/>
      <c r="TE25" s="52"/>
      <c r="TF25" s="52"/>
      <c r="TG25" s="52"/>
      <c r="TH25" s="52"/>
      <c r="TI25" s="52"/>
      <c r="TJ25" s="52"/>
      <c r="TK25" s="52"/>
    </row>
    <row r="26" spans="1:531" ht="19.5" customHeight="1" thickBot="1" x14ac:dyDescent="0.25">
      <c r="A26" s="401" t="s">
        <v>202</v>
      </c>
      <c r="B26" s="402" t="s">
        <v>203</v>
      </c>
      <c r="C26" s="403">
        <f t="shared" ref="C26:Z26" si="7">IF(C11=0,0,1-C18/C11)</f>
        <v>0.83012101382061032</v>
      </c>
      <c r="D26" s="403">
        <f t="shared" si="7"/>
        <v>0.83962296958222604</v>
      </c>
      <c r="E26" s="403">
        <f t="shared" si="7"/>
        <v>0.84491640074229657</v>
      </c>
      <c r="F26" s="403">
        <f t="shared" si="7"/>
        <v>0.84719850520496709</v>
      </c>
      <c r="G26" s="403">
        <f t="shared" si="7"/>
        <v>0.84840468134935576</v>
      </c>
      <c r="H26" s="403">
        <f t="shared" si="7"/>
        <v>0.84912250827510116</v>
      </c>
      <c r="I26" s="403">
        <f t="shared" si="7"/>
        <v>0.84955918100951577</v>
      </c>
      <c r="J26" s="403">
        <f t="shared" si="7"/>
        <v>0.84982885961722332</v>
      </c>
      <c r="K26" s="403">
        <f t="shared" si="7"/>
        <v>0.84998645530819639</v>
      </c>
      <c r="L26" s="403">
        <f t="shared" si="7"/>
        <v>0.85008130514714975</v>
      </c>
      <c r="M26" s="403">
        <f t="shared" si="7"/>
        <v>0.85012349367543538</v>
      </c>
      <c r="N26" s="403">
        <f t="shared" si="7"/>
        <v>0.85013006936799285</v>
      </c>
      <c r="O26" s="403">
        <f t="shared" si="7"/>
        <v>0.84975721483785738</v>
      </c>
      <c r="P26" s="403">
        <f t="shared" si="7"/>
        <v>0.84981477892480117</v>
      </c>
      <c r="Q26" s="403">
        <f t="shared" si="7"/>
        <v>0.84983835767635885</v>
      </c>
      <c r="R26" s="403">
        <f t="shared" si="7"/>
        <v>0.84983472360793044</v>
      </c>
      <c r="S26" s="403">
        <f t="shared" si="7"/>
        <v>0.84981250042282352</v>
      </c>
      <c r="T26" s="403">
        <f t="shared" si="7"/>
        <v>0.84977798288180928</v>
      </c>
      <c r="U26" s="403">
        <f t="shared" si="7"/>
        <v>0.84972972360390386</v>
      </c>
      <c r="V26" s="403">
        <f t="shared" si="7"/>
        <v>0.84967267103135291</v>
      </c>
      <c r="W26" s="403">
        <f t="shared" si="7"/>
        <v>0.84960855402017132</v>
      </c>
      <c r="X26" s="403">
        <f t="shared" si="7"/>
        <v>0.84953769937144297</v>
      </c>
      <c r="Y26" s="403">
        <f t="shared" si="7"/>
        <v>0.84946674907557362</v>
      </c>
      <c r="Z26" s="404">
        <f t="shared" si="7"/>
        <v>0.84939386848982212</v>
      </c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  <c r="FE26" s="52"/>
      <c r="FF26" s="52"/>
      <c r="FG26" s="52"/>
      <c r="FH26" s="52"/>
      <c r="FI26" s="52"/>
      <c r="FJ26" s="52"/>
      <c r="FK26" s="52"/>
      <c r="FL26" s="52"/>
      <c r="FM26" s="52"/>
      <c r="FN26" s="52"/>
      <c r="FO26" s="52"/>
      <c r="FP26" s="52"/>
      <c r="FQ26" s="52"/>
      <c r="FR26" s="52"/>
      <c r="FS26" s="52"/>
      <c r="FT26" s="52"/>
      <c r="FU26" s="52"/>
      <c r="FV26" s="52"/>
      <c r="FW26" s="52"/>
      <c r="FX26" s="52"/>
      <c r="FY26" s="52"/>
      <c r="FZ26" s="52"/>
      <c r="GA26" s="52"/>
      <c r="GB26" s="52"/>
      <c r="GC26" s="52"/>
      <c r="GD26" s="52"/>
      <c r="GE26" s="52"/>
      <c r="GF26" s="52"/>
      <c r="GG26" s="52"/>
      <c r="GH26" s="52"/>
      <c r="GI26" s="52"/>
      <c r="GJ26" s="52"/>
      <c r="GK26" s="52"/>
      <c r="GL26" s="52"/>
      <c r="GM26" s="52"/>
      <c r="GN26" s="52"/>
      <c r="GO26" s="52"/>
      <c r="GP26" s="52"/>
      <c r="GQ26" s="52"/>
      <c r="GR26" s="52"/>
      <c r="GS26" s="52"/>
      <c r="GT26" s="52"/>
      <c r="GU26" s="52"/>
      <c r="GV26" s="52"/>
      <c r="GW26" s="52"/>
      <c r="GX26" s="52"/>
      <c r="GY26" s="52"/>
      <c r="GZ26" s="52"/>
      <c r="HA26" s="52"/>
      <c r="HB26" s="52"/>
      <c r="HC26" s="52"/>
      <c r="HD26" s="52"/>
      <c r="HE26" s="52"/>
      <c r="HF26" s="52"/>
      <c r="HG26" s="52"/>
      <c r="HH26" s="52"/>
      <c r="HI26" s="52"/>
      <c r="HJ26" s="52"/>
      <c r="HK26" s="52"/>
      <c r="HL26" s="52"/>
      <c r="HM26" s="52"/>
      <c r="HN26" s="52"/>
      <c r="HO26" s="52"/>
      <c r="HP26" s="52"/>
      <c r="HQ26" s="52"/>
      <c r="HR26" s="52"/>
      <c r="HS26" s="52"/>
      <c r="HT26" s="52"/>
      <c r="HU26" s="52"/>
      <c r="HV26" s="52"/>
      <c r="HW26" s="52"/>
      <c r="HX26" s="52"/>
      <c r="HY26" s="52"/>
      <c r="HZ26" s="52"/>
      <c r="IA26" s="52"/>
      <c r="IB26" s="52"/>
      <c r="IC26" s="52"/>
      <c r="ID26" s="52"/>
      <c r="IE26" s="52"/>
      <c r="IF26" s="52"/>
      <c r="IG26" s="52"/>
      <c r="IH26" s="52"/>
      <c r="II26" s="52"/>
      <c r="IJ26" s="52"/>
      <c r="IK26" s="52"/>
      <c r="IL26" s="52"/>
      <c r="IM26" s="52"/>
      <c r="IN26" s="52"/>
      <c r="IO26" s="52"/>
      <c r="IP26" s="52"/>
      <c r="IQ26" s="52"/>
      <c r="IR26" s="52"/>
      <c r="IS26" s="52"/>
      <c r="IT26" s="52"/>
      <c r="IU26" s="52"/>
      <c r="IV26" s="52"/>
      <c r="IW26" s="52"/>
      <c r="IX26" s="52"/>
      <c r="IY26" s="52"/>
      <c r="IZ26" s="52"/>
      <c r="JA26" s="52"/>
      <c r="JB26" s="52"/>
      <c r="JC26" s="52"/>
      <c r="JD26" s="52"/>
      <c r="JE26" s="52"/>
      <c r="JF26" s="52"/>
      <c r="JG26" s="52"/>
      <c r="JH26" s="52"/>
      <c r="JI26" s="52"/>
      <c r="JJ26" s="52"/>
      <c r="JK26" s="52"/>
      <c r="JL26" s="52"/>
      <c r="JM26" s="52"/>
      <c r="JN26" s="52"/>
      <c r="JO26" s="52"/>
      <c r="JP26" s="52"/>
      <c r="JQ26" s="52"/>
      <c r="JR26" s="52"/>
      <c r="JS26" s="52"/>
      <c r="JT26" s="52"/>
      <c r="JU26" s="52"/>
      <c r="JV26" s="52"/>
      <c r="JW26" s="52"/>
      <c r="JX26" s="52"/>
      <c r="JY26" s="52"/>
      <c r="JZ26" s="52"/>
      <c r="KA26" s="52"/>
      <c r="KB26" s="52"/>
      <c r="KC26" s="52"/>
      <c r="KD26" s="52"/>
      <c r="KE26" s="52"/>
      <c r="KF26" s="52"/>
      <c r="KG26" s="52"/>
      <c r="KH26" s="52"/>
      <c r="KI26" s="52"/>
      <c r="KJ26" s="52"/>
      <c r="KK26" s="52"/>
      <c r="KL26" s="52"/>
      <c r="KM26" s="52"/>
      <c r="KN26" s="52"/>
      <c r="KO26" s="52"/>
      <c r="KP26" s="52"/>
      <c r="KQ26" s="52"/>
      <c r="KR26" s="52"/>
      <c r="KS26" s="52"/>
      <c r="KT26" s="52"/>
      <c r="KU26" s="52"/>
      <c r="KV26" s="52"/>
      <c r="KW26" s="52"/>
      <c r="KX26" s="52"/>
      <c r="KY26" s="52"/>
      <c r="KZ26" s="52"/>
      <c r="LA26" s="52"/>
      <c r="LB26" s="52"/>
      <c r="LC26" s="52"/>
      <c r="LD26" s="52"/>
      <c r="LE26" s="52"/>
      <c r="LF26" s="52"/>
      <c r="LG26" s="52"/>
      <c r="LH26" s="52"/>
      <c r="LI26" s="52"/>
      <c r="LJ26" s="52"/>
      <c r="LK26" s="52"/>
      <c r="LL26" s="52"/>
      <c r="LM26" s="52"/>
      <c r="LN26" s="52"/>
      <c r="LO26" s="52"/>
      <c r="LP26" s="52"/>
      <c r="LQ26" s="52"/>
      <c r="LR26" s="52"/>
      <c r="LS26" s="52"/>
      <c r="LT26" s="52"/>
      <c r="LU26" s="52"/>
      <c r="LV26" s="52"/>
      <c r="LW26" s="52"/>
      <c r="LX26" s="52"/>
      <c r="LY26" s="52"/>
      <c r="LZ26" s="52"/>
      <c r="MA26" s="52"/>
      <c r="MB26" s="52"/>
      <c r="MC26" s="52"/>
      <c r="MD26" s="52"/>
      <c r="ME26" s="52"/>
      <c r="MF26" s="52"/>
      <c r="MG26" s="52"/>
      <c r="MH26" s="52"/>
      <c r="MI26" s="52"/>
      <c r="MJ26" s="52"/>
      <c r="MK26" s="52"/>
      <c r="ML26" s="52"/>
      <c r="MM26" s="52"/>
      <c r="MN26" s="52"/>
      <c r="MO26" s="52"/>
      <c r="MP26" s="52"/>
      <c r="MQ26" s="52"/>
      <c r="MR26" s="52"/>
      <c r="MS26" s="52"/>
      <c r="MT26" s="52"/>
      <c r="MU26" s="52"/>
      <c r="MV26" s="52"/>
      <c r="MW26" s="52"/>
      <c r="MX26" s="52"/>
      <c r="MY26" s="52"/>
      <c r="MZ26" s="52"/>
      <c r="NA26" s="52"/>
      <c r="NB26" s="52"/>
      <c r="NC26" s="52"/>
      <c r="ND26" s="52"/>
      <c r="NE26" s="52"/>
      <c r="NF26" s="52"/>
      <c r="NG26" s="52"/>
      <c r="NH26" s="52"/>
      <c r="NI26" s="52"/>
      <c r="NJ26" s="52"/>
      <c r="NK26" s="52"/>
      <c r="NL26" s="52"/>
      <c r="NM26" s="52"/>
      <c r="NN26" s="52"/>
      <c r="NO26" s="52"/>
      <c r="NP26" s="52"/>
      <c r="NQ26" s="52"/>
      <c r="NR26" s="52"/>
      <c r="NS26" s="52"/>
      <c r="NT26" s="52"/>
      <c r="NU26" s="52"/>
      <c r="NV26" s="52"/>
      <c r="NW26" s="52"/>
      <c r="NX26" s="52"/>
      <c r="NY26" s="52"/>
      <c r="NZ26" s="52"/>
      <c r="OA26" s="52"/>
      <c r="OB26" s="52"/>
      <c r="OC26" s="52"/>
      <c r="OD26" s="52"/>
      <c r="OE26" s="52"/>
      <c r="OF26" s="52"/>
      <c r="OG26" s="52"/>
      <c r="OH26" s="52"/>
      <c r="OI26" s="52"/>
      <c r="OJ26" s="52"/>
      <c r="OK26" s="52"/>
      <c r="OL26" s="52"/>
      <c r="OM26" s="52"/>
      <c r="ON26" s="52"/>
      <c r="OO26" s="52"/>
      <c r="OP26" s="52"/>
      <c r="OQ26" s="52"/>
      <c r="OR26" s="52"/>
      <c r="OS26" s="52"/>
      <c r="OT26" s="52"/>
      <c r="OU26" s="52"/>
      <c r="OV26" s="52"/>
      <c r="OW26" s="52"/>
      <c r="OX26" s="52"/>
      <c r="OY26" s="52"/>
      <c r="OZ26" s="52"/>
      <c r="PA26" s="52"/>
      <c r="PB26" s="52"/>
      <c r="PC26" s="52"/>
      <c r="PD26" s="52"/>
      <c r="PE26" s="52"/>
      <c r="PF26" s="52"/>
      <c r="PG26" s="52"/>
      <c r="PH26" s="52"/>
      <c r="PI26" s="52"/>
      <c r="PJ26" s="52"/>
      <c r="PK26" s="52"/>
      <c r="PL26" s="52"/>
      <c r="PM26" s="52"/>
      <c r="PN26" s="52"/>
      <c r="PO26" s="52"/>
      <c r="PP26" s="52"/>
      <c r="PQ26" s="52"/>
      <c r="PR26" s="52"/>
      <c r="PS26" s="52"/>
      <c r="PT26" s="52"/>
      <c r="PU26" s="52"/>
      <c r="PV26" s="52"/>
      <c r="PW26" s="52"/>
      <c r="PX26" s="52"/>
      <c r="PY26" s="52"/>
      <c r="PZ26" s="52"/>
      <c r="QA26" s="52"/>
      <c r="QB26" s="52"/>
      <c r="QC26" s="52"/>
      <c r="QD26" s="52"/>
      <c r="QE26" s="52"/>
      <c r="QF26" s="52"/>
      <c r="QG26" s="52"/>
      <c r="QH26" s="52"/>
      <c r="QI26" s="52"/>
      <c r="QJ26" s="52"/>
      <c r="QK26" s="52"/>
      <c r="QL26" s="52"/>
      <c r="QM26" s="52"/>
      <c r="QN26" s="52"/>
      <c r="QO26" s="52"/>
      <c r="QP26" s="52"/>
      <c r="QQ26" s="52"/>
      <c r="QR26" s="52"/>
      <c r="QS26" s="52"/>
      <c r="QT26" s="52"/>
      <c r="QU26" s="52"/>
      <c r="QV26" s="52"/>
      <c r="QW26" s="52"/>
      <c r="QX26" s="52"/>
      <c r="QY26" s="52"/>
      <c r="QZ26" s="52"/>
      <c r="RA26" s="52"/>
      <c r="RB26" s="52"/>
      <c r="RC26" s="52"/>
      <c r="RD26" s="52"/>
      <c r="RE26" s="52"/>
      <c r="RF26" s="52"/>
      <c r="RG26" s="52"/>
      <c r="RH26" s="52"/>
      <c r="RI26" s="52"/>
      <c r="RJ26" s="52"/>
      <c r="RK26" s="52"/>
      <c r="RL26" s="52"/>
      <c r="RM26" s="52"/>
      <c r="RN26" s="52"/>
      <c r="RO26" s="52"/>
      <c r="RP26" s="52"/>
      <c r="RQ26" s="52"/>
      <c r="RR26" s="52"/>
      <c r="RS26" s="52"/>
      <c r="RT26" s="52"/>
      <c r="RU26" s="52"/>
      <c r="RV26" s="52"/>
      <c r="RW26" s="52"/>
      <c r="RX26" s="52"/>
      <c r="RY26" s="52"/>
      <c r="RZ26" s="52"/>
      <c r="SA26" s="52"/>
      <c r="SB26" s="52"/>
      <c r="SC26" s="52"/>
      <c r="SD26" s="52"/>
      <c r="SE26" s="52"/>
      <c r="SF26" s="52"/>
      <c r="SG26" s="52"/>
      <c r="SH26" s="52"/>
      <c r="SI26" s="52"/>
      <c r="SJ26" s="52"/>
      <c r="SK26" s="52"/>
      <c r="SL26" s="52"/>
      <c r="SM26" s="52"/>
      <c r="SN26" s="52"/>
      <c r="SO26" s="52"/>
      <c r="SP26" s="52"/>
      <c r="SQ26" s="52"/>
      <c r="SR26" s="52"/>
      <c r="SS26" s="52"/>
      <c r="ST26" s="52"/>
      <c r="SU26" s="52"/>
      <c r="SV26" s="52"/>
      <c r="SW26" s="52"/>
      <c r="SX26" s="52"/>
      <c r="SY26" s="52"/>
      <c r="SZ26" s="52"/>
      <c r="TA26" s="52"/>
      <c r="TB26" s="52"/>
      <c r="TC26" s="52"/>
      <c r="TD26" s="52"/>
      <c r="TE26" s="52"/>
      <c r="TF26" s="52"/>
      <c r="TG26" s="52"/>
      <c r="TH26" s="52"/>
      <c r="TI26" s="52"/>
      <c r="TJ26" s="52"/>
      <c r="TK26" s="52"/>
    </row>
  </sheetData>
  <mergeCells count="6">
    <mergeCell ref="A19:Z19"/>
    <mergeCell ref="A22:Z22"/>
    <mergeCell ref="A2:B2"/>
    <mergeCell ref="A4:Z4"/>
    <mergeCell ref="A10:Z10"/>
    <mergeCell ref="A13:Z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B6A7D"/>
  </sheetPr>
  <dimension ref="A1:Z89"/>
  <sheetViews>
    <sheetView showGridLines="0" tabSelected="1" zoomScale="150" zoomScaleNormal="150" workbookViewId="0">
      <selection activeCell="F32" sqref="F32"/>
    </sheetView>
  </sheetViews>
  <sheetFormatPr baseColWidth="10" defaultColWidth="8.6640625" defaultRowHeight="15" outlineLevelRow="2" x14ac:dyDescent="0.2"/>
  <cols>
    <col min="1" max="1" width="32.6640625" customWidth="1"/>
    <col min="2" max="2" width="15" customWidth="1"/>
    <col min="3" max="3" width="17.83203125" customWidth="1"/>
    <col min="4" max="4" width="17.1640625" customWidth="1"/>
    <col min="5" max="5" width="19.83203125" customWidth="1"/>
  </cols>
  <sheetData>
    <row r="1" spans="1:26" ht="39.75" customHeight="1" x14ac:dyDescent="0.2">
      <c r="A1" s="247" t="s">
        <v>204</v>
      </c>
      <c r="B1" s="248"/>
      <c r="C1" s="248"/>
      <c r="D1" s="248"/>
      <c r="E1" s="405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</row>
    <row r="2" spans="1:26" ht="15" customHeight="1" x14ac:dyDescent="0.2">
      <c r="A2" s="407" t="s">
        <v>318</v>
      </c>
      <c r="B2" s="408"/>
      <c r="C2" s="408"/>
      <c r="D2" s="408"/>
      <c r="E2" s="409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5.5" customHeight="1" x14ac:dyDescent="0.2">
      <c r="A3" s="410" t="s">
        <v>326</v>
      </c>
      <c r="B3" s="411" t="s">
        <v>3</v>
      </c>
      <c r="C3" s="292" t="s">
        <v>4</v>
      </c>
      <c r="D3" s="292" t="s">
        <v>5</v>
      </c>
      <c r="E3" s="412" t="s">
        <v>327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4" customHeight="1" x14ac:dyDescent="0.2">
      <c r="A4" s="294" t="s">
        <v>205</v>
      </c>
      <c r="B4" s="295"/>
      <c r="C4" s="295"/>
      <c r="D4" s="295"/>
      <c r="E4" s="413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1.75" customHeight="1" x14ac:dyDescent="0.2">
      <c r="A5" s="262" t="s">
        <v>6</v>
      </c>
      <c r="B5" s="414">
        <f>'🎛️ Premissas'!B48</f>
        <v>80</v>
      </c>
      <c r="C5" s="415">
        <f>'🎛️ Premissas'!C48</f>
        <v>60</v>
      </c>
      <c r="D5" s="416">
        <f>'🎛️ Premissas'!D48</f>
        <v>60</v>
      </c>
      <c r="E5" s="417" t="s">
        <v>206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1.75" customHeight="1" x14ac:dyDescent="0.2">
      <c r="A6" s="262" t="s">
        <v>134</v>
      </c>
      <c r="B6" s="418">
        <f>'🎛️ Premissas'!B36</f>
        <v>0.08</v>
      </c>
      <c r="C6" s="419">
        <f>'🎛️ Premissas'!C36</f>
        <v>7.0000000000000007E-2</v>
      </c>
      <c r="D6" s="420">
        <f>'🎛️ Premissas'!D36</f>
        <v>0.05</v>
      </c>
      <c r="E6" s="417" t="s">
        <v>207</v>
      </c>
      <c r="F6" s="15"/>
      <c r="G6" s="15"/>
      <c r="H6" s="421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1.75" customHeight="1" x14ac:dyDescent="0.2">
      <c r="A7" s="262" t="s">
        <v>208</v>
      </c>
      <c r="B7" s="418">
        <f>1-(1-'🎛️ Premissas'!B36)^12</f>
        <v>0.63233361234511754</v>
      </c>
      <c r="C7" s="419">
        <f>1-(1-'🎛️ Premissas'!C36)^12</f>
        <v>0.58140370252062967</v>
      </c>
      <c r="D7" s="420">
        <f>1-(1-'🎛️ Premissas'!D36)^12</f>
        <v>0.45963991233736312</v>
      </c>
      <c r="E7" s="417" t="s">
        <v>209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1.75" customHeight="1" x14ac:dyDescent="0.2">
      <c r="A8" s="262" t="s">
        <v>340</v>
      </c>
      <c r="B8" s="422">
        <f>'🎛️ Premissas'!B52</f>
        <v>3</v>
      </c>
      <c r="C8" s="423">
        <f>'🎛️ Premissas'!C52</f>
        <v>5</v>
      </c>
      <c r="D8" s="424">
        <f>'🎛️ Premissas'!D52</f>
        <v>7</v>
      </c>
      <c r="E8" s="417" t="s">
        <v>210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1.75" customHeight="1" x14ac:dyDescent="0.2">
      <c r="A9" s="262" t="s">
        <v>211</v>
      </c>
      <c r="B9" s="418">
        <f>'🎛️ Premissas'!B20</f>
        <v>0.5</v>
      </c>
      <c r="C9" s="419">
        <f>'🎛️ Premissas'!C20</f>
        <v>0.5</v>
      </c>
      <c r="D9" s="420">
        <f>'🎛️ Premissas'!D20</f>
        <v>0.5</v>
      </c>
      <c r="E9" s="417" t="s">
        <v>212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1.75" customHeight="1" x14ac:dyDescent="0.2">
      <c r="A10" s="262" t="s">
        <v>213</v>
      </c>
      <c r="B10" s="418">
        <f>'🎛️ Premissas'!B33</f>
        <v>0.1</v>
      </c>
      <c r="C10" s="419">
        <f>'🎛️ Premissas'!C33</f>
        <v>0.15</v>
      </c>
      <c r="D10" s="420">
        <f>'🎛️ Premissas'!D33</f>
        <v>0.2</v>
      </c>
      <c r="E10" s="417" t="s">
        <v>214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4" customHeight="1" x14ac:dyDescent="0.2">
      <c r="A11" s="294" t="s">
        <v>215</v>
      </c>
      <c r="B11" s="295"/>
      <c r="C11" s="295"/>
      <c r="D11" s="295"/>
      <c r="E11" s="413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1.75" customHeight="1" x14ac:dyDescent="0.2">
      <c r="A12" s="262" t="s">
        <v>216</v>
      </c>
      <c r="B12" s="425">
        <f>('🎛️ Premissas'!B21*('🎛️ Premissas'!B22/1000000*'🎛️ Premissas'!B13+'🎛️ Premissas'!B23/1000000*'🎛️ Premissas'!B14)*(1-'🎛️ Premissas'!B15)*'🎛️ Premissas'!B10)</f>
        <v>5.8289400000000002</v>
      </c>
      <c r="C12" s="426">
        <f>('🎛️ Premissas'!C21*('🎛️ Premissas'!C22/1000000*'🎛️ Premissas'!C13+'🎛️ Premissas'!C23/1000000*'🎛️ Premissas'!C14)*(1-'🎛️ Premissas'!C15)*'🎛️ Premissas'!C10)</f>
        <v>6.5444400000000007</v>
      </c>
      <c r="D12" s="427">
        <f>('🎛️ Premissas'!D21*('🎛️ Premissas'!D22/1000000*'🎛️ Premissas'!D13+'🎛️ Premissas'!D23/1000000*'🎛️ Premissas'!D14)*(1-'🎛️ Premissas'!D15)*'🎛️ Premissas'!D10)</f>
        <v>8.3427300000000013</v>
      </c>
      <c r="E12" s="417" t="s">
        <v>217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1.75" customHeight="1" x14ac:dyDescent="0.2">
      <c r="A13" s="262" t="s">
        <v>218</v>
      </c>
      <c r="B13" s="425">
        <f>('🎛️ Premissas'!B5+'🎛️ Premissas'!B8-('🎛️ Premissas'!B21*('🎛️ Premissas'!B22/1000000*'🎛️ Premissas'!B13+'🎛️ Premissas'!B23/1000000*'🎛️ Premissas'!B14)*(1-'🎛️ Premissas'!B15)*'🎛️ Premissas'!B10))</f>
        <v>44.071059999999996</v>
      </c>
      <c r="C13" s="426">
        <f>('🎛️ Premissas'!C5+'🎛️ Premissas'!C8-('🎛️ Premissas'!C21*('🎛️ Premissas'!C22/1000000*'🎛️ Premissas'!C13+'🎛️ Premissas'!C23/1000000*'🎛️ Premissas'!C14)*(1-'🎛️ Premissas'!C15)*'🎛️ Premissas'!C10))</f>
        <v>43.355559999999997</v>
      </c>
      <c r="D13" s="427">
        <f>('🎛️ Premissas'!D5+'🎛️ Premissas'!D8-('🎛️ Premissas'!D21*('🎛️ Premissas'!D22/1000000*'🎛️ Premissas'!D13+'🎛️ Premissas'!D23/1000000*'🎛️ Premissas'!D14)*(1-'🎛️ Premissas'!D15)*'🎛️ Premissas'!D10))</f>
        <v>41.557269999999995</v>
      </c>
      <c r="E13" s="417" t="s">
        <v>219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1.75" customHeight="1" x14ac:dyDescent="0.2">
      <c r="A14" s="262" t="s">
        <v>7</v>
      </c>
      <c r="B14" s="428">
        <f>1/'🎛️ Premissas'!B36</f>
        <v>12.5</v>
      </c>
      <c r="C14" s="429">
        <f>1/'🎛️ Premissas'!C36</f>
        <v>14.285714285714285</v>
      </c>
      <c r="D14" s="430">
        <f>1/'🎛️ Premissas'!D36</f>
        <v>20</v>
      </c>
      <c r="E14" s="417" t="s">
        <v>220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1.75" customHeight="1" x14ac:dyDescent="0.2">
      <c r="A15" s="262" t="s">
        <v>9</v>
      </c>
      <c r="B15" s="414">
        <f>B13*B14</f>
        <v>550.88824999999997</v>
      </c>
      <c r="C15" s="415">
        <f>C13*C14</f>
        <v>619.36514285714281</v>
      </c>
      <c r="D15" s="416">
        <f>D13*D14</f>
        <v>831.14539999999988</v>
      </c>
      <c r="E15" s="417" t="s">
        <v>221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1.75" customHeight="1" x14ac:dyDescent="0.2">
      <c r="A16" s="262" t="s">
        <v>11</v>
      </c>
      <c r="B16" s="431">
        <f>IFERROR(B15/B5,0)</f>
        <v>6.886103125</v>
      </c>
      <c r="C16" s="432">
        <f>IFERROR(C15/C5,0)</f>
        <v>10.32275238095238</v>
      </c>
      <c r="D16" s="433">
        <f>IFERROR(D15/D5,0)</f>
        <v>13.852423333333331</v>
      </c>
      <c r="E16" s="417" t="s">
        <v>12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1.75" customHeight="1" x14ac:dyDescent="0.2">
      <c r="A17" s="262" t="s">
        <v>13</v>
      </c>
      <c r="B17" s="434">
        <f>IFERROR(B5/B13,0)</f>
        <v>1.8152501891263793</v>
      </c>
      <c r="C17" s="435">
        <f>IFERROR(C5/C13,0)</f>
        <v>1.3839055475237778</v>
      </c>
      <c r="D17" s="436">
        <f>IFERROR(D5/D13,0)</f>
        <v>1.4437907013622406</v>
      </c>
      <c r="E17" s="417" t="s">
        <v>222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4" customHeight="1" x14ac:dyDescent="0.2">
      <c r="A18" s="294" t="s">
        <v>338</v>
      </c>
      <c r="B18" s="295"/>
      <c r="C18" s="295"/>
      <c r="D18" s="295"/>
      <c r="E18" s="413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1.75" customHeight="1" x14ac:dyDescent="0.2">
      <c r="A19" s="262" t="s">
        <v>307</v>
      </c>
      <c r="B19" s="414">
        <f>SUM(B56:Y56)</f>
        <v>6638262.1999999983</v>
      </c>
      <c r="C19" s="415">
        <f>SUM(B68:Y68)</f>
        <v>10164898.699999999</v>
      </c>
      <c r="D19" s="416">
        <f>SUM(B80:Y80)</f>
        <v>14454603.799999999</v>
      </c>
      <c r="E19" s="417" t="s">
        <v>308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21.75" customHeight="1" x14ac:dyDescent="0.2">
      <c r="A20" s="262" t="s">
        <v>223</v>
      </c>
      <c r="B20" s="422">
        <f>'🎛️ Premissas'!B52</f>
        <v>3</v>
      </c>
      <c r="C20" s="423">
        <f>'🎛️ Premissas'!C52</f>
        <v>5</v>
      </c>
      <c r="D20" s="424">
        <f>'🎛️ Premissas'!D52</f>
        <v>7</v>
      </c>
      <c r="E20" s="417" t="s">
        <v>309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21.75" customHeight="1" x14ac:dyDescent="0.2">
      <c r="A21" s="262" t="s">
        <v>266</v>
      </c>
      <c r="B21" s="437">
        <f>B19*B20</f>
        <v>19914786.599999994</v>
      </c>
      <c r="C21" s="415">
        <f>C19*C20</f>
        <v>50824493.5</v>
      </c>
      <c r="D21" s="438">
        <f>D19*D20</f>
        <v>101182226.59999999</v>
      </c>
      <c r="E21" s="417" t="s">
        <v>192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1.75" customHeight="1" x14ac:dyDescent="0.2">
      <c r="A22" s="262" t="s">
        <v>288</v>
      </c>
      <c r="B22" s="414">
        <f>B21*'🎛️ Premissas'!$B$59</f>
        <v>2987217.9899999988</v>
      </c>
      <c r="C22" s="415">
        <f>C21*'🎛️ Premissas'!$B$59</f>
        <v>7623674.0249999994</v>
      </c>
      <c r="D22" s="416">
        <f>D21*'🎛️ Premissas'!$B$59</f>
        <v>15177333.989999998</v>
      </c>
      <c r="E22" s="417" t="s">
        <v>192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1.75" customHeight="1" x14ac:dyDescent="0.2">
      <c r="A23" s="262" t="s">
        <v>289</v>
      </c>
      <c r="B23" s="439">
        <f>B22/'🎛️ Premissas'!$B$58</f>
        <v>2.9872179899999987</v>
      </c>
      <c r="C23" s="432">
        <f>C22/'🎛️ Premissas'!$B$58</f>
        <v>7.6236740249999997</v>
      </c>
      <c r="D23" s="440">
        <f>D22/'🎛️ Premissas'!$B$58</f>
        <v>15.177333989999997</v>
      </c>
      <c r="E23" s="417" t="s">
        <v>290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24" customHeight="1" x14ac:dyDescent="0.2">
      <c r="A24" s="294" t="s">
        <v>224</v>
      </c>
      <c r="B24" s="295"/>
      <c r="C24" s="295"/>
      <c r="D24" s="295"/>
      <c r="E24" s="413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21.75" customHeight="1" x14ac:dyDescent="0.2">
      <c r="A25" s="262" t="s">
        <v>225</v>
      </c>
      <c r="B25" s="441">
        <f>M56</f>
        <v>277318.09999999998</v>
      </c>
      <c r="C25" s="442">
        <f>M68</f>
        <v>426821</v>
      </c>
      <c r="D25" s="443">
        <f>M80</f>
        <v>604340.5</v>
      </c>
      <c r="E25" s="417" t="s">
        <v>219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1.75" customHeight="1" x14ac:dyDescent="0.2">
      <c r="A26" s="262" t="s">
        <v>226</v>
      </c>
      <c r="B26" s="441">
        <f>M56*12</f>
        <v>3327817.1999999997</v>
      </c>
      <c r="C26" s="442">
        <f>M68*12</f>
        <v>5121852</v>
      </c>
      <c r="D26" s="443">
        <f>M80*12</f>
        <v>7252086</v>
      </c>
      <c r="E26" s="417" t="s">
        <v>227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21.75" customHeight="1" x14ac:dyDescent="0.2">
      <c r="A27" s="262" t="s">
        <v>228</v>
      </c>
      <c r="B27" s="441">
        <f>SUM(B60:M60)</f>
        <v>733093.02548999991</v>
      </c>
      <c r="C27" s="442">
        <f>SUM(B72:M72)</f>
        <v>1335922.7344799999</v>
      </c>
      <c r="D27" s="443">
        <f>SUM(B84:M84)</f>
        <v>1847831.3485900001</v>
      </c>
      <c r="E27" s="417" t="s">
        <v>192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21.75" customHeight="1" x14ac:dyDescent="0.2">
      <c r="A28" s="262" t="s">
        <v>0</v>
      </c>
      <c r="B28" s="444">
        <f>M55</f>
        <v>4819</v>
      </c>
      <c r="C28" s="445">
        <f>M67</f>
        <v>7490</v>
      </c>
      <c r="D28" s="446">
        <f>M79</f>
        <v>10745</v>
      </c>
      <c r="E28" s="417" t="s">
        <v>229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4" customHeight="1" x14ac:dyDescent="0.2">
      <c r="A29" s="294" t="s">
        <v>230</v>
      </c>
      <c r="B29" s="295"/>
      <c r="C29" s="295"/>
      <c r="D29" s="295"/>
      <c r="E29" s="413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1.75" customHeight="1" x14ac:dyDescent="0.2">
      <c r="A30" s="262" t="s">
        <v>231</v>
      </c>
      <c r="B30" s="441">
        <f>Y56</f>
        <v>467197.3</v>
      </c>
      <c r="C30" s="442">
        <f>Y68</f>
        <v>718322.8</v>
      </c>
      <c r="D30" s="443">
        <f>Y80</f>
        <v>1043502.1</v>
      </c>
      <c r="E30" s="417" t="s">
        <v>219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1.75" customHeight="1" x14ac:dyDescent="0.2">
      <c r="A31" s="262" t="s">
        <v>232</v>
      </c>
      <c r="B31" s="441">
        <f>Y56*12</f>
        <v>5606367.5999999996</v>
      </c>
      <c r="C31" s="442">
        <f>Y68*12</f>
        <v>8619873.6000000015</v>
      </c>
      <c r="D31" s="443">
        <f>Y80*12</f>
        <v>12522025.199999999</v>
      </c>
      <c r="E31" s="417" t="s">
        <v>227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21.75" customHeight="1" x14ac:dyDescent="0.2">
      <c r="A32" s="262" t="s">
        <v>228</v>
      </c>
      <c r="B32" s="441">
        <f>SUM(N60:Y60)</f>
        <v>2505012.8933700002</v>
      </c>
      <c r="C32" s="442">
        <f>SUM(N72:Y72)</f>
        <v>4075255.6943999995</v>
      </c>
      <c r="D32" s="443">
        <f>SUM(N84:Y84)</f>
        <v>5658891.7812699992</v>
      </c>
      <c r="E32" s="417" t="s">
        <v>192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21.75" customHeight="1" x14ac:dyDescent="0.2">
      <c r="A33" s="262" t="s">
        <v>1</v>
      </c>
      <c r="B33" s="444">
        <f>Y55</f>
        <v>8027</v>
      </c>
      <c r="C33" s="445">
        <f>Y67</f>
        <v>12472</v>
      </c>
      <c r="D33" s="446">
        <f>Y79</f>
        <v>18439</v>
      </c>
      <c r="E33" s="417" t="s">
        <v>229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" customHeight="1" x14ac:dyDescent="0.2">
      <c r="A34" s="294" t="s">
        <v>334</v>
      </c>
      <c r="B34" s="295"/>
      <c r="C34" s="295"/>
      <c r="D34" s="295"/>
      <c r="E34" s="413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x14ac:dyDescent="0.2">
      <c r="A35" s="262" t="s">
        <v>267</v>
      </c>
      <c r="B35" s="441">
        <f>-'🎛️ Premissas'!$B$58+NPV('🎛️ Premissas'!$B$69,C86:Z86)</f>
        <v>1400830.805828108</v>
      </c>
      <c r="C35" s="442">
        <f>-'🎛️ Premissas'!$B$58+NPV('🎛️ Premissas'!$B$69,C87:Z87)</f>
        <v>3038852.6659950218</v>
      </c>
      <c r="D35" s="443">
        <f>-'🎛️ Premissas'!$B$58+NPV('🎛️ Premissas'!$B$69,C88:Z88)</f>
        <v>4602506.6810973352</v>
      </c>
      <c r="E35" s="417" t="s">
        <v>331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6" customHeight="1" x14ac:dyDescent="0.2">
      <c r="A36" s="262" t="s">
        <v>332</v>
      </c>
      <c r="B36" s="418">
        <f>IFERROR((1+IRR(B86:Z86,'🎛️ Premissas'!$B$69))^12-1,"n/a")</f>
        <v>1.4017174264008934</v>
      </c>
      <c r="C36" s="419">
        <f>IFERROR((1+IRR(B87:Z87,'🎛️ Premissas'!$B$69))^12-1,"n/a")</f>
        <v>2.8438196497012895</v>
      </c>
      <c r="D36" s="420">
        <f>IFERROR((1+IRR(B88:Z88,'🎛️ Premissas'!$B$69))^12-1,"n/a")</f>
        <v>4.2078165166561057</v>
      </c>
      <c r="E36" s="417" t="s">
        <v>333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" customHeight="1" x14ac:dyDescent="0.2">
      <c r="A37" s="447" t="s">
        <v>339</v>
      </c>
      <c r="B37" s="448"/>
      <c r="C37" s="448"/>
      <c r="D37" s="448"/>
      <c r="E37" s="449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6" thickBot="1" x14ac:dyDescent="0.25">
      <c r="A38" s="450"/>
      <c r="B38" s="451"/>
      <c r="C38" s="451"/>
      <c r="D38" s="451"/>
      <c r="E38" s="452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x14ac:dyDescent="0.2">
      <c r="A39" s="323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x14ac:dyDescent="0.2">
      <c r="A40" s="32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x14ac:dyDescent="0.2">
      <c r="A41" s="323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x14ac:dyDescent="0.2">
      <c r="A42" s="323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x14ac:dyDescent="0.2">
      <c r="A43" s="323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x14ac:dyDescent="0.2">
      <c r="A44" s="323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x14ac:dyDescent="0.2">
      <c r="A45" s="323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x14ac:dyDescent="0.2">
      <c r="A46" s="32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x14ac:dyDescent="0.2">
      <c r="A47" s="32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x14ac:dyDescent="0.2">
      <c r="A48" s="323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idden="1" outlineLevel="2" x14ac:dyDescent="0.2">
      <c r="A49" s="323" t="s">
        <v>316</v>
      </c>
      <c r="B49" s="15" t="s">
        <v>268</v>
      </c>
      <c r="C49" s="15" t="s">
        <v>269</v>
      </c>
      <c r="D49" s="15" t="s">
        <v>270</v>
      </c>
      <c r="E49" s="15" t="s">
        <v>271</v>
      </c>
      <c r="F49" s="15" t="s">
        <v>272</v>
      </c>
      <c r="G49" s="15" t="s">
        <v>273</v>
      </c>
      <c r="H49" s="15" t="s">
        <v>274</v>
      </c>
      <c r="I49" s="15" t="s">
        <v>275</v>
      </c>
      <c r="J49" s="15" t="s">
        <v>276</v>
      </c>
      <c r="K49" s="15" t="s">
        <v>172</v>
      </c>
      <c r="L49" s="15" t="s">
        <v>247</v>
      </c>
      <c r="M49" s="15" t="s">
        <v>248</v>
      </c>
      <c r="N49" s="15" t="s">
        <v>174</v>
      </c>
      <c r="O49" s="15" t="s">
        <v>175</v>
      </c>
      <c r="P49" s="15" t="s">
        <v>176</v>
      </c>
      <c r="Q49" s="15" t="s">
        <v>177</v>
      </c>
      <c r="R49" s="15" t="s">
        <v>178</v>
      </c>
      <c r="S49" s="15" t="s">
        <v>249</v>
      </c>
      <c r="T49" s="15" t="s">
        <v>179</v>
      </c>
      <c r="U49" s="15" t="s">
        <v>180</v>
      </c>
      <c r="V49" s="15" t="s">
        <v>181</v>
      </c>
      <c r="W49" s="15" t="s">
        <v>182</v>
      </c>
      <c r="X49" s="15" t="s">
        <v>183</v>
      </c>
      <c r="Y49" s="15" t="s">
        <v>250</v>
      </c>
      <c r="Z49" s="15"/>
    </row>
    <row r="50" spans="1:26" hidden="1" outlineLevel="2" x14ac:dyDescent="0.2">
      <c r="A50" s="323" t="s">
        <v>320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idden="1" outlineLevel="2" x14ac:dyDescent="0.2">
      <c r="A51" s="323" t="s">
        <v>317</v>
      </c>
      <c r="B51" s="15">
        <f>'🎛️ Premissas'!$B$64</f>
        <v>2000</v>
      </c>
      <c r="C51" s="79">
        <f>'🎛️ Premissas'!$B$31</f>
        <v>3000</v>
      </c>
      <c r="D51" s="79">
        <f>'🎛️ Premissas'!$B$31</f>
        <v>3000</v>
      </c>
      <c r="E51" s="79">
        <f>'🎛️ Premissas'!$B$31</f>
        <v>3000</v>
      </c>
      <c r="F51" s="79">
        <f>'🎛️ Premissas'!$B$31</f>
        <v>3000</v>
      </c>
      <c r="G51" s="79">
        <f>'🎛️ Premissas'!$B$31</f>
        <v>3000</v>
      </c>
      <c r="H51" s="79">
        <f>'🎛️ Premissas'!$B$31</f>
        <v>3000</v>
      </c>
      <c r="I51" s="79">
        <f>'🎛️ Premissas'!$B$31</f>
        <v>3000</v>
      </c>
      <c r="J51" s="79">
        <f>'🎛️ Premissas'!$B$31</f>
        <v>3000</v>
      </c>
      <c r="K51" s="79">
        <f>'🎛️ Premissas'!$B$31</f>
        <v>3000</v>
      </c>
      <c r="L51" s="79">
        <f>'🎛️ Premissas'!$B$31</f>
        <v>3000</v>
      </c>
      <c r="M51" s="79">
        <f>'🎛️ Premissas'!$B$31</f>
        <v>3000</v>
      </c>
      <c r="N51" s="79">
        <f>'🎛️ Premissas'!$B$32</f>
        <v>3500</v>
      </c>
      <c r="O51" s="79">
        <f>'🎛️ Premissas'!$B$32</f>
        <v>3500</v>
      </c>
      <c r="P51" s="79">
        <f>'🎛️ Premissas'!$B$32</f>
        <v>3500</v>
      </c>
      <c r="Q51" s="79">
        <f>'🎛️ Premissas'!$B$32</f>
        <v>3500</v>
      </c>
      <c r="R51" s="79">
        <f>'🎛️ Premissas'!$B$32</f>
        <v>3500</v>
      </c>
      <c r="S51" s="79">
        <f>'🎛️ Premissas'!$B$32</f>
        <v>3500</v>
      </c>
      <c r="T51" s="79">
        <f>'🎛️ Premissas'!$B$32</f>
        <v>3500</v>
      </c>
      <c r="U51" s="79">
        <f>'🎛️ Premissas'!$B$32</f>
        <v>3500</v>
      </c>
      <c r="V51" s="79">
        <f>'🎛️ Premissas'!$B$32</f>
        <v>3500</v>
      </c>
      <c r="W51" s="79">
        <f>'🎛️ Premissas'!$B$32</f>
        <v>3500</v>
      </c>
      <c r="X51" s="79">
        <f>'🎛️ Premissas'!$B$32</f>
        <v>3500</v>
      </c>
      <c r="Y51" s="79">
        <f>'🎛️ Premissas'!$B$32</f>
        <v>3500</v>
      </c>
      <c r="Z51" s="15"/>
    </row>
    <row r="52" spans="1:26" hidden="1" outlineLevel="2" x14ac:dyDescent="0.2">
      <c r="A52" s="323" t="s">
        <v>240</v>
      </c>
      <c r="B52" s="15">
        <f>ROUND(B51*'🎛️ Premissas'!$B$33,0)</f>
        <v>200</v>
      </c>
      <c r="C52" s="15">
        <f>ROUND(B52*(1-'🎛️ Premissas'!$B$36)+C51*'🎛️ Premissas'!$B$33,0)</f>
        <v>484</v>
      </c>
      <c r="D52" s="15">
        <f>ROUND(C52*(1-'🎛️ Premissas'!$B$36)+D51*'🎛️ Premissas'!$B$33,0)</f>
        <v>745</v>
      </c>
      <c r="E52" s="15">
        <f>ROUND(D52*(1-'🎛️ Premissas'!$B$36)+E51*'🎛️ Premissas'!$B$33,0)</f>
        <v>985</v>
      </c>
      <c r="F52" s="15">
        <f>ROUND(E52*(1-'🎛️ Premissas'!$B$36)+F51*'🎛️ Premissas'!$B$33,0)</f>
        <v>1206</v>
      </c>
      <c r="G52" s="15">
        <f>ROUND(F52*(1-'🎛️ Premissas'!$B$36)+G51*'🎛️ Premissas'!$B$33,0)</f>
        <v>1410</v>
      </c>
      <c r="H52" s="15">
        <f>ROUND(G52*(1-'🎛️ Premissas'!$B$36)+H51*'🎛️ Premissas'!$B$33,0)</f>
        <v>1597</v>
      </c>
      <c r="I52" s="15">
        <f>ROUND(H52*(1-'🎛️ Premissas'!$B$36)+I51*'🎛️ Premissas'!$B$33,0)</f>
        <v>1769</v>
      </c>
      <c r="J52" s="15">
        <f>ROUND(I52*(1-'🎛️ Premissas'!$B$36)+J51*'🎛️ Premissas'!$B$33,0)</f>
        <v>1927</v>
      </c>
      <c r="K52" s="15">
        <f>ROUND(J52*(1-'🎛️ Premissas'!$B$36)+K51*'🎛️ Premissas'!$B$33,0)</f>
        <v>2073</v>
      </c>
      <c r="L52" s="15">
        <f>ROUND(K52*(1-'🎛️ Premissas'!$B$36)+L51*'🎛️ Premissas'!$B$33,0)</f>
        <v>2207</v>
      </c>
      <c r="M52" s="15">
        <f>ROUND(L52*(1-'🎛️ Premissas'!$B$36)+M51*'🎛️ Premissas'!$B$33,0)</f>
        <v>2330</v>
      </c>
      <c r="N52" s="15">
        <f>ROUND(M52*(1-'🎛️ Premissas'!$B$36)+N51*'🎛️ Premissas'!$B$33,0)</f>
        <v>2494</v>
      </c>
      <c r="O52" s="15">
        <f>ROUND(N52*(1-'🎛️ Premissas'!$B$36)+O51*'🎛️ Premissas'!$B$33,0)</f>
        <v>2644</v>
      </c>
      <c r="P52" s="15">
        <f>ROUND(O52*(1-'🎛️ Premissas'!$B$36)+P51*'🎛️ Premissas'!$B$33,0)</f>
        <v>2782</v>
      </c>
      <c r="Q52" s="15">
        <f>ROUND(P52*(1-'🎛️ Premissas'!$B$36)+Q51*'🎛️ Premissas'!$B$33,0)</f>
        <v>2909</v>
      </c>
      <c r="R52" s="15">
        <f>ROUND(Q52*(1-'🎛️ Premissas'!$B$36)+R51*'🎛️ Premissas'!$B$33,0)</f>
        <v>3026</v>
      </c>
      <c r="S52" s="15">
        <f>ROUND(R52*(1-'🎛️ Premissas'!$B$36)+S51*'🎛️ Premissas'!$B$33,0)</f>
        <v>3134</v>
      </c>
      <c r="T52" s="15">
        <f>ROUND(S52*(1-'🎛️ Premissas'!$B$36)+T51*'🎛️ Premissas'!$B$33,0)</f>
        <v>3233</v>
      </c>
      <c r="U52" s="15">
        <f>ROUND(T52*(1-'🎛️ Premissas'!$B$36)+U51*'🎛️ Premissas'!$B$33,0)</f>
        <v>3324</v>
      </c>
      <c r="V52" s="15">
        <f>ROUND(U52*(1-'🎛️ Premissas'!$B$36)+V51*'🎛️ Premissas'!$B$33,0)</f>
        <v>3408</v>
      </c>
      <c r="W52" s="15">
        <f>ROUND(V52*(1-'🎛️ Premissas'!$B$36)+W51*'🎛️ Premissas'!$B$33,0)</f>
        <v>3485</v>
      </c>
      <c r="X52" s="15">
        <f>ROUND(W52*(1-'🎛️ Premissas'!$B$36)+X51*'🎛️ Premissas'!$B$33,0)</f>
        <v>3556</v>
      </c>
      <c r="Y52" s="15">
        <f>ROUND(X52*(1-'🎛️ Premissas'!$B$36)+Y51*'🎛️ Premissas'!$B$33,0)</f>
        <v>3622</v>
      </c>
      <c r="Z52" s="15"/>
    </row>
    <row r="53" spans="1:26" hidden="1" outlineLevel="2" x14ac:dyDescent="0.2">
      <c r="A53" s="323" t="s">
        <v>241</v>
      </c>
      <c r="B53" s="15">
        <f>ROUND(B51*'🎛️ Premissas'!$B$34,0)</f>
        <v>140</v>
      </c>
      <c r="C53" s="15">
        <f>ROUND(B53*(1-'🎛️ Premissas'!$B$37)+C51*'🎛️ Premissas'!$B$34,0)</f>
        <v>343</v>
      </c>
      <c r="D53" s="15">
        <f>ROUND(C53*(1-'🎛️ Premissas'!$B$37)+D51*'🎛️ Premissas'!$B$34,0)</f>
        <v>536</v>
      </c>
      <c r="E53" s="15">
        <f>ROUND(D53*(1-'🎛️ Premissas'!$B$37)+E51*'🎛️ Premissas'!$B$34,0)</f>
        <v>719</v>
      </c>
      <c r="F53" s="15">
        <f>ROUND(E53*(1-'🎛️ Premissas'!$B$37)+F51*'🎛️ Premissas'!$B$34,0)</f>
        <v>893</v>
      </c>
      <c r="G53" s="15">
        <f>ROUND(F53*(1-'🎛️ Premissas'!$B$37)+G51*'🎛️ Premissas'!$B$34,0)</f>
        <v>1058</v>
      </c>
      <c r="H53" s="15">
        <f>ROUND(G53*(1-'🎛️ Premissas'!$B$37)+H51*'🎛️ Premissas'!$B$34,0)</f>
        <v>1215</v>
      </c>
      <c r="I53" s="15">
        <f>ROUND(H53*(1-'🎛️ Premissas'!$B$37)+I51*'🎛️ Premissas'!$B$34,0)</f>
        <v>1364</v>
      </c>
      <c r="J53" s="15">
        <f>ROUND(I53*(1-'🎛️ Premissas'!$B$37)+J51*'🎛️ Premissas'!$B$34,0)</f>
        <v>1506</v>
      </c>
      <c r="K53" s="15">
        <f>ROUND(J53*(1-'🎛️ Premissas'!$B$37)+K51*'🎛️ Premissas'!$B$34,0)</f>
        <v>1641</v>
      </c>
      <c r="L53" s="15">
        <f>ROUND(K53*(1-'🎛️ Premissas'!$B$37)+L51*'🎛️ Premissas'!$B$34,0)</f>
        <v>1769</v>
      </c>
      <c r="M53" s="15">
        <f>ROUND(L53*(1-'🎛️ Premissas'!$B$37)+M51*'🎛️ Premissas'!$B$34,0)</f>
        <v>1891</v>
      </c>
      <c r="N53" s="15">
        <f>ROUND(M53*(1-'🎛️ Premissas'!$B$37)+N51*'🎛️ Premissas'!$B$34,0)</f>
        <v>2041</v>
      </c>
      <c r="O53" s="15">
        <f>ROUND(N53*(1-'🎛️ Premissas'!$B$37)+O51*'🎛️ Premissas'!$B$34,0)</f>
        <v>2184</v>
      </c>
      <c r="P53" s="15">
        <f>ROUND(O53*(1-'🎛️ Premissas'!$B$37)+P51*'🎛️ Premissas'!$B$34,0)</f>
        <v>2320</v>
      </c>
      <c r="Q53" s="15">
        <f>ROUND(P53*(1-'🎛️ Premissas'!$B$37)+Q51*'🎛️ Premissas'!$B$34,0)</f>
        <v>2449</v>
      </c>
      <c r="R53" s="15">
        <f>ROUND(Q53*(1-'🎛️ Premissas'!$B$37)+R51*'🎛️ Premissas'!$B$34,0)</f>
        <v>2572</v>
      </c>
      <c r="S53" s="15">
        <f>ROUND(R53*(1-'🎛️ Premissas'!$B$37)+S51*'🎛️ Premissas'!$B$34,0)</f>
        <v>2688</v>
      </c>
      <c r="T53" s="15">
        <f>ROUND(S53*(1-'🎛️ Premissas'!$B$37)+T51*'🎛️ Premissas'!$B$34,0)</f>
        <v>2799</v>
      </c>
      <c r="U53" s="15">
        <f>ROUND(T53*(1-'🎛️ Premissas'!$B$37)+U51*'🎛️ Premissas'!$B$34,0)</f>
        <v>2904</v>
      </c>
      <c r="V53" s="15">
        <f>ROUND(U53*(1-'🎛️ Premissas'!$B$37)+V51*'🎛️ Premissas'!$B$34,0)</f>
        <v>3004</v>
      </c>
      <c r="W53" s="15">
        <f>ROUND(V53*(1-'🎛️ Premissas'!$B$37)+W51*'🎛️ Premissas'!$B$34,0)</f>
        <v>3099</v>
      </c>
      <c r="X53" s="15">
        <f>ROUND(W53*(1-'🎛️ Premissas'!$B$37)+X51*'🎛️ Premissas'!$B$34,0)</f>
        <v>3189</v>
      </c>
      <c r="Y53" s="15">
        <f>ROUND(X53*(1-'🎛️ Premissas'!$B$37)+Y51*'🎛️ Premissas'!$B$34,0)</f>
        <v>3275</v>
      </c>
      <c r="Z53" s="15"/>
    </row>
    <row r="54" spans="1:26" hidden="1" outlineLevel="2" x14ac:dyDescent="0.2">
      <c r="A54" s="323" t="s">
        <v>242</v>
      </c>
      <c r="B54" s="15">
        <f>ROUND(B51*'🎛️ Premissas'!$B$35,0)</f>
        <v>40</v>
      </c>
      <c r="C54" s="15">
        <f>ROUND(B54*(1-'🎛️ Premissas'!$B$38)+C51*'🎛️ Premissas'!$B$35,0)</f>
        <v>99</v>
      </c>
      <c r="D54" s="15">
        <f>ROUND(C54*(1-'🎛️ Premissas'!$B$38)+D51*'🎛️ Premissas'!$B$35,0)</f>
        <v>156</v>
      </c>
      <c r="E54" s="15">
        <f>ROUND(D54*(1-'🎛️ Premissas'!$B$38)+E51*'🎛️ Premissas'!$B$35,0)</f>
        <v>211</v>
      </c>
      <c r="F54" s="15">
        <f>ROUND(E54*(1-'🎛️ Premissas'!$B$38)+F51*'🎛️ Premissas'!$B$35,0)</f>
        <v>265</v>
      </c>
      <c r="G54" s="15">
        <f>ROUND(F54*(1-'🎛️ Premissas'!$B$38)+G51*'🎛️ Premissas'!$B$35,0)</f>
        <v>317</v>
      </c>
      <c r="H54" s="15">
        <f>ROUND(G54*(1-'🎛️ Premissas'!$B$38)+H51*'🎛️ Premissas'!$B$35,0)</f>
        <v>367</v>
      </c>
      <c r="I54" s="15">
        <f>ROUND(H54*(1-'🎛️ Premissas'!$B$38)+I51*'🎛️ Premissas'!$B$35,0)</f>
        <v>416</v>
      </c>
      <c r="J54" s="15">
        <f>ROUND(I54*(1-'🎛️ Premissas'!$B$38)+J51*'🎛️ Premissas'!$B$35,0)</f>
        <v>464</v>
      </c>
      <c r="K54" s="15">
        <f>ROUND(J54*(1-'🎛️ Premissas'!$B$38)+K51*'🎛️ Premissas'!$B$35,0)</f>
        <v>510</v>
      </c>
      <c r="L54" s="15">
        <f>ROUND(K54*(1-'🎛️ Premissas'!$B$38)+L51*'🎛️ Premissas'!$B$35,0)</f>
        <v>555</v>
      </c>
      <c r="M54" s="15">
        <f>ROUND(L54*(1-'🎛️ Premissas'!$B$38)+M51*'🎛️ Premissas'!$B$35,0)</f>
        <v>598</v>
      </c>
      <c r="N54" s="15">
        <f>ROUND(M54*(1-'🎛️ Premissas'!$B$38)+N51*'🎛️ Premissas'!$B$35,0)</f>
        <v>650</v>
      </c>
      <c r="O54" s="15">
        <f>ROUND(N54*(1-'🎛️ Premissas'!$B$38)+O51*'🎛️ Premissas'!$B$35,0)</f>
        <v>701</v>
      </c>
      <c r="P54" s="15">
        <f>ROUND(O54*(1-'🎛️ Premissas'!$B$38)+P51*'🎛️ Premissas'!$B$35,0)</f>
        <v>750</v>
      </c>
      <c r="Q54" s="15">
        <f>ROUND(P54*(1-'🎛️ Premissas'!$B$38)+Q51*'🎛️ Premissas'!$B$35,0)</f>
        <v>798</v>
      </c>
      <c r="R54" s="15">
        <f>ROUND(Q54*(1-'🎛️ Premissas'!$B$38)+R51*'🎛️ Premissas'!$B$35,0)</f>
        <v>844</v>
      </c>
      <c r="S54" s="15">
        <f>ROUND(R54*(1-'🎛️ Premissas'!$B$38)+S51*'🎛️ Premissas'!$B$35,0)</f>
        <v>889</v>
      </c>
      <c r="T54" s="15">
        <f>ROUND(S54*(1-'🎛️ Premissas'!$B$38)+T51*'🎛️ Premissas'!$B$35,0)</f>
        <v>932</v>
      </c>
      <c r="U54" s="15">
        <f>ROUND(T54*(1-'🎛️ Premissas'!$B$38)+U51*'🎛️ Premissas'!$B$35,0)</f>
        <v>974</v>
      </c>
      <c r="V54" s="15">
        <f>ROUND(U54*(1-'🎛️ Premissas'!$B$38)+V51*'🎛️ Premissas'!$B$35,0)</f>
        <v>1015</v>
      </c>
      <c r="W54" s="15">
        <f>ROUND(V54*(1-'🎛️ Premissas'!$B$38)+W51*'🎛️ Premissas'!$B$35,0)</f>
        <v>1055</v>
      </c>
      <c r="X54" s="15">
        <f>ROUND(W54*(1-'🎛️ Premissas'!$B$38)+X51*'🎛️ Premissas'!$B$35,0)</f>
        <v>1093</v>
      </c>
      <c r="Y54" s="15">
        <f>ROUND(X54*(1-'🎛️ Premissas'!$B$38)+Y51*'🎛️ Premissas'!$B$35,0)</f>
        <v>1130</v>
      </c>
      <c r="Z54" s="15"/>
    </row>
    <row r="55" spans="1:26" hidden="1" outlineLevel="2" x14ac:dyDescent="0.2">
      <c r="A55" s="323" t="s">
        <v>233</v>
      </c>
      <c r="B55" s="15">
        <f t="shared" ref="B55:Y55" si="0">SUM(B52:B54)</f>
        <v>380</v>
      </c>
      <c r="C55" s="15">
        <f t="shared" si="0"/>
        <v>926</v>
      </c>
      <c r="D55" s="15">
        <f t="shared" si="0"/>
        <v>1437</v>
      </c>
      <c r="E55" s="15">
        <f t="shared" si="0"/>
        <v>1915</v>
      </c>
      <c r="F55" s="15">
        <f t="shared" si="0"/>
        <v>2364</v>
      </c>
      <c r="G55" s="15">
        <f t="shared" si="0"/>
        <v>2785</v>
      </c>
      <c r="H55" s="15">
        <f t="shared" si="0"/>
        <v>3179</v>
      </c>
      <c r="I55" s="15">
        <f t="shared" si="0"/>
        <v>3549</v>
      </c>
      <c r="J55" s="15">
        <f t="shared" si="0"/>
        <v>3897</v>
      </c>
      <c r="K55" s="15">
        <f t="shared" si="0"/>
        <v>4224</v>
      </c>
      <c r="L55" s="15">
        <f t="shared" si="0"/>
        <v>4531</v>
      </c>
      <c r="M55" s="15">
        <f t="shared" si="0"/>
        <v>4819</v>
      </c>
      <c r="N55" s="15">
        <f t="shared" si="0"/>
        <v>5185</v>
      </c>
      <c r="O55" s="15">
        <f t="shared" si="0"/>
        <v>5529</v>
      </c>
      <c r="P55" s="15">
        <f t="shared" si="0"/>
        <v>5852</v>
      </c>
      <c r="Q55" s="15">
        <f t="shared" si="0"/>
        <v>6156</v>
      </c>
      <c r="R55" s="15">
        <f t="shared" si="0"/>
        <v>6442</v>
      </c>
      <c r="S55" s="15">
        <f t="shared" si="0"/>
        <v>6711</v>
      </c>
      <c r="T55" s="15">
        <f t="shared" si="0"/>
        <v>6964</v>
      </c>
      <c r="U55" s="15">
        <f t="shared" si="0"/>
        <v>7202</v>
      </c>
      <c r="V55" s="15">
        <f t="shared" si="0"/>
        <v>7427</v>
      </c>
      <c r="W55" s="15">
        <f t="shared" si="0"/>
        <v>7639</v>
      </c>
      <c r="X55" s="15">
        <f t="shared" si="0"/>
        <v>7838</v>
      </c>
      <c r="Y55" s="15">
        <f t="shared" si="0"/>
        <v>8027</v>
      </c>
      <c r="Z55" s="15"/>
    </row>
    <row r="56" spans="1:26" hidden="1" outlineLevel="2" x14ac:dyDescent="0.2">
      <c r="A56" s="323" t="s">
        <v>234</v>
      </c>
      <c r="B56" s="15">
        <f>B52*('🎛️ Premissas'!$B$5+'🎛️ Premissas'!$B$8)+B53*'🎛️ Premissas'!$B$6+B54*'🎛️ Premissas'!$B$7</f>
        <v>21562</v>
      </c>
      <c r="C56" s="15">
        <f>C52*('🎛️ Premissas'!$B$5+'🎛️ Premissas'!$B$8)+C53*'🎛️ Premissas'!$B$6+C54*'🎛️ Premissas'!$B$7</f>
        <v>52607.4</v>
      </c>
      <c r="D56" s="15">
        <f>D52*('🎛️ Premissas'!$B$5+'🎛️ Premissas'!$B$8)+D53*'🎛️ Premissas'!$B$6+D54*'🎛️ Premissas'!$B$7</f>
        <v>81746.299999999988</v>
      </c>
      <c r="E56" s="15">
        <f>E52*('🎛️ Premissas'!$B$5+'🎛️ Premissas'!$B$8)+E53*'🎛️ Premissas'!$B$6+E54*'🎛️ Premissas'!$B$7</f>
        <v>109078.5</v>
      </c>
      <c r="F56" s="15">
        <f>F52*('🎛️ Premissas'!$B$5+'🎛️ Premissas'!$B$8)+F53*'🎛️ Premissas'!$B$6+F54*'🎛️ Premissas'!$B$7</f>
        <v>134843.6</v>
      </c>
      <c r="G56" s="15">
        <f>G52*('🎛️ Premissas'!$B$5+'🎛️ Premissas'!$B$8)+G53*'🎛️ Premissas'!$B$6+G54*'🎛️ Premissas'!$B$7</f>
        <v>159061.5</v>
      </c>
      <c r="H56" s="15">
        <f>H52*('🎛️ Premissas'!$B$5+'🎛️ Premissas'!$B$8)+H53*'🎛️ Premissas'!$B$6+H54*'🎛️ Premissas'!$B$7</f>
        <v>181792.09999999998</v>
      </c>
      <c r="I56" s="15">
        <f>I52*('🎛️ Premissas'!$B$5+'🎛️ Premissas'!$B$8)+I53*'🎛️ Premissas'!$B$6+I54*'🎛️ Premissas'!$B$7</f>
        <v>203215.09999999998</v>
      </c>
      <c r="J56" s="15">
        <f>J52*('🎛️ Premissas'!$B$5+'🎛️ Premissas'!$B$8)+J53*'🎛️ Premissas'!$B$6+J54*'🎛️ Premissas'!$B$7</f>
        <v>223440.30000000002</v>
      </c>
      <c r="K56" s="15">
        <f>K52*('🎛️ Premissas'!$B$5+'🎛️ Premissas'!$B$8)+K53*'🎛️ Premissas'!$B$6+K54*'🎛️ Premissas'!$B$7</f>
        <v>242487.59999999998</v>
      </c>
      <c r="L56" s="15">
        <f>L52*('🎛️ Premissas'!$B$5+'🎛️ Premissas'!$B$8)+L53*'🎛️ Premissas'!$B$6+L54*'🎛️ Premissas'!$B$7</f>
        <v>260436.9</v>
      </c>
      <c r="M56" s="15">
        <f>M52*('🎛️ Premissas'!$B$5+'🎛️ Premissas'!$B$8)+M53*'🎛️ Premissas'!$B$6+M54*'🎛️ Premissas'!$B$7</f>
        <v>277318.09999999998</v>
      </c>
      <c r="N56" s="15">
        <f>N52*('🎛️ Premissas'!$B$5+'🎛️ Premissas'!$B$8)+N53*'🎛️ Premissas'!$B$6+N54*'🎛️ Premissas'!$B$7</f>
        <v>298641.5</v>
      </c>
      <c r="O56" s="15">
        <f>O52*('🎛️ Premissas'!$B$5+'🎛️ Premissas'!$B$8)+O53*'🎛️ Premissas'!$B$6+O54*'🎛️ Premissas'!$B$7</f>
        <v>318767.10000000003</v>
      </c>
      <c r="P56" s="15">
        <f>P52*('🎛️ Premissas'!$B$5+'🎛️ Premissas'!$B$8)+P53*'🎛️ Premissas'!$B$6+P54*'🎛️ Premissas'!$B$7</f>
        <v>337714.8</v>
      </c>
      <c r="Q56" s="15">
        <f>Q52*('🎛️ Premissas'!$B$5+'🎛️ Premissas'!$B$8)+Q53*'🎛️ Premissas'!$B$6+Q54*'🎛️ Premissas'!$B$7</f>
        <v>355614.4</v>
      </c>
      <c r="R56" s="15">
        <f>R52*('🎛️ Premissas'!$B$5+'🎛️ Premissas'!$B$8)+R53*'🎛️ Premissas'!$B$6+R54*'🎛️ Premissas'!$B$7</f>
        <v>372495.79999999993</v>
      </c>
      <c r="S56" s="15">
        <f>S52*('🎛️ Premissas'!$B$5+'🎛️ Premissas'!$B$8)+S53*'🎛️ Premissas'!$B$6+S54*'🎛️ Premissas'!$B$7</f>
        <v>388428.9</v>
      </c>
      <c r="T56" s="15">
        <f>T52*('🎛️ Premissas'!$B$5+'🎛️ Premissas'!$B$8)+T53*'🎛️ Premissas'!$B$6+T54*'🎛️ Premissas'!$B$7</f>
        <v>403453.6</v>
      </c>
      <c r="U56" s="15">
        <f>U52*('🎛️ Premissas'!$B$5+'🎛️ Premissas'!$B$8)+U53*'🎛️ Premissas'!$B$6+U54*'🎛️ Premissas'!$B$7</f>
        <v>417639.80000000005</v>
      </c>
      <c r="V56" s="15">
        <f>V52*('🎛️ Premissas'!$B$5+'🎛️ Premissas'!$B$8)+V53*'🎛️ Premissas'!$B$6+V54*'🎛️ Premissas'!$B$7</f>
        <v>431097.3</v>
      </c>
      <c r="W56" s="15">
        <f>W52*('🎛️ Premissas'!$B$5+'🎛️ Premissas'!$B$8)+W53*'🎛️ Premissas'!$B$6+W54*'🎛️ Premissas'!$B$7</f>
        <v>443826.1</v>
      </c>
      <c r="X56" s="15">
        <f>X52*('🎛️ Premissas'!$B$5+'🎛️ Premissas'!$B$8)+X53*'🎛️ Premissas'!$B$6+X54*'🎛️ Premissas'!$B$7</f>
        <v>455796.2</v>
      </c>
      <c r="Y56" s="15">
        <f>Y52*('🎛️ Premissas'!$B$5+'🎛️ Premissas'!$B$8)+Y53*'🎛️ Premissas'!$B$6+Y54*'🎛️ Premissas'!$B$7</f>
        <v>467197.3</v>
      </c>
      <c r="Z56" s="15"/>
    </row>
    <row r="57" spans="1:26" hidden="1" outlineLevel="2" x14ac:dyDescent="0.2">
      <c r="A57" s="323" t="s">
        <v>243</v>
      </c>
      <c r="B57" s="15">
        <f>B51*('🎛️ Premissas'!$B$17*('🎛️ Premissas'!$B$18*('🎛️ Premissas'!$G$10/1000000)+'🎛️ Premissas'!$B$19*('🎛️ Premissas'!$G$13/1000000))*(1-'🎛️ Premissas'!$B$15)*'🎛️ Premissas'!$B$10*'🎛️ Premissas'!$B$20)+B52*('🎛️ Premissas'!$B$21*('🎛️ Premissas'!$B$22*('🎛️ Premissas'!$B$13/1000000)+'🎛️ Premissas'!$B$23*('🎛️ Premissas'!$B$14/1000000))*(1-'🎛️ Premissas'!$B$15)*'🎛️ Premissas'!$B$10)+B53*(('🎛️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Premissas'!$B$10))+B54*(('🎛️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3295.2113999999997</v>
      </c>
      <c r="C57" s="15">
        <f>C51*('🎛️ Premissas'!$B$17*('🎛️ Premissas'!$B$18*('🎛️ Premissas'!$G$10/1000000)+'🎛️ Premissas'!$B$19*('🎛️ Premissas'!$G$13/1000000))*(1-'🎛️ Premissas'!$B$15)*'🎛️ Premissas'!$B$10*'🎛️ Premissas'!$B$20)+C52*('🎛️ Premissas'!$B$21*('🎛️ Premissas'!$B$22*('🎛️ Premissas'!$B$13/1000000)+'🎛️ Premissas'!$B$23*('🎛️ Premissas'!$B$14/1000000))*(1-'🎛️ Premissas'!$B$15)*'🎛️ Premissas'!$B$10)+C53*(('🎛️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Premissas'!$B$10))+C54*(('🎛️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8052.5359200000003</v>
      </c>
      <c r="D57" s="15">
        <f>D51*('🎛️ Premissas'!$B$17*('🎛️ Premissas'!$B$18*('🎛️ Premissas'!$G$10/1000000)+'🎛️ Premissas'!$B$19*('🎛️ Premissas'!$G$13/1000000))*(1-'🎛️ Premissas'!$B$15)*'🎛️ Premissas'!$B$10*'🎛️ Premissas'!$B$20)+D52*('🎛️ Premissas'!$B$21*('🎛️ Premissas'!$B$22*('🎛️ Premissas'!$B$13/1000000)+'🎛️ Premissas'!$B$23*('🎛️ Premissas'!$B$14/1000000))*(1-'🎛️ Premissas'!$B$15)*'🎛️ Premissas'!$B$10)+D53*(('🎛️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Premissas'!$B$10))+D54*(('🎛️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12535.90026</v>
      </c>
      <c r="E57" s="15">
        <f>E51*('🎛️ Premissas'!$B$17*('🎛️ Premissas'!$B$18*('🎛️ Premissas'!$G$10/1000000)+'🎛️ Premissas'!$B$19*('🎛️ Premissas'!$G$13/1000000))*(1-'🎛️ Premissas'!$B$15)*'🎛️ Premissas'!$B$10*'🎛️ Premissas'!$B$20)+E52*('🎛️ Premissas'!$B$21*('🎛️ Premissas'!$B$22*('🎛️ Premissas'!$B$13/1000000)+'🎛️ Premissas'!$B$23*('🎛️ Premissas'!$B$14/1000000))*(1-'🎛️ Premissas'!$B$15)*'🎛️ Premissas'!$B$10)+E53*(('🎛️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Premissas'!$B$10))+E54*(('🎛️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16756.962299999999</v>
      </c>
      <c r="F57" s="15">
        <f>F51*('🎛️ Premissas'!$B$17*('🎛️ Premissas'!$B$18*('🎛️ Premissas'!$G$10/1000000)+'🎛️ Premissas'!$B$19*('🎛️ Premissas'!$G$13/1000000))*(1-'🎛️ Premissas'!$B$15)*'🎛️ Premissas'!$B$10*'🎛️ Premissas'!$B$20)+F52*('🎛️ Premissas'!$B$21*('🎛️ Premissas'!$B$22*('🎛️ Premissas'!$B$13/1000000)+'🎛️ Premissas'!$B$23*('🎛️ Premissas'!$B$14/1000000))*(1-'🎛️ Premissas'!$B$15)*'🎛️ Premissas'!$B$10)+F53*(('🎛️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Premissas'!$B$10))+F54*(('🎛️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20752.76268</v>
      </c>
      <c r="G57" s="15">
        <f>G51*('🎛️ Premissas'!$B$17*('🎛️ Premissas'!$B$18*('🎛️ Premissas'!$G$10/1000000)+'🎛️ Premissas'!$B$19*('🎛️ Premissas'!$G$13/1000000))*(1-'🎛️ Premissas'!$B$15)*'🎛️ Premissas'!$B$10*'🎛️ Premissas'!$B$20)+G52*('🎛️ Premissas'!$B$21*('🎛️ Premissas'!$B$22*('🎛️ Premissas'!$B$13/1000000)+'🎛️ Premissas'!$B$23*('🎛️ Premissas'!$B$14/1000000))*(1-'🎛️ Premissas'!$B$15)*'🎛️ Premissas'!$B$10)+G53*(('🎛️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Premissas'!$B$10))+G54*(('🎛️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24520.717649999999</v>
      </c>
      <c r="H57" s="15">
        <f>H51*('🎛️ Premissas'!$B$17*('🎛️ Premissas'!$B$18*('🎛️ Premissas'!$G$10/1000000)+'🎛️ Premissas'!$B$19*('🎛️ Premissas'!$G$13/1000000))*(1-'🎛️ Premissas'!$B$15)*'🎛️ Premissas'!$B$10*'🎛️ Premissas'!$B$20)+H52*('🎛️ Premissas'!$B$21*('🎛️ Premissas'!$B$22*('🎛️ Premissas'!$B$13/1000000)+'🎛️ Premissas'!$B$23*('🎛️ Premissas'!$B$14/1000000))*(1-'🎛️ Premissas'!$B$15)*'🎛️ Premissas'!$B$10)+H53*(('🎛️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Premissas'!$B$10))+H54*(('🎛️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28071.968339999999</v>
      </c>
      <c r="I57" s="15">
        <f>I51*('🎛️ Premissas'!$B$17*('🎛️ Premissas'!$B$18*('🎛️ Premissas'!$G$10/1000000)+'🎛️ Premissas'!$B$19*('🎛️ Premissas'!$G$13/1000000))*(1-'🎛️ Premissas'!$B$15)*'🎛️ Premissas'!$B$10*'🎛️ Premissas'!$B$20)+I52*('🎛️ Premissas'!$B$21*('🎛️ Premissas'!$B$22*('🎛️ Premissas'!$B$13/1000000)+'🎛️ Premissas'!$B$23*('🎛️ Premissas'!$B$14/1000000))*(1-'🎛️ Premissas'!$B$15)*'🎛️ Premissas'!$B$10)+I53*(('🎛️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Premissas'!$B$10))+I54*(('🎛️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31432.414260000005</v>
      </c>
      <c r="J57" s="15">
        <f>J51*('🎛️ Premissas'!$B$17*('🎛️ Premissas'!$B$18*('🎛️ Premissas'!$G$10/1000000)+'🎛️ Premissas'!$B$19*('🎛️ Premissas'!$G$13/1000000))*(1-'🎛️ Premissas'!$B$15)*'🎛️ Premissas'!$B$10*'🎛️ Premissas'!$B$20)+J52*('🎛️ Premissas'!$B$21*('🎛️ Premissas'!$B$22*('🎛️ Premissas'!$B$13/1000000)+'🎛️ Premissas'!$B$23*('🎛️ Premissas'!$B$14/1000000))*(1-'🎛️ Premissas'!$B$15)*'🎛️ Premissas'!$B$10)+J53*(('🎛️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Premissas'!$B$10))+J54*(('🎛️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34619.025479999997</v>
      </c>
      <c r="K57" s="15">
        <f>K51*('🎛️ Premissas'!$B$17*('🎛️ Premissas'!$B$18*('🎛️ Premissas'!$G$10/1000000)+'🎛️ Premissas'!$B$19*('🎛️ Premissas'!$G$13/1000000))*(1-'🎛️ Premissas'!$B$15)*'🎛️ Premissas'!$B$10*'🎛️ Premissas'!$B$20)+K52*('🎛️ Premissas'!$B$21*('🎛️ Premissas'!$B$22*('🎛️ Premissas'!$B$13/1000000)+'🎛️ Premissas'!$B$23*('🎛️ Premissas'!$B$14/1000000))*(1-'🎛️ Premissas'!$B$15)*'🎛️ Premissas'!$B$10)+K53*(('🎛️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Premissas'!$B$10))+K54*(('🎛️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37629.218249999998</v>
      </c>
      <c r="L57" s="15">
        <f>L51*('🎛️ Premissas'!$B$17*('🎛️ Premissas'!$B$18*('🎛️ Premissas'!$G$10/1000000)+'🎛️ Premissas'!$B$19*('🎛️ Premissas'!$G$13/1000000))*(1-'🎛️ Premissas'!$B$15)*'🎛️ Premissas'!$B$10*'🎛️ Premissas'!$B$20)+L52*('🎛️ Premissas'!$B$21*('🎛️ Premissas'!$B$22*('🎛️ Premissas'!$B$13/1000000)+'🎛️ Premissas'!$B$23*('🎛️ Premissas'!$B$14/1000000))*(1-'🎛️ Premissas'!$B$15)*'🎛️ Premissas'!$B$10)+L53*(('🎛️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Premissas'!$B$10))+L54*(('🎛️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40477.234199999999</v>
      </c>
      <c r="M57" s="15">
        <f>M51*('🎛️ Premissas'!$B$17*('🎛️ Premissas'!$B$18*('🎛️ Premissas'!$G$10/1000000)+'🎛️ Premissas'!$B$19*('🎛️ Premissas'!$G$13/1000000))*(1-'🎛️ Premissas'!$B$15)*'🎛️ Premissas'!$B$10*'🎛️ Premissas'!$B$20)+M52*('🎛️ Premissas'!$B$21*('🎛️ Premissas'!$B$22*('🎛️ Premissas'!$B$13/1000000)+'🎛️ Premissas'!$B$23*('🎛️ Premissas'!$B$14/1000000))*(1-'🎛️ Premissas'!$B$15)*'🎛️ Premissas'!$B$10)+M53*(('🎛️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Premissas'!$B$10))+M54*(('🎛️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43165.801770000005</v>
      </c>
      <c r="N57" s="15">
        <f>N51*('🎛️ Premissas'!$B$17*('🎛️ Premissas'!$B$18*('🎛️ Premissas'!$G$10/1000000)+'🎛️ Premissas'!$B$19*('🎛️ Premissas'!$G$13/1000000))*(1-'🎛️ Premissas'!$B$15)*'🎛️ Premissas'!$B$10*'🎛️ Premissas'!$B$20)+N52*('🎛️ Premissas'!$B$21*('🎛️ Premissas'!$B$22*('🎛️ Premissas'!$B$13/1000000)+'🎛️ Premissas'!$B$23*('🎛️ Premissas'!$B$14/1000000))*(1-'🎛️ Premissas'!$B$15)*'🎛️ Premissas'!$B$10)+N53*(('🎛️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Premissas'!$B$10))+N54*(('🎛️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46533.482190000002</v>
      </c>
      <c r="O57" s="15">
        <f>O51*('🎛️ Premissas'!$B$17*('🎛️ Premissas'!$B$18*('🎛️ Premissas'!$G$10/1000000)+'🎛️ Premissas'!$B$19*('🎛️ Premissas'!$G$13/1000000))*(1-'🎛️ Premissas'!$B$15)*'🎛️ Premissas'!$B$10*'🎛️ Premissas'!$B$20)+O52*('🎛️ Premissas'!$B$21*('🎛️ Premissas'!$B$22*('🎛️ Premissas'!$B$13/1000000)+'🎛️ Premissas'!$B$23*('🎛️ Premissas'!$B$14/1000000))*(1-'🎛️ Premissas'!$B$15)*'🎛️ Premissas'!$B$10)+O53*(('🎛️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Premissas'!$B$10))+O54*(('🎛️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49727.32791</v>
      </c>
      <c r="P57" s="15">
        <f>P51*('🎛️ Premissas'!$B$17*('🎛️ Premissas'!$B$18*('🎛️ Premissas'!$G$10/1000000)+'🎛️ Premissas'!$B$19*('🎛️ Premissas'!$G$13/1000000))*(1-'🎛️ Premissas'!$B$15)*'🎛️ Premissas'!$B$10*'🎛️ Premissas'!$B$20)+P52*('🎛️ Premissas'!$B$21*('🎛️ Premissas'!$B$22*('🎛️ Premissas'!$B$13/1000000)+'🎛️ Premissas'!$B$23*('🎛️ Premissas'!$B$14/1000000))*(1-'🎛️ Premissas'!$B$15)*'🎛️ Premissas'!$B$10)+P53*(('🎛️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Premissas'!$B$10))+P54*(('🎛️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52744.755180000007</v>
      </c>
      <c r="Q57" s="15">
        <f>Q51*('🎛️ Premissas'!$B$17*('🎛️ Premissas'!$B$18*('🎛️ Premissas'!$G$10/1000000)+'🎛️ Premissas'!$B$19*('🎛️ Premissas'!$G$13/1000000))*(1-'🎛️ Premissas'!$B$15)*'🎛️ Premissas'!$B$10*'🎛️ Premissas'!$B$20)+Q52*('🎛️ Premissas'!$B$21*('🎛️ Premissas'!$B$22*('🎛️ Premissas'!$B$13/1000000)+'🎛️ Premissas'!$B$23*('🎛️ Premissas'!$B$14/1000000))*(1-'🎛️ Premissas'!$B$15)*'🎛️ Premissas'!$B$10)+Q53*(('🎛️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Premissas'!$B$10))+Q54*(('🎛️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55605.834570000006</v>
      </c>
      <c r="R57" s="15">
        <f>R51*('🎛️ Premissas'!$B$17*('🎛️ Premissas'!$B$18*('🎛️ Premissas'!$G$10/1000000)+'🎛️ Premissas'!$B$19*('🎛️ Premissas'!$G$13/1000000))*(1-'🎛️ Premissas'!$B$15)*'🎛️ Premissas'!$B$10*'🎛️ Premissas'!$B$20)+R52*('🎛️ Premissas'!$B$21*('🎛️ Premissas'!$B$22*('🎛️ Premissas'!$B$13/1000000)+'🎛️ Premissas'!$B$23*('🎛️ Premissas'!$B$14/1000000))*(1-'🎛️ Premissas'!$B$15)*'🎛️ Premissas'!$B$10)+R53*(('🎛️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Premissas'!$B$10))+R54*(('🎛️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58313.294520000003</v>
      </c>
      <c r="S57" s="15">
        <f>S51*('🎛️ Premissas'!$B$17*('🎛️ Premissas'!$B$18*('🎛️ Premissas'!$G$10/1000000)+'🎛️ Premissas'!$B$19*('🎛️ Premissas'!$G$13/1000000))*(1-'🎛️ Premissas'!$B$15)*'🎛️ Premissas'!$B$10*'🎛️ Premissas'!$B$20)+S52*('🎛️ Premissas'!$B$21*('🎛️ Premissas'!$B$22*('🎛️ Premissas'!$B$13/1000000)+'🎛️ Premissas'!$B$23*('🎛️ Premissas'!$B$14/1000000))*(1-'🎛️ Premissas'!$B$15)*'🎛️ Premissas'!$B$10)+S53*(('🎛️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Premissas'!$B$10))+S54*(('🎛️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60876.064470000005</v>
      </c>
      <c r="T57" s="15">
        <f>T51*('🎛️ Premissas'!$B$17*('🎛️ Premissas'!$B$18*('🎛️ Premissas'!$G$10/1000000)+'🎛️ Premissas'!$B$19*('🎛️ Premissas'!$G$13/1000000))*(1-'🎛️ Premissas'!$B$15)*'🎛️ Premissas'!$B$10*'🎛️ Premissas'!$B$20)+T52*('🎛️ Premissas'!$B$21*('🎛️ Premissas'!$B$22*('🎛️ Premissas'!$B$13/1000000)+'🎛️ Premissas'!$B$23*('🎛️ Premissas'!$B$14/1000000))*(1-'🎛️ Premissas'!$B$15)*'🎛️ Premissas'!$B$10)+T53*(('🎛️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Premissas'!$B$10))+T54*(('🎛️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63302.18505</v>
      </c>
      <c r="U57" s="15">
        <f>U51*('🎛️ Premissas'!$B$17*('🎛️ Premissas'!$B$18*('🎛️ Premissas'!$G$10/1000000)+'🎛️ Premissas'!$B$19*('🎛️ Premissas'!$G$13/1000000))*(1-'🎛️ Premissas'!$B$15)*'🎛️ Premissas'!$B$10*'🎛️ Premissas'!$B$20)+U52*('🎛️ Premissas'!$B$21*('🎛️ Premissas'!$B$22*('🎛️ Premissas'!$B$13/1000000)+'🎛️ Premissas'!$B$23*('🎛️ Premissas'!$B$14/1000000))*(1-'🎛️ Premissas'!$B$15)*'🎛️ Premissas'!$B$10)+U53*(('🎛️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Premissas'!$B$10))+U54*(('🎛️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65600.585699999996</v>
      </c>
      <c r="V57" s="15">
        <f>V51*('🎛️ Premissas'!$B$17*('🎛️ Premissas'!$B$18*('🎛️ Premissas'!$G$10/1000000)+'🎛️ Premissas'!$B$19*('🎛️ Premissas'!$G$13/1000000))*(1-'🎛️ Premissas'!$B$15)*'🎛️ Premissas'!$B$10*'🎛️ Premissas'!$B$20)+V52*('🎛️ Premissas'!$B$21*('🎛️ Premissas'!$B$22*('🎛️ Premissas'!$B$13/1000000)+'🎛️ Premissas'!$B$23*('🎛️ Premissas'!$B$14/1000000))*(1-'🎛️ Premissas'!$B$15)*'🎛️ Premissas'!$B$10)+V53*(('🎛️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Premissas'!$B$10))+V54*(('🎛️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67788.23649000001</v>
      </c>
      <c r="W57" s="15">
        <f>W51*('🎛️ Premissas'!$B$17*('🎛️ Premissas'!$B$18*('🎛️ Premissas'!$G$10/1000000)+'🎛️ Premissas'!$B$19*('🎛️ Premissas'!$G$13/1000000))*(1-'🎛️ Premissas'!$B$15)*'🎛️ Premissas'!$B$10*'🎛️ Premissas'!$B$20)+W52*('🎛️ Premissas'!$B$21*('🎛️ Premissas'!$B$22*('🎛️ Premissas'!$B$13/1000000)+'🎛️ Premissas'!$B$23*('🎛️ Premissas'!$B$14/1000000))*(1-'🎛️ Premissas'!$B$15)*'🎛️ Premissas'!$B$10)+W53*(('🎛️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Premissas'!$B$10))+W54*(('🎛️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69865.137419999999</v>
      </c>
      <c r="X57" s="15">
        <f>X51*('🎛️ Premissas'!$B$17*('🎛️ Premissas'!$B$18*('🎛️ Premissas'!$G$10/1000000)+'🎛️ Premissas'!$B$19*('🎛️ Premissas'!$G$13/1000000))*(1-'🎛️ Premissas'!$B$15)*'🎛️ Premissas'!$B$10*'🎛️ Premissas'!$B$20)+X52*('🎛️ Premissas'!$B$21*('🎛️ Premissas'!$B$22*('🎛️ Premissas'!$B$13/1000000)+'🎛️ Premissas'!$B$23*('🎛️ Premissas'!$B$14/1000000))*(1-'🎛️ Premissas'!$B$15)*'🎛️ Premissas'!$B$10)+X53*(('🎛️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Premissas'!$B$10))+X54*(('🎛️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71822.875800000009</v>
      </c>
      <c r="Y57" s="15">
        <f>Y51*('🎛️ Premissas'!$B$17*('🎛️ Premissas'!$B$18*('🎛️ Premissas'!$G$10/1000000)+'🎛️ Premissas'!$B$19*('🎛️ Premissas'!$G$13/1000000))*(1-'🎛️ Premissas'!$B$15)*'🎛️ Premissas'!$B$10*'🎛️ Premissas'!$B$20)+Y52*('🎛️ Premissas'!$B$21*('🎛️ Premissas'!$B$22*('🎛️ Premissas'!$B$13/1000000)+'🎛️ Premissas'!$B$23*('🎛️ Premissas'!$B$14/1000000))*(1-'🎛️ Premissas'!$B$15)*'🎛️ Premissas'!$B$10)+Y53*(('🎛️ Premissas'!$B$24*('🎛️ Premissas'!$B$22*('🎛️ Premissas'!$B$13/1000000)+'🎛️ Premissas'!$B$23*('🎛️ Premissas'!$B$14/1000000))*(1-'🎛️ Premissas'!$B$15)*'🎛️ Premissas'!$B$10)+('🎛️ Premissas'!$B$25*('🎛️ Premissas'!$B$26*('🎛️ Premissas'!$B$13/1000000)+'🎛️ Premissas'!$B$27*('🎛️ Premissas'!$B$14/1000000))*(1-'🎛️ Premissas'!$B$15)*'🎛️ Premissas'!$B$10))+Y54*(('🎛️ Premissas'!$B$28*('🎛️ Premissas'!$B$22*('🎛️ Premissas'!$B$13/1000000)+'🎛️ Premissas'!$B$23*('🎛️ Premissas'!$B$14/1000000))*(1-'🎛️ Premissas'!$B$15)*'🎛️ Premissas'!$B$10)+('🎛️ Premissas'!$B$29*('🎛️ Premissas'!$B$26*('🎛️ Premissas'!$B$13/1000000)+'🎛️ Premissas'!$B$27*('🎛️ Premissas'!$B$14/1000000))*(1-'🎛️ Premissas'!$B$15)*'🎛️ Premissas'!$B$10))</f>
        <v>73692.663329999996</v>
      </c>
      <c r="Z57" s="15"/>
    </row>
    <row r="58" spans="1:26" hidden="1" outlineLevel="2" x14ac:dyDescent="0.2">
      <c r="A58" s="323" t="s">
        <v>244</v>
      </c>
      <c r="B58" s="15">
        <f>'🎛️ Premissas'!$B$40+'🎛️ Premissas'!$B$42+'🎛️ Premissas'!$B$44+'🎛️ Premissas'!$B$46</f>
        <v>55000</v>
      </c>
      <c r="C58" s="15">
        <f>'🎛️ Premissas'!$B$40+'🎛️ Premissas'!$B$42+'🎛️ Premissas'!$B$44+'🎛️ Premissas'!$B$46</f>
        <v>55000</v>
      </c>
      <c r="D58" s="15">
        <f>'🎛️ Premissas'!$B$40+'🎛️ Premissas'!$B$42+'🎛️ Premissas'!$B$44+'🎛️ Premissas'!$B$46</f>
        <v>55000</v>
      </c>
      <c r="E58" s="15">
        <f>'🎛️ Premissas'!$B$40+'🎛️ Premissas'!$B$42+'🎛️ Premissas'!$B$44+'🎛️ Premissas'!$B$46</f>
        <v>55000</v>
      </c>
      <c r="F58" s="15">
        <f>'🎛️ Premissas'!$B$40+'🎛️ Premissas'!$B$42+'🎛️ Premissas'!$B$44+'🎛️ Premissas'!$B$46</f>
        <v>55000</v>
      </c>
      <c r="G58" s="15">
        <f>'🎛️ Premissas'!$B$40+'🎛️ Premissas'!$B$42+'🎛️ Premissas'!$B$44+'🎛️ Premissas'!$B$46</f>
        <v>55000</v>
      </c>
      <c r="H58" s="15">
        <f>'🎛️ Premissas'!$B$40+'🎛️ Premissas'!$B$42+'🎛️ Premissas'!$B$44+'🎛️ Premissas'!$B$46</f>
        <v>55000</v>
      </c>
      <c r="I58" s="15">
        <f>'🎛️ Premissas'!$B$40+'🎛️ Premissas'!$B$42+'🎛️ Premissas'!$B$44+'🎛️ Premissas'!$B$46</f>
        <v>55000</v>
      </c>
      <c r="J58" s="15">
        <f>'🎛️ Premissas'!$B$40+'🎛️ Premissas'!$B$42+'🎛️ Premissas'!$B$44+'🎛️ Premissas'!$B$46</f>
        <v>55000</v>
      </c>
      <c r="K58" s="15">
        <f>'🎛️ Premissas'!$B$40+'🎛️ Premissas'!$B$42+'🎛️ Premissas'!$B$44+'🎛️ Premissas'!$B$46</f>
        <v>55000</v>
      </c>
      <c r="L58" s="15">
        <f>'🎛️ Premissas'!$B$40+'🎛️ Premissas'!$B$42+'🎛️ Premissas'!$B$44+'🎛️ Premissas'!$B$46</f>
        <v>55000</v>
      </c>
      <c r="M58" s="15">
        <f>'🎛️ Premissas'!$B$40+'🎛️ Premissas'!$B$42+'🎛️ Premissas'!$B$44+'🎛️ Premissas'!$B$46</f>
        <v>55000</v>
      </c>
      <c r="N58" s="15">
        <f>'🎛️ Premissas'!$B$41+'🎛️ Premissas'!$B$43+'🎛️ Premissas'!$B$45+'🎛️ Premissas'!$B$46</f>
        <v>70000</v>
      </c>
      <c r="O58" s="15">
        <f>'🎛️ Premissas'!$B$41+'🎛️ Premissas'!$B$43+'🎛️ Premissas'!$B$45+'🎛️ Premissas'!$B$46</f>
        <v>70000</v>
      </c>
      <c r="P58" s="15">
        <f>'🎛️ Premissas'!$B$41+'🎛️ Premissas'!$B$43+'🎛️ Premissas'!$B$45+'🎛️ Premissas'!$B$46</f>
        <v>70000</v>
      </c>
      <c r="Q58" s="15">
        <f>'🎛️ Premissas'!$B$41+'🎛️ Premissas'!$B$43+'🎛️ Premissas'!$B$45+'🎛️ Premissas'!$B$46</f>
        <v>70000</v>
      </c>
      <c r="R58" s="15">
        <f>'🎛️ Premissas'!$B$41+'🎛️ Premissas'!$B$43+'🎛️ Premissas'!$B$45+'🎛️ Premissas'!$B$46</f>
        <v>70000</v>
      </c>
      <c r="S58" s="15">
        <f>'🎛️ Premissas'!$B$41+'🎛️ Premissas'!$B$43+'🎛️ Premissas'!$B$45+'🎛️ Premissas'!$B$46</f>
        <v>70000</v>
      </c>
      <c r="T58" s="15">
        <f>'🎛️ Premissas'!$B$41+'🎛️ Premissas'!$B$43+'🎛️ Premissas'!$B$45+'🎛️ Premissas'!$B$46</f>
        <v>70000</v>
      </c>
      <c r="U58" s="15">
        <f>'🎛️ Premissas'!$B$41+'🎛️ Premissas'!$B$43+'🎛️ Premissas'!$B$45+'🎛️ Premissas'!$B$46</f>
        <v>70000</v>
      </c>
      <c r="V58" s="15">
        <f>'🎛️ Premissas'!$B$41+'🎛️ Premissas'!$B$43+'🎛️ Premissas'!$B$45+'🎛️ Premissas'!$B$46</f>
        <v>70000</v>
      </c>
      <c r="W58" s="15">
        <f>'🎛️ Premissas'!$B$41+'🎛️ Premissas'!$B$43+'🎛️ Premissas'!$B$45+'🎛️ Premissas'!$B$46</f>
        <v>70000</v>
      </c>
      <c r="X58" s="15">
        <f>'🎛️ Premissas'!$B$41+'🎛️ Premissas'!$B$43+'🎛️ Premissas'!$B$45+'🎛️ Premissas'!$B$46</f>
        <v>70000</v>
      </c>
      <c r="Y58" s="15">
        <f>'🎛️ Premissas'!$B$41+'🎛️ Premissas'!$B$43+'🎛️ Premissas'!$B$45+'🎛️ Premissas'!$B$46</f>
        <v>70000</v>
      </c>
      <c r="Z58" s="15"/>
    </row>
    <row r="59" spans="1:26" hidden="1" outlineLevel="2" x14ac:dyDescent="0.2">
      <c r="A59" s="323" t="s">
        <v>319</v>
      </c>
      <c r="B59" s="15">
        <f>B56*'🎛️ Premissas'!$B$70</f>
        <v>2803.06</v>
      </c>
      <c r="C59" s="79">
        <f>C56*'🎛️ Premissas'!$B$70</f>
        <v>6838.9620000000004</v>
      </c>
      <c r="D59" s="79">
        <f>D56*'🎛️ Premissas'!$B$70</f>
        <v>10627.018999999998</v>
      </c>
      <c r="E59" s="79">
        <f>E56*'🎛️ Premissas'!$B$70</f>
        <v>14180.205</v>
      </c>
      <c r="F59" s="79">
        <f>F56*'🎛️ Premissas'!$B$70</f>
        <v>17529.668000000001</v>
      </c>
      <c r="G59" s="79">
        <f>G56*'🎛️ Premissas'!$B$70</f>
        <v>20677.994999999999</v>
      </c>
      <c r="H59" s="79">
        <f>H56*'🎛️ Premissas'!$B$70</f>
        <v>23632.972999999998</v>
      </c>
      <c r="I59" s="79">
        <f>I56*'🎛️ Premissas'!$B$70</f>
        <v>26417.962999999996</v>
      </c>
      <c r="J59" s="79">
        <f>J56*'🎛️ Premissas'!$B$70</f>
        <v>29047.239000000005</v>
      </c>
      <c r="K59" s="79">
        <f>K56*'🎛️ Premissas'!$B$70</f>
        <v>31523.387999999999</v>
      </c>
      <c r="L59" s="79">
        <f>L56*'🎛️ Premissas'!$B$70</f>
        <v>33856.796999999999</v>
      </c>
      <c r="M59" s="79">
        <f>M56*'🎛️ Premissas'!$B$70</f>
        <v>36051.352999999996</v>
      </c>
      <c r="N59" s="79">
        <f>N56*'🎛️ Premissas'!$B$70</f>
        <v>38823.395000000004</v>
      </c>
      <c r="O59" s="79">
        <f>O56*'🎛️ Premissas'!$B$70</f>
        <v>41439.723000000005</v>
      </c>
      <c r="P59" s="79">
        <f>P56*'🎛️ Premissas'!$B$70</f>
        <v>43902.923999999999</v>
      </c>
      <c r="Q59" s="79">
        <f>Q56*'🎛️ Premissas'!$B$70</f>
        <v>46229.872000000003</v>
      </c>
      <c r="R59" s="79">
        <f>R56*'🎛️ Premissas'!$B$70</f>
        <v>48424.453999999991</v>
      </c>
      <c r="S59" s="79">
        <f>S56*'🎛️ Premissas'!$B$70</f>
        <v>50495.757000000005</v>
      </c>
      <c r="T59" s="79">
        <f>T56*'🎛️ Premissas'!$B$70</f>
        <v>52448.968000000001</v>
      </c>
      <c r="U59" s="79">
        <f>U56*'🎛️ Premissas'!$B$70</f>
        <v>54293.174000000006</v>
      </c>
      <c r="V59" s="79">
        <f>V56*'🎛️ Premissas'!$B$70</f>
        <v>56042.648999999998</v>
      </c>
      <c r="W59" s="79">
        <f>W56*'🎛️ Premissas'!$B$70</f>
        <v>57697.392999999996</v>
      </c>
      <c r="X59" s="79">
        <f>X56*'🎛️ Premissas'!$B$70</f>
        <v>59253.506000000001</v>
      </c>
      <c r="Y59" s="79">
        <f>Y56*'🎛️ Premissas'!$B$70</f>
        <v>60735.648999999998</v>
      </c>
      <c r="Z59" s="15"/>
    </row>
    <row r="60" spans="1:26" hidden="1" outlineLevel="2" x14ac:dyDescent="0.2">
      <c r="A60" s="323" t="s">
        <v>263</v>
      </c>
      <c r="B60" s="15">
        <f t="shared" ref="B60:Y60" si="1">B56-B57-B58-B59</f>
        <v>-39536.271399999998</v>
      </c>
      <c r="C60" s="79">
        <f t="shared" si="1"/>
        <v>-17284.09792</v>
      </c>
      <c r="D60" s="79">
        <f t="shared" si="1"/>
        <v>3583.3807399999951</v>
      </c>
      <c r="E60" s="79">
        <f t="shared" si="1"/>
        <v>23141.332699999999</v>
      </c>
      <c r="F60" s="79">
        <f t="shared" si="1"/>
        <v>41561.169320000001</v>
      </c>
      <c r="G60" s="79">
        <f t="shared" si="1"/>
        <v>58862.787349999999</v>
      </c>
      <c r="H60" s="79">
        <f t="shared" si="1"/>
        <v>75087.158659999986</v>
      </c>
      <c r="I60" s="79">
        <f t="shared" si="1"/>
        <v>90364.722739999997</v>
      </c>
      <c r="J60" s="79">
        <f t="shared" si="1"/>
        <v>104774.03552000003</v>
      </c>
      <c r="K60" s="79">
        <f t="shared" si="1"/>
        <v>118334.99374999997</v>
      </c>
      <c r="L60" s="79">
        <f t="shared" si="1"/>
        <v>131102.8688</v>
      </c>
      <c r="M60" s="79">
        <f t="shared" si="1"/>
        <v>143100.94522999995</v>
      </c>
      <c r="N60" s="79">
        <f t="shared" si="1"/>
        <v>143284.62280999997</v>
      </c>
      <c r="O60" s="79">
        <f t="shared" si="1"/>
        <v>157600.04909000004</v>
      </c>
      <c r="P60" s="79">
        <f t="shared" si="1"/>
        <v>171067.12081999995</v>
      </c>
      <c r="Q60" s="79">
        <f t="shared" si="1"/>
        <v>183778.69343000001</v>
      </c>
      <c r="R60" s="79">
        <f t="shared" si="1"/>
        <v>195758.05147999994</v>
      </c>
      <c r="S60" s="79">
        <f t="shared" si="1"/>
        <v>207057.07853000003</v>
      </c>
      <c r="T60" s="79">
        <f t="shared" si="1"/>
        <v>217702.44695000001</v>
      </c>
      <c r="U60" s="79">
        <f t="shared" si="1"/>
        <v>227746.04030000005</v>
      </c>
      <c r="V60" s="79">
        <f t="shared" si="1"/>
        <v>237266.41451</v>
      </c>
      <c r="W60" s="79">
        <f t="shared" si="1"/>
        <v>246263.56958000001</v>
      </c>
      <c r="X60" s="79">
        <f t="shared" si="1"/>
        <v>254719.81820000004</v>
      </c>
      <c r="Y60" s="79">
        <f t="shared" si="1"/>
        <v>262768.98767</v>
      </c>
      <c r="Z60" s="15"/>
    </row>
    <row r="61" spans="1:26" hidden="1" outlineLevel="2" x14ac:dyDescent="0.2">
      <c r="A61" s="323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idden="1" outlineLevel="2" x14ac:dyDescent="0.2">
      <c r="A62" s="323" t="s">
        <v>321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idden="1" outlineLevel="2" x14ac:dyDescent="0.2">
      <c r="A63" s="323" t="s">
        <v>317</v>
      </c>
      <c r="B63" s="15">
        <f>'🎛️ Premissas'!$B$64</f>
        <v>2000</v>
      </c>
      <c r="C63" s="79">
        <f>'🎛️ Premissas'!$C$31</f>
        <v>3500</v>
      </c>
      <c r="D63" s="79">
        <f>'🎛️ Premissas'!$C$31</f>
        <v>3500</v>
      </c>
      <c r="E63" s="79">
        <f>'🎛️ Premissas'!$C$31</f>
        <v>3500</v>
      </c>
      <c r="F63" s="79">
        <f>'🎛️ Premissas'!$C$31</f>
        <v>3500</v>
      </c>
      <c r="G63" s="79">
        <f>'🎛️ Premissas'!$C$31</f>
        <v>3500</v>
      </c>
      <c r="H63" s="79">
        <f>'🎛️ Premissas'!$C$31</f>
        <v>3500</v>
      </c>
      <c r="I63" s="79">
        <f>'🎛️ Premissas'!$C$31</f>
        <v>3500</v>
      </c>
      <c r="J63" s="79">
        <f>'🎛️ Premissas'!$C$31</f>
        <v>3500</v>
      </c>
      <c r="K63" s="79">
        <f>'🎛️ Premissas'!$C$31</f>
        <v>3500</v>
      </c>
      <c r="L63" s="79">
        <f>'🎛️ Premissas'!$C$31</f>
        <v>3500</v>
      </c>
      <c r="M63" s="79">
        <f>'🎛️ Premissas'!$C$31</f>
        <v>3500</v>
      </c>
      <c r="N63" s="79">
        <f>'🎛️ Premissas'!$C$32</f>
        <v>4000</v>
      </c>
      <c r="O63" s="79">
        <f>'🎛️ Premissas'!$C$32</f>
        <v>4000</v>
      </c>
      <c r="P63" s="79">
        <f>'🎛️ Premissas'!$C$32</f>
        <v>4000</v>
      </c>
      <c r="Q63" s="79">
        <f>'🎛️ Premissas'!$C$32</f>
        <v>4000</v>
      </c>
      <c r="R63" s="79">
        <f>'🎛️ Premissas'!$C$32</f>
        <v>4000</v>
      </c>
      <c r="S63" s="79">
        <f>'🎛️ Premissas'!$C$32</f>
        <v>4000</v>
      </c>
      <c r="T63" s="79">
        <f>'🎛️ Premissas'!$C$32</f>
        <v>4000</v>
      </c>
      <c r="U63" s="79">
        <f>'🎛️ Premissas'!$C$32</f>
        <v>4000</v>
      </c>
      <c r="V63" s="79">
        <f>'🎛️ Premissas'!$C$32</f>
        <v>4000</v>
      </c>
      <c r="W63" s="79">
        <f>'🎛️ Premissas'!$C$32</f>
        <v>4000</v>
      </c>
      <c r="X63" s="79">
        <f>'🎛️ Premissas'!$C$32</f>
        <v>4000</v>
      </c>
      <c r="Y63" s="79">
        <f>'🎛️ Premissas'!$C$32</f>
        <v>4000</v>
      </c>
      <c r="Z63" s="15"/>
    </row>
    <row r="64" spans="1:26" hidden="1" outlineLevel="2" x14ac:dyDescent="0.2">
      <c r="A64" s="323" t="s">
        <v>240</v>
      </c>
      <c r="B64" s="15">
        <f>ROUND(B63*'🎛️ Premissas'!$C$33,0)</f>
        <v>300</v>
      </c>
      <c r="C64" s="15">
        <f>ROUND(B64*(1-'🎛️ Premissas'!$C$36)+C63*'🎛️ Premissas'!$C$33,0)</f>
        <v>804</v>
      </c>
      <c r="D64" s="15">
        <f>ROUND(C64*(1-'🎛️ Premissas'!$C$36)+D63*'🎛️ Premissas'!$C$33,0)</f>
        <v>1273</v>
      </c>
      <c r="E64" s="15">
        <f>ROUND(D64*(1-'🎛️ Premissas'!$C$36)+E63*'🎛️ Premissas'!$C$33,0)</f>
        <v>1709</v>
      </c>
      <c r="F64" s="15">
        <f>ROUND(E64*(1-'🎛️ Premissas'!$C$36)+F63*'🎛️ Premissas'!$C$33,0)</f>
        <v>2114</v>
      </c>
      <c r="G64" s="15">
        <f>ROUND(F64*(1-'🎛️ Premissas'!$C$36)+G63*'🎛️ Premissas'!$C$33,0)</f>
        <v>2491</v>
      </c>
      <c r="H64" s="15">
        <f>ROUND(G64*(1-'🎛️ Premissas'!$C$36)+H63*'🎛️ Premissas'!$C$33,0)</f>
        <v>2842</v>
      </c>
      <c r="I64" s="15">
        <f>ROUND(H64*(1-'🎛️ Premissas'!$C$36)+I63*'🎛️ Premissas'!$C$33,0)</f>
        <v>3168</v>
      </c>
      <c r="J64" s="15">
        <f>ROUND(I64*(1-'🎛️ Premissas'!$C$36)+J63*'🎛️ Premissas'!$C$33,0)</f>
        <v>3471</v>
      </c>
      <c r="K64" s="15">
        <f>ROUND(J64*(1-'🎛️ Premissas'!$C$36)+K63*'🎛️ Premissas'!$C$33,0)</f>
        <v>3753</v>
      </c>
      <c r="L64" s="15">
        <f>ROUND(K64*(1-'🎛️ Premissas'!$C$36)+L63*'🎛️ Premissas'!$C$33,0)</f>
        <v>4015</v>
      </c>
      <c r="M64" s="15">
        <f>ROUND(L64*(1-'🎛️ Premissas'!$C$36)+M63*'🎛️ Premissas'!$C$33,0)</f>
        <v>4259</v>
      </c>
      <c r="N64" s="15">
        <f>ROUND(M64*(1-'🎛️ Premissas'!$C$36)+N63*'🎛️ Premissas'!$C$33,0)</f>
        <v>4561</v>
      </c>
      <c r="O64" s="15">
        <f>ROUND(N64*(1-'🎛️ Premissas'!$C$36)+O63*'🎛️ Premissas'!$C$33,0)</f>
        <v>4842</v>
      </c>
      <c r="P64" s="15">
        <f>ROUND(O64*(1-'🎛️ Premissas'!$C$36)+P63*'🎛️ Premissas'!$C$33,0)</f>
        <v>5103</v>
      </c>
      <c r="Q64" s="15">
        <f>ROUND(P64*(1-'🎛️ Premissas'!$C$36)+Q63*'🎛️ Premissas'!$C$33,0)</f>
        <v>5346</v>
      </c>
      <c r="R64" s="15">
        <f>ROUND(Q64*(1-'🎛️ Premissas'!$C$36)+R63*'🎛️ Premissas'!$C$33,0)</f>
        <v>5572</v>
      </c>
      <c r="S64" s="15">
        <f>ROUND(R64*(1-'🎛️ Premissas'!$C$36)+S63*'🎛️ Premissas'!$C$33,0)</f>
        <v>5782</v>
      </c>
      <c r="T64" s="15">
        <f>ROUND(S64*(1-'🎛️ Premissas'!$C$36)+T63*'🎛️ Premissas'!$C$33,0)</f>
        <v>5977</v>
      </c>
      <c r="U64" s="15">
        <f>ROUND(T64*(1-'🎛️ Premissas'!$C$36)+U63*'🎛️ Premissas'!$C$33,0)</f>
        <v>6159</v>
      </c>
      <c r="V64" s="15">
        <f>ROUND(U64*(1-'🎛️ Premissas'!$C$36)+V63*'🎛️ Premissas'!$C$33,0)</f>
        <v>6328</v>
      </c>
      <c r="W64" s="15">
        <f>ROUND(V64*(1-'🎛️ Premissas'!$C$36)+W63*'🎛️ Premissas'!$C$33,0)</f>
        <v>6485</v>
      </c>
      <c r="X64" s="15">
        <f>ROUND(W64*(1-'🎛️ Premissas'!$C$36)+X63*'🎛️ Premissas'!$C$33,0)</f>
        <v>6631</v>
      </c>
      <c r="Y64" s="15">
        <f>ROUND(X64*(1-'🎛️ Premissas'!$C$36)+Y63*'🎛️ Premissas'!$C$33,0)</f>
        <v>6767</v>
      </c>
      <c r="Z64" s="15"/>
    </row>
    <row r="65" spans="1:26" hidden="1" outlineLevel="2" x14ac:dyDescent="0.2">
      <c r="A65" s="323" t="s">
        <v>241</v>
      </c>
      <c r="B65" s="15">
        <f>ROUND(B63*'🎛️ Premissas'!$C$34,0)</f>
        <v>140</v>
      </c>
      <c r="C65" s="15">
        <f>ROUND(B65*(1-'🎛️ Premissas'!$C$37)+C63*'🎛️ Premissas'!$C$34,0)</f>
        <v>378</v>
      </c>
      <c r="D65" s="15">
        <f>ROUND(C65*(1-'🎛️ Premissas'!$C$37)+D63*'🎛️ Premissas'!$C$34,0)</f>
        <v>604</v>
      </c>
      <c r="E65" s="15">
        <f>ROUND(D65*(1-'🎛️ Premissas'!$C$37)+E63*'🎛️ Premissas'!$C$34,0)</f>
        <v>819</v>
      </c>
      <c r="F65" s="15">
        <f>ROUND(E65*(1-'🎛️ Premissas'!$C$37)+F63*'🎛️ Premissas'!$C$34,0)</f>
        <v>1023</v>
      </c>
      <c r="G65" s="15">
        <f>ROUND(F65*(1-'🎛️ Premissas'!$C$37)+G63*'🎛️ Premissas'!$C$34,0)</f>
        <v>1217</v>
      </c>
      <c r="H65" s="15">
        <f>ROUND(G65*(1-'🎛️ Premissas'!$C$37)+H63*'🎛️ Premissas'!$C$34,0)</f>
        <v>1401</v>
      </c>
      <c r="I65" s="15">
        <f>ROUND(H65*(1-'🎛️ Premissas'!$C$37)+I63*'🎛️ Premissas'!$C$34,0)</f>
        <v>1576</v>
      </c>
      <c r="J65" s="15">
        <f>ROUND(I65*(1-'🎛️ Premissas'!$C$37)+J63*'🎛️ Premissas'!$C$34,0)</f>
        <v>1742</v>
      </c>
      <c r="K65" s="15">
        <f>ROUND(J65*(1-'🎛️ Premissas'!$C$37)+K63*'🎛️ Premissas'!$C$34,0)</f>
        <v>1900</v>
      </c>
      <c r="L65" s="15">
        <f>ROUND(K65*(1-'🎛️ Premissas'!$C$37)+L63*'🎛️ Premissas'!$C$34,0)</f>
        <v>2050</v>
      </c>
      <c r="M65" s="15">
        <f>ROUND(L65*(1-'🎛️ Premissas'!$C$37)+M63*'🎛️ Premissas'!$C$34,0)</f>
        <v>2193</v>
      </c>
      <c r="N65" s="15">
        <f>ROUND(M65*(1-'🎛️ Premissas'!$C$37)+N63*'🎛️ Premissas'!$C$34,0)</f>
        <v>2363</v>
      </c>
      <c r="O65" s="15">
        <f>ROUND(N65*(1-'🎛️ Premissas'!$C$37)+O63*'🎛️ Premissas'!$C$34,0)</f>
        <v>2525</v>
      </c>
      <c r="P65" s="15">
        <f>ROUND(O65*(1-'🎛️ Premissas'!$C$37)+P63*'🎛️ Premissas'!$C$34,0)</f>
        <v>2679</v>
      </c>
      <c r="Q65" s="15">
        <f>ROUND(P65*(1-'🎛️ Premissas'!$C$37)+Q63*'🎛️ Premissas'!$C$34,0)</f>
        <v>2825</v>
      </c>
      <c r="R65" s="15">
        <f>ROUND(Q65*(1-'🎛️ Premissas'!$C$37)+R63*'🎛️ Premissas'!$C$34,0)</f>
        <v>2964</v>
      </c>
      <c r="S65" s="15">
        <f>ROUND(R65*(1-'🎛️ Premissas'!$C$37)+S63*'🎛️ Premissas'!$C$34,0)</f>
        <v>3096</v>
      </c>
      <c r="T65" s="15">
        <f>ROUND(S65*(1-'🎛️ Premissas'!$C$37)+T63*'🎛️ Premissas'!$C$34,0)</f>
        <v>3221</v>
      </c>
      <c r="U65" s="15">
        <f>ROUND(T65*(1-'🎛️ Premissas'!$C$37)+U63*'🎛️ Premissas'!$C$34,0)</f>
        <v>3340</v>
      </c>
      <c r="V65" s="15">
        <f>ROUND(U65*(1-'🎛️ Premissas'!$C$37)+V63*'🎛️ Premissas'!$C$34,0)</f>
        <v>3453</v>
      </c>
      <c r="W65" s="15">
        <f>ROUND(V65*(1-'🎛️ Premissas'!$C$37)+W63*'🎛️ Premissas'!$C$34,0)</f>
        <v>3560</v>
      </c>
      <c r="X65" s="15">
        <f>ROUND(W65*(1-'🎛️ Premissas'!$C$37)+X63*'🎛️ Premissas'!$C$34,0)</f>
        <v>3662</v>
      </c>
      <c r="Y65" s="15">
        <f>ROUND(X65*(1-'🎛️ Premissas'!$C$37)+Y63*'🎛️ Premissas'!$C$34,0)</f>
        <v>3759</v>
      </c>
      <c r="Z65" s="15"/>
    </row>
    <row r="66" spans="1:26" hidden="1" outlineLevel="2" x14ac:dyDescent="0.2">
      <c r="A66" s="323" t="s">
        <v>242</v>
      </c>
      <c r="B66" s="15">
        <f>ROUND(B63*'🎛️ Premissas'!$C$35,0)</f>
        <v>60</v>
      </c>
      <c r="C66" s="15">
        <f>ROUND(B66*(1-'🎛️ Premissas'!$C$38)+C63*'🎛️ Premissas'!$C$35,0)</f>
        <v>163</v>
      </c>
      <c r="D66" s="15">
        <f>ROUND(C66*(1-'🎛️ Premissas'!$C$38)+D63*'🎛️ Premissas'!$C$35,0)</f>
        <v>263</v>
      </c>
      <c r="E66" s="15">
        <f>ROUND(D66*(1-'🎛️ Premissas'!$C$38)+E63*'🎛️ Premissas'!$C$35,0)</f>
        <v>360</v>
      </c>
      <c r="F66" s="15">
        <f>ROUND(E66*(1-'🎛️ Premissas'!$C$38)+F63*'🎛️ Premissas'!$C$35,0)</f>
        <v>454</v>
      </c>
      <c r="G66" s="15">
        <f>ROUND(F66*(1-'🎛️ Premissas'!$C$38)+G63*'🎛️ Premissas'!$C$35,0)</f>
        <v>545</v>
      </c>
      <c r="H66" s="15">
        <f>ROUND(G66*(1-'🎛️ Premissas'!$C$38)+H63*'🎛️ Premissas'!$C$35,0)</f>
        <v>634</v>
      </c>
      <c r="I66" s="15">
        <f>ROUND(H66*(1-'🎛️ Premissas'!$C$38)+I63*'🎛️ Premissas'!$C$35,0)</f>
        <v>720</v>
      </c>
      <c r="J66" s="15">
        <f>ROUND(I66*(1-'🎛️ Premissas'!$C$38)+J63*'🎛️ Premissas'!$C$35,0)</f>
        <v>803</v>
      </c>
      <c r="K66" s="15">
        <f>ROUND(J66*(1-'🎛️ Premissas'!$C$38)+K63*'🎛️ Premissas'!$C$35,0)</f>
        <v>884</v>
      </c>
      <c r="L66" s="15">
        <f>ROUND(K66*(1-'🎛️ Premissas'!$C$38)+L63*'🎛️ Premissas'!$C$35,0)</f>
        <v>962</v>
      </c>
      <c r="M66" s="15">
        <f>ROUND(L66*(1-'🎛️ Premissas'!$C$38)+M63*'🎛️ Premissas'!$C$35,0)</f>
        <v>1038</v>
      </c>
      <c r="N66" s="15">
        <f>ROUND(M66*(1-'🎛️ Premissas'!$C$38)+N63*'🎛️ Premissas'!$C$35,0)</f>
        <v>1127</v>
      </c>
      <c r="O66" s="15">
        <f>ROUND(N66*(1-'🎛️ Premissas'!$C$38)+O63*'🎛️ Premissas'!$C$35,0)</f>
        <v>1213</v>
      </c>
      <c r="P66" s="15">
        <f>ROUND(O66*(1-'🎛️ Premissas'!$C$38)+P63*'🎛️ Premissas'!$C$35,0)</f>
        <v>1297</v>
      </c>
      <c r="Q66" s="15">
        <f>ROUND(P66*(1-'🎛️ Premissas'!$C$38)+Q63*'🎛️ Premissas'!$C$35,0)</f>
        <v>1378</v>
      </c>
      <c r="R66" s="15">
        <f>ROUND(Q66*(1-'🎛️ Premissas'!$C$38)+R63*'🎛️ Premissas'!$C$35,0)</f>
        <v>1457</v>
      </c>
      <c r="S66" s="15">
        <f>ROUND(R66*(1-'🎛️ Premissas'!$C$38)+S63*'🎛️ Premissas'!$C$35,0)</f>
        <v>1533</v>
      </c>
      <c r="T66" s="15">
        <f>ROUND(S66*(1-'🎛️ Premissas'!$C$38)+T63*'🎛️ Premissas'!$C$35,0)</f>
        <v>1607</v>
      </c>
      <c r="U66" s="15">
        <f>ROUND(T66*(1-'🎛️ Premissas'!$C$38)+U63*'🎛️ Premissas'!$C$35,0)</f>
        <v>1679</v>
      </c>
      <c r="V66" s="15">
        <f>ROUND(U66*(1-'🎛️ Premissas'!$C$38)+V63*'🎛️ Premissas'!$C$35,0)</f>
        <v>1749</v>
      </c>
      <c r="W66" s="15">
        <f>ROUND(V66*(1-'🎛️ Premissas'!$C$38)+W63*'🎛️ Premissas'!$C$35,0)</f>
        <v>1817</v>
      </c>
      <c r="X66" s="15">
        <f>ROUND(W66*(1-'🎛️ Premissas'!$C$38)+X63*'🎛️ Premissas'!$C$35,0)</f>
        <v>1882</v>
      </c>
      <c r="Y66" s="15">
        <f>ROUND(X66*(1-'🎛️ Premissas'!$C$38)+Y63*'🎛️ Premissas'!$C$35,0)</f>
        <v>1946</v>
      </c>
      <c r="Z66" s="15"/>
    </row>
    <row r="67" spans="1:26" hidden="1" outlineLevel="2" x14ac:dyDescent="0.2">
      <c r="A67" s="323" t="s">
        <v>233</v>
      </c>
      <c r="B67" s="15">
        <f t="shared" ref="B67:Y67" si="2">SUM(B64:B66)</f>
        <v>500</v>
      </c>
      <c r="C67" s="79">
        <f t="shared" si="2"/>
        <v>1345</v>
      </c>
      <c r="D67" s="79">
        <f t="shared" si="2"/>
        <v>2140</v>
      </c>
      <c r="E67" s="79">
        <f t="shared" si="2"/>
        <v>2888</v>
      </c>
      <c r="F67" s="79">
        <f t="shared" si="2"/>
        <v>3591</v>
      </c>
      <c r="G67" s="79">
        <f t="shared" si="2"/>
        <v>4253</v>
      </c>
      <c r="H67" s="79">
        <f t="shared" si="2"/>
        <v>4877</v>
      </c>
      <c r="I67" s="79">
        <f t="shared" si="2"/>
        <v>5464</v>
      </c>
      <c r="J67" s="79">
        <f t="shared" si="2"/>
        <v>6016</v>
      </c>
      <c r="K67" s="79">
        <f t="shared" si="2"/>
        <v>6537</v>
      </c>
      <c r="L67" s="79">
        <f t="shared" si="2"/>
        <v>7027</v>
      </c>
      <c r="M67" s="79">
        <f t="shared" si="2"/>
        <v>7490</v>
      </c>
      <c r="N67" s="79">
        <f t="shared" si="2"/>
        <v>8051</v>
      </c>
      <c r="O67" s="79">
        <f t="shared" si="2"/>
        <v>8580</v>
      </c>
      <c r="P67" s="79">
        <f t="shared" si="2"/>
        <v>9079</v>
      </c>
      <c r="Q67" s="79">
        <f t="shared" si="2"/>
        <v>9549</v>
      </c>
      <c r="R67" s="79">
        <f t="shared" si="2"/>
        <v>9993</v>
      </c>
      <c r="S67" s="79">
        <f t="shared" si="2"/>
        <v>10411</v>
      </c>
      <c r="T67" s="79">
        <f t="shared" si="2"/>
        <v>10805</v>
      </c>
      <c r="U67" s="79">
        <f t="shared" si="2"/>
        <v>11178</v>
      </c>
      <c r="V67" s="79">
        <f t="shared" si="2"/>
        <v>11530</v>
      </c>
      <c r="W67" s="79">
        <f t="shared" si="2"/>
        <v>11862</v>
      </c>
      <c r="X67" s="79">
        <f t="shared" si="2"/>
        <v>12175</v>
      </c>
      <c r="Y67" s="79">
        <f t="shared" si="2"/>
        <v>12472</v>
      </c>
      <c r="Z67" s="15"/>
    </row>
    <row r="68" spans="1:26" hidden="1" outlineLevel="2" x14ac:dyDescent="0.2">
      <c r="A68" s="323" t="s">
        <v>234</v>
      </c>
      <c r="B68" s="15">
        <f>B64*('🎛️ Premissas'!$C$5+'🎛️ Premissas'!$C$8)+B65*'🎛️ Premissas'!$C$6+B66*'🎛️ Premissas'!$C$7</f>
        <v>28150</v>
      </c>
      <c r="C68" s="15">
        <f>C64*('🎛️ Premissas'!$C$5+'🎛️ Premissas'!$C$8)+C65*'🎛️ Premissas'!$C$6+C66*'🎛️ Premissas'!$C$7</f>
        <v>75785.5</v>
      </c>
      <c r="D68" s="15">
        <f>D64*('🎛️ Premissas'!$C$5+'🎛️ Premissas'!$C$8)+D65*'🎛️ Premissas'!$C$6+D66*'🎛️ Premissas'!$C$7</f>
        <v>120715.99999999999</v>
      </c>
      <c r="E68" s="15">
        <f>E64*('🎛️ Premissas'!$C$5+'🎛️ Premissas'!$C$8)+E65*'🎛️ Premissas'!$C$6+E66*'🎛️ Premissas'!$C$7</f>
        <v>163101.19999999998</v>
      </c>
      <c r="F68" s="15">
        <f>F64*('🎛️ Premissas'!$C$5+'🎛️ Premissas'!$C$8)+F65*'🎛️ Premissas'!$C$6+F66*'🎛️ Premissas'!$C$7</f>
        <v>203040.9</v>
      </c>
      <c r="G68" s="15">
        <f>G64*('🎛️ Premissas'!$C$5+'🎛️ Premissas'!$C$8)+G65*'🎛️ Premissas'!$C$6+G66*'🎛️ Premissas'!$C$7</f>
        <v>240744.7</v>
      </c>
      <c r="H68" s="15">
        <f>H64*('🎛️ Premissas'!$C$5+'🎛️ Premissas'!$C$8)+H65*'🎛️ Premissas'!$C$6+H66*'🎛️ Premissas'!$C$7</f>
        <v>276392.3</v>
      </c>
      <c r="I68" s="15">
        <f>I64*('🎛️ Premissas'!$C$5+'🎛️ Premissas'!$C$8)+I65*'🎛️ Premissas'!$C$6+I66*'🎛️ Premissas'!$C$7</f>
        <v>310013.59999999998</v>
      </c>
      <c r="J68" s="15">
        <f>J64*('🎛️ Premissas'!$C$5+'🎛️ Premissas'!$C$8)+J65*'🎛️ Premissas'!$C$6+J66*'🎛️ Premissas'!$C$7</f>
        <v>341708.4</v>
      </c>
      <c r="K68" s="15">
        <f>K64*('🎛️ Premissas'!$C$5+'🎛️ Premissas'!$C$8)+K65*'🎛️ Premissas'!$C$6+K66*'🎛️ Premissas'!$C$7</f>
        <v>371716.29999999993</v>
      </c>
      <c r="L68" s="15">
        <f>L64*('🎛️ Premissas'!$C$5+'🎛️ Premissas'!$C$8)+L65*'🎛️ Premissas'!$C$6+L66*'🎛️ Premissas'!$C$7</f>
        <v>400007.3</v>
      </c>
      <c r="M68" s="15">
        <f>M64*('🎛️ Premissas'!$C$5+'🎛️ Premissas'!$C$8)+M65*'🎛️ Premissas'!$C$6+M66*'🎛️ Premissas'!$C$7</f>
        <v>426821</v>
      </c>
      <c r="N68" s="15">
        <f>N64*('🎛️ Premissas'!$C$5+'🎛️ Premissas'!$C$8)+N65*'🎛️ Premissas'!$C$6+N66*'🎛️ Premissas'!$C$7</f>
        <v>459184.89999999997</v>
      </c>
      <c r="O68" s="15">
        <f>O64*('🎛️ Premissas'!$C$5+'🎛️ Premissas'!$C$8)+O65*'🎛️ Premissas'!$C$6+O66*'🎛️ Premissas'!$C$7</f>
        <v>489782</v>
      </c>
      <c r="P68" s="15">
        <f>P64*('🎛️ Premissas'!$C$5+'🎛️ Premissas'!$C$8)+P65*'🎛️ Premissas'!$C$6+P66*'🎛️ Premissas'!$C$7</f>
        <v>518742.1</v>
      </c>
      <c r="Q68" s="15">
        <f>Q64*('🎛️ Premissas'!$C$5+'🎛️ Premissas'!$C$8)+Q65*'🎛️ Premissas'!$C$6+Q66*'🎛️ Premissas'!$C$7</f>
        <v>546085.1</v>
      </c>
      <c r="R68" s="15">
        <f>R64*('🎛️ Premissas'!$C$5+'🎛️ Premissas'!$C$8)+R65*'🎛️ Premissas'!$C$6+R66*'🎛️ Premissas'!$C$7</f>
        <v>572000.70000000007</v>
      </c>
      <c r="S68" s="15">
        <f>S64*('🎛️ Premissas'!$C$5+'🎛️ Premissas'!$C$8)+S65*'🎛️ Premissas'!$C$6+S66*'🎛️ Premissas'!$C$7</f>
        <v>596458.89999999991</v>
      </c>
      <c r="T68" s="15">
        <f>T64*('🎛️ Premissas'!$C$5+'🎛️ Premissas'!$C$8)+T65*'🎛️ Premissas'!$C$6+T66*'🎛️ Premissas'!$C$7</f>
        <v>619589.5</v>
      </c>
      <c r="U68" s="15">
        <f>U64*('🎛️ Premissas'!$C$5+'🎛️ Premissas'!$C$8)+U65*'🎛️ Premissas'!$C$6+U66*'🎛️ Premissas'!$C$7</f>
        <v>641552.19999999995</v>
      </c>
      <c r="V68" s="15">
        <f>V64*('🎛️ Premissas'!$C$5+'🎛️ Premissas'!$C$8)+V65*'🎛️ Premissas'!$C$6+V66*'🎛️ Premissas'!$C$7</f>
        <v>662347</v>
      </c>
      <c r="W68" s="15">
        <f>W64*('🎛️ Premissas'!$C$5+'🎛️ Premissas'!$C$8)+W65*'🎛️ Premissas'!$C$6+W66*'🎛️ Premissas'!$C$7</f>
        <v>682023.8</v>
      </c>
      <c r="X68" s="15">
        <f>X64*('🎛️ Premissas'!$C$5+'🎛️ Premissas'!$C$8)+X65*'🎛️ Premissas'!$C$6+X66*'🎛️ Premissas'!$C$7</f>
        <v>700612.5</v>
      </c>
      <c r="Y68" s="15">
        <f>Y64*('🎛️ Premissas'!$C$5+'🎛️ Premissas'!$C$8)+Y65*'🎛️ Premissas'!$C$6+Y66*'🎛️ Premissas'!$C$7</f>
        <v>718322.8</v>
      </c>
      <c r="Z68" s="15"/>
    </row>
    <row r="69" spans="1:26" hidden="1" outlineLevel="2" x14ac:dyDescent="0.2">
      <c r="A69" s="323" t="s">
        <v>243</v>
      </c>
      <c r="B69" s="15">
        <f>B63*('🎛️ Premissas'!$C$17*('🎛️ Premissas'!$C$18*('🎛️ Premissas'!$G$10/1000000)+'🎛️ Premissas'!$C$19*('🎛️ Premissas'!$G$13/1000000))*(1-'🎛️ Premissas'!$C$15)*'🎛️ Premissas'!$C$10*'🎛️ Premissas'!$C$20)+B64*('🎛️ Premissas'!$C$21*('🎛️ Premissas'!$C$22*('🎛️ Premissas'!$C$13/1000000)+'🎛️ Premissas'!$C$23*('🎛️ Premissas'!$C$14/1000000))*(1-'🎛️ Premissas'!$C$15)*'🎛️ Premissas'!$C$10)+B65*(('🎛️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Premissas'!$C$10))+B66*(('🎛️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4542.9480000000003</v>
      </c>
      <c r="C69" s="15">
        <f>C63*('🎛️ Premissas'!$C$17*('🎛️ Premissas'!$C$18*('🎛️ Premissas'!$G$10/1000000)+'🎛️ Premissas'!$C$19*('🎛️ Premissas'!$G$13/1000000))*(1-'🎛️ Premissas'!$C$15)*'🎛️ Premissas'!$C$10*'🎛️ Premissas'!$C$20)+C64*('🎛️ Premissas'!$C$21*('🎛️ Premissas'!$C$22*('🎛️ Premissas'!$C$13/1000000)+'🎛️ Premissas'!$C$23*('🎛️ Premissas'!$C$14/1000000))*(1-'🎛️ Premissas'!$C$15)*'🎛️ Premissas'!$C$10)+C65*(('🎛️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Premissas'!$C$10))+C66*(('🎛️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12242.3958</v>
      </c>
      <c r="D69" s="15">
        <f>D63*('🎛️ Premissas'!$C$17*('🎛️ Premissas'!$C$18*('🎛️ Premissas'!$G$10/1000000)+'🎛️ Premissas'!$C$19*('🎛️ Premissas'!$G$13/1000000))*(1-'🎛️ Premissas'!$C$15)*'🎛️ Premissas'!$C$10*'🎛️ Premissas'!$C$20)+D64*('🎛️ Premissas'!$C$21*('🎛️ Premissas'!$C$22*('🎛️ Premissas'!$C$13/1000000)+'🎛️ Premissas'!$C$23*('🎛️ Premissas'!$C$14/1000000))*(1-'🎛️ Premissas'!$C$15)*'🎛️ Premissas'!$C$10)+D65*(('🎛️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Premissas'!$C$10))+D66*(('🎛️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19525.3272</v>
      </c>
      <c r="E69" s="15">
        <f>E63*('🎛️ Premissas'!$C$17*('🎛️ Premissas'!$C$18*('🎛️ Premissas'!$G$10/1000000)+'🎛️ Premissas'!$C$19*('🎛️ Premissas'!$G$13/1000000))*(1-'🎛️ Premissas'!$C$15)*'🎛️ Premissas'!$C$10*'🎛️ Premissas'!$C$20)+E64*('🎛️ Premissas'!$C$21*('🎛️ Premissas'!$C$22*('🎛️ Premissas'!$C$13/1000000)+'🎛️ Premissas'!$C$23*('🎛️ Premissas'!$C$14/1000000))*(1-'🎛️ Premissas'!$C$15)*'🎛️ Premissas'!$C$10)+E65*(('🎛️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Premissas'!$C$10))+E66*(('🎛️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26416.527120000002</v>
      </c>
      <c r="F69" s="15">
        <f>F63*('🎛️ Premissas'!$C$17*('🎛️ Premissas'!$C$18*('🎛️ Premissas'!$G$10/1000000)+'🎛️ Premissas'!$C$19*('🎛️ Premissas'!$G$13/1000000))*(1-'🎛️ Premissas'!$C$15)*'🎛️ Premissas'!$C$10*'🎛️ Premissas'!$C$20)+F64*('🎛️ Premissas'!$C$21*('🎛️ Premissas'!$C$22*('🎛️ Premissas'!$C$13/1000000)+'🎛️ Premissas'!$C$23*('🎛️ Premissas'!$C$14/1000000))*(1-'🎛️ Premissas'!$C$15)*'🎛️ Premissas'!$C$10)+F65*(('🎛️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Premissas'!$C$10))+F66*(('🎛️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32929.084439999999</v>
      </c>
      <c r="G69" s="15">
        <f>G63*('🎛️ Premissas'!$C$17*('🎛️ Premissas'!$C$18*('🎛️ Premissas'!$G$10/1000000)+'🎛️ Premissas'!$C$19*('🎛️ Premissas'!$G$13/1000000))*(1-'🎛️ Premissas'!$C$15)*'🎛️ Premissas'!$C$10*'🎛️ Premissas'!$C$20)+G64*('🎛️ Premissas'!$C$21*('🎛️ Premissas'!$C$22*('🎛️ Premissas'!$C$13/1000000)+'🎛️ Premissas'!$C$23*('🎛️ Premissas'!$C$14/1000000))*(1-'🎛️ Premissas'!$C$15)*'🎛️ Premissas'!$C$10)+G65*(('🎛️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Premissas'!$C$10))+G66*(('🎛️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39094.328520000003</v>
      </c>
      <c r="H69" s="15">
        <f>H63*('🎛️ Premissas'!$C$17*('🎛️ Premissas'!$C$18*('🎛️ Premissas'!$G$10/1000000)+'🎛️ Premissas'!$C$19*('🎛️ Premissas'!$G$13/1000000))*(1-'🎛️ Premissas'!$C$15)*'🎛️ Premissas'!$C$10*'🎛️ Premissas'!$C$20)+H64*('🎛️ Premissas'!$C$21*('🎛️ Premissas'!$C$22*('🎛️ Premissas'!$C$13/1000000)+'🎛️ Premissas'!$C$23*('🎛️ Premissas'!$C$14/1000000))*(1-'🎛️ Premissas'!$C$15)*'🎛️ Premissas'!$C$10)+H65*(('🎛️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Premissas'!$C$10))+H66*(('🎛️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44941.051079999997</v>
      </c>
      <c r="I69" s="15">
        <f>I63*('🎛️ Premissas'!$C$17*('🎛️ Premissas'!$C$18*('🎛️ Premissas'!$G$10/1000000)+'🎛️ Premissas'!$C$19*('🎛️ Premissas'!$G$13/1000000))*(1-'🎛️ Premissas'!$C$15)*'🎛️ Premissas'!$C$10*'🎛️ Premissas'!$C$20)+I64*('🎛️ Premissas'!$C$21*('🎛️ Premissas'!$C$22*('🎛️ Premissas'!$C$13/1000000)+'🎛️ Premissas'!$C$23*('🎛️ Premissas'!$C$14/1000000))*(1-'🎛️ Premissas'!$C$15)*'🎛️ Premissas'!$C$10)+I65*(('🎛️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Premissas'!$C$10))+I66*(('🎛️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50471.789760000007</v>
      </c>
      <c r="J69" s="15">
        <f>J63*('🎛️ Premissas'!$C$17*('🎛️ Premissas'!$C$18*('🎛️ Premissas'!$G$10/1000000)+'🎛️ Premissas'!$C$19*('🎛️ Premissas'!$G$13/1000000))*(1-'🎛️ Premissas'!$C$15)*'🎛️ Premissas'!$C$10*'🎛️ Premissas'!$C$20)+J64*('🎛️ Premissas'!$C$21*('🎛️ Premissas'!$C$22*('🎛️ Premissas'!$C$13/1000000)+'🎛️ Premissas'!$C$23*('🎛️ Premissas'!$C$14/1000000))*(1-'🎛️ Premissas'!$C$15)*'🎛️ Premissas'!$C$10)+J65*(('🎛️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Premissas'!$C$10))+J66*(('🎛️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55699.633440000005</v>
      </c>
      <c r="K69" s="15">
        <f>K63*('🎛️ Premissas'!$C$17*('🎛️ Premissas'!$C$18*('🎛️ Premissas'!$G$10/1000000)+'🎛️ Premissas'!$C$19*('🎛️ Premissas'!$G$13/1000000))*(1-'🎛️ Premissas'!$C$15)*'🎛️ Premissas'!$C$10*'🎛️ Premissas'!$C$20)+K64*('🎛️ Premissas'!$C$21*('🎛️ Premissas'!$C$22*('🎛️ Premissas'!$C$13/1000000)+'🎛️ Premissas'!$C$23*('🎛️ Premissas'!$C$14/1000000))*(1-'🎛️ Premissas'!$C$15)*'🎛️ Premissas'!$C$10)+K65*(('🎛️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Premissas'!$C$10))+K66*(('🎛️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60665.069879999995</v>
      </c>
      <c r="L69" s="15">
        <f>L63*('🎛️ Premissas'!$C$17*('🎛️ Premissas'!$C$18*('🎛️ Premissas'!$G$10/1000000)+'🎛️ Premissas'!$C$19*('🎛️ Premissas'!$G$13/1000000))*(1-'🎛️ Premissas'!$C$15)*'🎛️ Premissas'!$C$10*'🎛️ Premissas'!$C$20)+L64*('🎛️ Premissas'!$C$21*('🎛️ Premissas'!$C$22*('🎛️ Premissas'!$C$13/1000000)+'🎛️ Premissas'!$C$23*('🎛️ Premissas'!$C$14/1000000))*(1-'🎛️ Premissas'!$C$15)*'🎛️ Premissas'!$C$10)+L65*(('🎛️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Premissas'!$C$10))+L66*(('🎛️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65358.940680000007</v>
      </c>
      <c r="M69" s="15">
        <f>M63*('🎛️ Premissas'!$C$17*('🎛️ Premissas'!$C$18*('🎛️ Premissas'!$G$10/1000000)+'🎛️ Premissas'!$C$19*('🎛️ Premissas'!$G$13/1000000))*(1-'🎛️ Premissas'!$C$15)*'🎛️ Premissas'!$C$10*'🎛️ Premissas'!$C$20)+M64*('🎛️ Premissas'!$C$21*('🎛️ Premissas'!$C$22*('🎛️ Premissas'!$C$13/1000000)+'🎛️ Premissas'!$C$23*('🎛️ Premissas'!$C$14/1000000))*(1-'🎛️ Premissas'!$C$15)*'🎛️ Premissas'!$C$10)+M65*(('🎛️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Premissas'!$C$10))+M66*(('🎛️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69821.733600000007</v>
      </c>
      <c r="N69" s="15">
        <f>N63*('🎛️ Premissas'!$C$17*('🎛️ Premissas'!$C$18*('🎛️ Premissas'!$G$10/1000000)+'🎛️ Premissas'!$C$19*('🎛️ Premissas'!$G$13/1000000))*(1-'🎛️ Premissas'!$C$15)*'🎛️ Premissas'!$C$10*'🎛️ Premissas'!$C$20)+N64*('🎛️ Premissas'!$C$21*('🎛️ Premissas'!$C$22*('🎛️ Premissas'!$C$13/1000000)+'🎛️ Premissas'!$C$23*('🎛️ Premissas'!$C$14/1000000))*(1-'🎛️ Premissas'!$C$15)*'🎛️ Premissas'!$C$10)+N65*(('🎛️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Premissas'!$C$10))+N66*(('🎛️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75184.034039999999</v>
      </c>
      <c r="O69" s="15">
        <f>O63*('🎛️ Premissas'!$C$17*('🎛️ Premissas'!$C$18*('🎛️ Premissas'!$G$10/1000000)+'🎛️ Premissas'!$C$19*('🎛️ Premissas'!$G$13/1000000))*(1-'🎛️ Premissas'!$C$15)*'🎛️ Premissas'!$C$10*'🎛️ Premissas'!$C$20)+O64*('🎛️ Premissas'!$C$21*('🎛️ Premissas'!$C$22*('🎛️ Premissas'!$C$13/1000000)+'🎛️ Premissas'!$C$23*('🎛️ Premissas'!$C$14/1000000))*(1-'🎛️ Premissas'!$C$15)*'🎛️ Premissas'!$C$10)+O65*(('🎛️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Premissas'!$C$10))+O66*(('🎛️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80268.224400000006</v>
      </c>
      <c r="P69" s="15">
        <f>P63*('🎛️ Premissas'!$C$17*('🎛️ Premissas'!$C$18*('🎛️ Premissas'!$G$10/1000000)+'🎛️ Premissas'!$C$19*('🎛️ Premissas'!$G$13/1000000))*(1-'🎛️ Premissas'!$C$15)*'🎛️ Premissas'!$C$10*'🎛️ Premissas'!$C$20)+P64*('🎛️ Premissas'!$C$21*('🎛️ Premissas'!$C$22*('🎛️ Premissas'!$C$13/1000000)+'🎛️ Premissas'!$C$23*('🎛️ Premissas'!$C$14/1000000))*(1-'🎛️ Premissas'!$C$15)*'🎛️ Premissas'!$C$10)+P65*(('🎛️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Premissas'!$C$10))+P66*(('🎛️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85096.551959999997</v>
      </c>
      <c r="Q69" s="15">
        <f>Q63*('🎛️ Premissas'!$C$17*('🎛️ Premissas'!$C$18*('🎛️ Premissas'!$G$10/1000000)+'🎛️ Premissas'!$C$19*('🎛️ Premissas'!$G$13/1000000))*(1-'🎛️ Premissas'!$C$15)*'🎛️ Premissas'!$C$10*'🎛️ Premissas'!$C$20)+Q64*('🎛️ Premissas'!$C$21*('🎛️ Premissas'!$C$22*('🎛️ Premissas'!$C$13/1000000)+'🎛️ Premissas'!$C$23*('🎛️ Premissas'!$C$14/1000000))*(1-'🎛️ Premissas'!$C$15)*'🎛️ Premissas'!$C$10)+Q65*(('🎛️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Premissas'!$C$10))+Q66*(('🎛️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89666.402760000012</v>
      </c>
      <c r="R69" s="15">
        <f>R63*('🎛️ Premissas'!$C$17*('🎛️ Premissas'!$C$18*('🎛️ Premissas'!$G$10/1000000)+'🎛️ Premissas'!$C$19*('🎛️ Premissas'!$G$13/1000000))*(1-'🎛️ Premissas'!$C$15)*'🎛️ Premissas'!$C$10*'🎛️ Premissas'!$C$20)+R64*('🎛️ Premissas'!$C$21*('🎛️ Premissas'!$C$22*('🎛️ Premissas'!$C$13/1000000)+'🎛️ Premissas'!$C$23*('🎛️ Premissas'!$C$14/1000000))*(1-'🎛️ Premissas'!$C$15)*'🎛️ Premissas'!$C$10)+R65*(('🎛️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Premissas'!$C$10))+R66*(('🎛️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94011.720119999998</v>
      </c>
      <c r="S69" s="15">
        <f>S63*('🎛️ Premissas'!$C$17*('🎛️ Premissas'!$C$18*('🎛️ Premissas'!$G$10/1000000)+'🎛️ Premissas'!$C$19*('🎛️ Premissas'!$G$13/1000000))*(1-'🎛️ Premissas'!$C$15)*'🎛️ Premissas'!$C$10*'🎛️ Premissas'!$C$20)+S64*('🎛️ Premissas'!$C$21*('🎛️ Premissas'!$C$22*('🎛️ Premissas'!$C$13/1000000)+'🎛️ Premissas'!$C$23*('🎛️ Premissas'!$C$14/1000000))*(1-'🎛️ Premissas'!$C$15)*'🎛️ Premissas'!$C$10)+S65*(('🎛️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Premissas'!$C$10))+S66*(('🎛️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98123.34564</v>
      </c>
      <c r="T69" s="15">
        <f>T63*('🎛️ Premissas'!$C$17*('🎛️ Premissas'!$C$18*('🎛️ Premissas'!$G$10/1000000)+'🎛️ Premissas'!$C$19*('🎛️ Premissas'!$G$13/1000000))*(1-'🎛️ Premissas'!$C$15)*'🎛️ Premissas'!$C$10*'🎛️ Premissas'!$C$20)+T64*('🎛️ Premissas'!$C$21*('🎛️ Premissas'!$C$22*('🎛️ Premissas'!$C$13/1000000)+'🎛️ Premissas'!$C$23*('🎛️ Premissas'!$C$14/1000000))*(1-'🎛️ Premissas'!$C$15)*'🎛️ Premissas'!$C$10)+T65*(('🎛️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Premissas'!$C$10))+T66*(('🎛️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102023.52660000001</v>
      </c>
      <c r="U69" s="15">
        <f>U63*('🎛️ Premissas'!$C$17*('🎛️ Premissas'!$C$18*('🎛️ Premissas'!$G$10/1000000)+'🎛️ Premissas'!$C$19*('🎛️ Premissas'!$G$13/1000000))*(1-'🎛️ Premissas'!$C$15)*'🎛️ Premissas'!$C$10*'🎛️ Premissas'!$C$20)+U64*('🎛️ Premissas'!$C$21*('🎛️ Premissas'!$C$22*('🎛️ Premissas'!$C$13/1000000)+'🎛️ Premissas'!$C$23*('🎛️ Premissas'!$C$14/1000000))*(1-'🎛️ Premissas'!$C$15)*'🎛️ Premissas'!$C$10)+U65*(('🎛️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Premissas'!$C$10))+U66*(('🎛️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105737.04792000001</v>
      </c>
      <c r="V69" s="15">
        <f>V63*('🎛️ Premissas'!$C$17*('🎛️ Premissas'!$C$18*('🎛️ Premissas'!$G$10/1000000)+'🎛️ Premissas'!$C$19*('🎛️ Premissas'!$G$13/1000000))*(1-'🎛️ Premissas'!$C$15)*'🎛️ Premissas'!$C$10*'🎛️ Premissas'!$C$20)+V64*('🎛️ Premissas'!$C$21*('🎛️ Premissas'!$C$22*('🎛️ Premissas'!$C$13/1000000)+'🎛️ Premissas'!$C$23*('🎛️ Premissas'!$C$14/1000000))*(1-'🎛️ Premissas'!$C$15)*'🎛️ Premissas'!$C$10)+V65*(('🎛️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Premissas'!$C$10))+V66*(('🎛️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109263.9096</v>
      </c>
      <c r="W69" s="15">
        <f>W63*('🎛️ Premissas'!$C$17*('🎛️ Premissas'!$C$18*('🎛️ Premissas'!$G$10/1000000)+'🎛️ Premissas'!$C$19*('🎛️ Premissas'!$G$13/1000000))*(1-'🎛️ Premissas'!$C$15)*'🎛️ Premissas'!$C$10*'🎛️ Premissas'!$C$20)+W64*('🎛️ Premissas'!$C$21*('🎛️ Premissas'!$C$22*('🎛️ Premissas'!$C$13/1000000)+'🎛️ Premissas'!$C$23*('🎛️ Premissas'!$C$14/1000000))*(1-'🎛️ Premissas'!$C$15)*'🎛️ Premissas'!$C$10)+W65*(('🎛️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Premissas'!$C$10))+W66*(('🎛️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112610.65608000002</v>
      </c>
      <c r="X69" s="15">
        <f>X63*('🎛️ Premissas'!$C$17*('🎛️ Premissas'!$C$18*('🎛️ Premissas'!$G$10/1000000)+'🎛️ Premissas'!$C$19*('🎛️ Premissas'!$G$13/1000000))*(1-'🎛️ Premissas'!$C$15)*'🎛️ Premissas'!$C$10*'🎛️ Premissas'!$C$20)+X64*('🎛️ Premissas'!$C$21*('🎛️ Premissas'!$C$22*('🎛️ Premissas'!$C$13/1000000)+'🎛️ Premissas'!$C$23*('🎛️ Premissas'!$C$14/1000000))*(1-'🎛️ Premissas'!$C$15)*'🎛️ Premissas'!$C$10)+X65*(('🎛️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Premissas'!$C$10))+X66*(('🎛️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115779.825</v>
      </c>
      <c r="Y69" s="15">
        <f>Y63*('🎛️ Premissas'!$C$17*('🎛️ Premissas'!$C$18*('🎛️ Premissas'!$G$10/1000000)+'🎛️ Premissas'!$C$19*('🎛️ Premissas'!$G$13/1000000))*(1-'🎛️ Premissas'!$C$15)*'🎛️ Premissas'!$C$10*'🎛️ Premissas'!$C$20)+Y64*('🎛️ Premissas'!$C$21*('🎛️ Premissas'!$C$22*('🎛️ Premissas'!$C$13/1000000)+'🎛️ Premissas'!$C$23*('🎛️ Premissas'!$C$14/1000000))*(1-'🎛️ Premissas'!$C$15)*'🎛️ Premissas'!$C$10)+Y65*(('🎛️ Premissas'!$C$24*('🎛️ Premissas'!$C$22*('🎛️ Premissas'!$C$13/1000000)+'🎛️ Premissas'!$C$23*('🎛️ Premissas'!$C$14/1000000))*(1-'🎛️ Premissas'!$C$15)*'🎛️ Premissas'!$C$10)+('🎛️ Premissas'!$C$25*('🎛️ Premissas'!$C$26*('🎛️ Premissas'!$C$13/1000000)+'🎛️ Premissas'!$C$27*('🎛️ Premissas'!$C$14/1000000))*(1-'🎛️ Premissas'!$C$15)*'🎛️ Premissas'!$C$10))+Y66*(('🎛️ Premissas'!$C$28*('🎛️ Premissas'!$C$22*('🎛️ Premissas'!$C$13/1000000)+'🎛️ Premissas'!$C$23*('🎛️ Premissas'!$C$14/1000000))*(1-'🎛️ Premissas'!$C$15)*'🎛️ Premissas'!$C$10)+('🎛️ Premissas'!$C$29*('🎛️ Premissas'!$C$26*('🎛️ Premissas'!$C$13/1000000)+'🎛️ Premissas'!$C$27*('🎛️ Premissas'!$C$14/1000000))*(1-'🎛️ Premissas'!$C$15)*'🎛️ Premissas'!$C$10))</f>
        <v>118809.36648000003</v>
      </c>
      <c r="Z69" s="15"/>
    </row>
    <row r="70" spans="1:26" hidden="1" outlineLevel="2" x14ac:dyDescent="0.2">
      <c r="A70" s="323" t="s">
        <v>244</v>
      </c>
      <c r="B70" s="15">
        <f>'🎛️ Premissas'!$C$40+'🎛️ Premissas'!$C$42+'🎛️ Premissas'!$C$44+'🎛️ Premissas'!$C$46</f>
        <v>63000</v>
      </c>
      <c r="C70" s="15">
        <f>'🎛️ Premissas'!$C$40+'🎛️ Premissas'!$C$42+'🎛️ Premissas'!$C$44+'🎛️ Premissas'!$C$46</f>
        <v>63000</v>
      </c>
      <c r="D70" s="15">
        <f>'🎛️ Premissas'!$C$40+'🎛️ Premissas'!$C$42+'🎛️ Premissas'!$C$44+'🎛️ Premissas'!$C$46</f>
        <v>63000</v>
      </c>
      <c r="E70" s="15">
        <f>'🎛️ Premissas'!$C$40+'🎛️ Premissas'!$C$42+'🎛️ Premissas'!$C$44+'🎛️ Premissas'!$C$46</f>
        <v>63000</v>
      </c>
      <c r="F70" s="15">
        <f>'🎛️ Premissas'!$C$40+'🎛️ Premissas'!$C$42+'🎛️ Premissas'!$C$44+'🎛️ Premissas'!$C$46</f>
        <v>63000</v>
      </c>
      <c r="G70" s="15">
        <f>'🎛️ Premissas'!$C$40+'🎛️ Premissas'!$C$42+'🎛️ Premissas'!$C$44+'🎛️ Premissas'!$C$46</f>
        <v>63000</v>
      </c>
      <c r="H70" s="15">
        <f>'🎛️ Premissas'!$C$40+'🎛️ Premissas'!$C$42+'🎛️ Premissas'!$C$44+'🎛️ Premissas'!$C$46</f>
        <v>63000</v>
      </c>
      <c r="I70" s="15">
        <f>'🎛️ Premissas'!$C$40+'🎛️ Premissas'!$C$42+'🎛️ Premissas'!$C$44+'🎛️ Premissas'!$C$46</f>
        <v>63000</v>
      </c>
      <c r="J70" s="15">
        <f>'🎛️ Premissas'!$C$40+'🎛️ Premissas'!$C$42+'🎛️ Premissas'!$C$44+'🎛️ Premissas'!$C$46</f>
        <v>63000</v>
      </c>
      <c r="K70" s="15">
        <f>'🎛️ Premissas'!$C$40+'🎛️ Premissas'!$C$42+'🎛️ Premissas'!$C$44+'🎛️ Premissas'!$C$46</f>
        <v>63000</v>
      </c>
      <c r="L70" s="15">
        <f>'🎛️ Premissas'!$C$40+'🎛️ Premissas'!$C$42+'🎛️ Premissas'!$C$44+'🎛️ Premissas'!$C$46</f>
        <v>63000</v>
      </c>
      <c r="M70" s="15">
        <f>'🎛️ Premissas'!$C$40+'🎛️ Premissas'!$C$42+'🎛️ Premissas'!$C$44+'🎛️ Premissas'!$C$46</f>
        <v>63000</v>
      </c>
      <c r="N70" s="15">
        <f>'🎛️ Premissas'!$C$41+'🎛️ Premissas'!$C$43+'🎛️ Premissas'!$C$45+'🎛️ Premissas'!$C$46</f>
        <v>84000</v>
      </c>
      <c r="O70" s="15">
        <f>'🎛️ Premissas'!$C$41+'🎛️ Premissas'!$C$43+'🎛️ Premissas'!$C$45+'🎛️ Premissas'!$C$46</f>
        <v>84000</v>
      </c>
      <c r="P70" s="15">
        <f>'🎛️ Premissas'!$C$41+'🎛️ Premissas'!$C$43+'🎛️ Premissas'!$C$45+'🎛️ Premissas'!$C$46</f>
        <v>84000</v>
      </c>
      <c r="Q70" s="15">
        <f>'🎛️ Premissas'!$C$41+'🎛️ Premissas'!$C$43+'🎛️ Premissas'!$C$45+'🎛️ Premissas'!$C$46</f>
        <v>84000</v>
      </c>
      <c r="R70" s="15">
        <f>'🎛️ Premissas'!$C$41+'🎛️ Premissas'!$C$43+'🎛️ Premissas'!$C$45+'🎛️ Premissas'!$C$46</f>
        <v>84000</v>
      </c>
      <c r="S70" s="15">
        <f>'🎛️ Premissas'!$C$41+'🎛️ Premissas'!$C$43+'🎛️ Premissas'!$C$45+'🎛️ Premissas'!$C$46</f>
        <v>84000</v>
      </c>
      <c r="T70" s="15">
        <f>'🎛️ Premissas'!$C$41+'🎛️ Premissas'!$C$43+'🎛️ Premissas'!$C$45+'🎛️ Premissas'!$C$46</f>
        <v>84000</v>
      </c>
      <c r="U70" s="15">
        <f>'🎛️ Premissas'!$C$41+'🎛️ Premissas'!$C$43+'🎛️ Premissas'!$C$45+'🎛️ Premissas'!$C$46</f>
        <v>84000</v>
      </c>
      <c r="V70" s="15">
        <f>'🎛️ Premissas'!$C$41+'🎛️ Premissas'!$C$43+'🎛️ Premissas'!$C$45+'🎛️ Premissas'!$C$46</f>
        <v>84000</v>
      </c>
      <c r="W70" s="15">
        <f>'🎛️ Premissas'!$C$41+'🎛️ Premissas'!$C$43+'🎛️ Premissas'!$C$45+'🎛️ Premissas'!$C$46</f>
        <v>84000</v>
      </c>
      <c r="X70" s="15">
        <f>'🎛️ Premissas'!$C$41+'🎛️ Premissas'!$C$43+'🎛️ Premissas'!$C$45+'🎛️ Premissas'!$C$46</f>
        <v>84000</v>
      </c>
      <c r="Y70" s="15">
        <f>'🎛️ Premissas'!$C$41+'🎛️ Premissas'!$C$43+'🎛️ Premissas'!$C$45+'🎛️ Premissas'!$C$46</f>
        <v>84000</v>
      </c>
      <c r="Z70" s="15"/>
    </row>
    <row r="71" spans="1:26" hidden="1" outlineLevel="2" x14ac:dyDescent="0.2">
      <c r="A71" s="323" t="s">
        <v>319</v>
      </c>
      <c r="B71" s="15">
        <f>B68*'🎛️ Premissas'!$C$70</f>
        <v>3659.5</v>
      </c>
      <c r="C71" s="15">
        <f>C68*'🎛️ Premissas'!$C$70</f>
        <v>9852.1149999999998</v>
      </c>
      <c r="D71" s="15">
        <f>D68*'🎛️ Premissas'!$C$70</f>
        <v>15693.079999999998</v>
      </c>
      <c r="E71" s="15">
        <f>E68*'🎛️ Premissas'!$C$70</f>
        <v>21203.155999999999</v>
      </c>
      <c r="F71" s="15">
        <f>F68*'🎛️ Premissas'!$C$70</f>
        <v>26395.316999999999</v>
      </c>
      <c r="G71" s="15">
        <f>G68*'🎛️ Premissas'!$C$70</f>
        <v>31296.811000000002</v>
      </c>
      <c r="H71" s="15">
        <f>H68*'🎛️ Premissas'!$C$70</f>
        <v>35930.998999999996</v>
      </c>
      <c r="I71" s="15">
        <f>I68*'🎛️ Premissas'!$C$70</f>
        <v>40301.767999999996</v>
      </c>
      <c r="J71" s="15">
        <f>J68*'🎛️ Premissas'!$C$70</f>
        <v>44422.092000000004</v>
      </c>
      <c r="K71" s="15">
        <f>K68*'🎛️ Premissas'!$C$70</f>
        <v>48323.118999999992</v>
      </c>
      <c r="L71" s="15">
        <f>L68*'🎛️ Premissas'!$C$70</f>
        <v>52000.949000000001</v>
      </c>
      <c r="M71" s="15">
        <f>M68*'🎛️ Premissas'!$C$70</f>
        <v>55486.73</v>
      </c>
      <c r="N71" s="15">
        <f>N68*'🎛️ Premissas'!$C$70</f>
        <v>59694.036999999997</v>
      </c>
      <c r="O71" s="15">
        <f>O68*'🎛️ Premissas'!$C$70</f>
        <v>63671.66</v>
      </c>
      <c r="P71" s="15">
        <f>P68*'🎛️ Premissas'!$C$70</f>
        <v>67436.472999999998</v>
      </c>
      <c r="Q71" s="15">
        <f>Q68*'🎛️ Premissas'!$C$70</f>
        <v>70991.062999999995</v>
      </c>
      <c r="R71" s="15">
        <f>R68*'🎛️ Premissas'!$C$70</f>
        <v>74360.091000000015</v>
      </c>
      <c r="S71" s="15">
        <f>S68*'🎛️ Premissas'!$C$70</f>
        <v>77539.656999999992</v>
      </c>
      <c r="T71" s="15">
        <f>T68*'🎛️ Premissas'!$C$70</f>
        <v>80546.635000000009</v>
      </c>
      <c r="U71" s="15">
        <f>U68*'🎛️ Premissas'!$C$70</f>
        <v>83401.785999999993</v>
      </c>
      <c r="V71" s="15">
        <f>V68*'🎛️ Premissas'!$C$70</f>
        <v>86105.11</v>
      </c>
      <c r="W71" s="15">
        <f>W68*'🎛️ Premissas'!$C$70</f>
        <v>88663.094000000012</v>
      </c>
      <c r="X71" s="15">
        <f>X68*'🎛️ Premissas'!$C$70</f>
        <v>91079.625</v>
      </c>
      <c r="Y71" s="15">
        <f>Y68*'🎛️ Premissas'!$C$70</f>
        <v>93381.964000000007</v>
      </c>
      <c r="Z71" s="15"/>
    </row>
    <row r="72" spans="1:26" hidden="1" outlineLevel="2" x14ac:dyDescent="0.2">
      <c r="A72" s="323" t="s">
        <v>263</v>
      </c>
      <c r="B72" s="15">
        <f t="shared" ref="B72:Y72" si="3">B68-B69-B70-B71</f>
        <v>-43052.448000000004</v>
      </c>
      <c r="C72" s="79">
        <f t="shared" si="3"/>
        <v>-9309.0107999999982</v>
      </c>
      <c r="D72" s="79">
        <f t="shared" si="3"/>
        <v>22497.592799999988</v>
      </c>
      <c r="E72" s="79">
        <f t="shared" si="3"/>
        <v>52481.516879999966</v>
      </c>
      <c r="F72" s="79">
        <f t="shared" si="3"/>
        <v>80716.498559999993</v>
      </c>
      <c r="G72" s="79">
        <f t="shared" si="3"/>
        <v>107353.56048</v>
      </c>
      <c r="H72" s="79">
        <f t="shared" si="3"/>
        <v>132520.24991999997</v>
      </c>
      <c r="I72" s="79">
        <f t="shared" si="3"/>
        <v>156240.04223999998</v>
      </c>
      <c r="J72" s="79">
        <f t="shared" si="3"/>
        <v>178586.67456000001</v>
      </c>
      <c r="K72" s="79">
        <f t="shared" si="3"/>
        <v>199728.11111999996</v>
      </c>
      <c r="L72" s="79">
        <f t="shared" si="3"/>
        <v>219647.41032</v>
      </c>
      <c r="M72" s="79">
        <f t="shared" si="3"/>
        <v>238512.53639999995</v>
      </c>
      <c r="N72" s="79">
        <f t="shared" si="3"/>
        <v>240306.82895999996</v>
      </c>
      <c r="O72" s="79">
        <f t="shared" si="3"/>
        <v>261842.11559999999</v>
      </c>
      <c r="P72" s="79">
        <f t="shared" si="3"/>
        <v>282209.07503999997</v>
      </c>
      <c r="Q72" s="79">
        <f t="shared" si="3"/>
        <v>301427.63423999993</v>
      </c>
      <c r="R72" s="79">
        <f t="shared" si="3"/>
        <v>319628.88888000004</v>
      </c>
      <c r="S72" s="79">
        <f t="shared" si="3"/>
        <v>336795.89735999989</v>
      </c>
      <c r="T72" s="79">
        <f t="shared" si="3"/>
        <v>353019.33840000001</v>
      </c>
      <c r="U72" s="79">
        <f t="shared" si="3"/>
        <v>368413.36607999995</v>
      </c>
      <c r="V72" s="79">
        <f t="shared" si="3"/>
        <v>382977.9804</v>
      </c>
      <c r="W72" s="79">
        <f t="shared" si="3"/>
        <v>396750.04992000002</v>
      </c>
      <c r="X72" s="79">
        <f t="shared" si="3"/>
        <v>409753.05000000005</v>
      </c>
      <c r="Y72" s="79">
        <f t="shared" si="3"/>
        <v>422131.46951999993</v>
      </c>
      <c r="Z72" s="15"/>
    </row>
    <row r="73" spans="1:26" hidden="1" outlineLevel="1" collapsed="1" x14ac:dyDescent="0.2">
      <c r="A73" s="323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idden="1" outlineLevel="1" x14ac:dyDescent="0.2">
      <c r="A74" s="323" t="s">
        <v>322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idden="1" outlineLevel="1" x14ac:dyDescent="0.2">
      <c r="A75" s="323" t="s">
        <v>317</v>
      </c>
      <c r="B75" s="15">
        <f>'🎛️ Premissas'!$B$64</f>
        <v>2000</v>
      </c>
      <c r="C75" s="79">
        <f>'🎛️ Premissas'!$D$31</f>
        <v>4000</v>
      </c>
      <c r="D75" s="79">
        <f>'🎛️ Premissas'!$D$31</f>
        <v>4000</v>
      </c>
      <c r="E75" s="79">
        <f>'🎛️ Premissas'!$D$31</f>
        <v>4000</v>
      </c>
      <c r="F75" s="79">
        <f>'🎛️ Premissas'!$D$31</f>
        <v>4000</v>
      </c>
      <c r="G75" s="79">
        <f>'🎛️ Premissas'!$D$31</f>
        <v>4000</v>
      </c>
      <c r="H75" s="79">
        <f>'🎛️ Premissas'!$D$31</f>
        <v>4000</v>
      </c>
      <c r="I75" s="79">
        <f>'🎛️ Premissas'!$D$31</f>
        <v>4000</v>
      </c>
      <c r="J75" s="79">
        <f>'🎛️ Premissas'!$D$31</f>
        <v>4000</v>
      </c>
      <c r="K75" s="79">
        <f>'🎛️ Premissas'!$D$31</f>
        <v>4000</v>
      </c>
      <c r="L75" s="79">
        <f>'🎛️ Premissas'!$D$31</f>
        <v>4000</v>
      </c>
      <c r="M75" s="79">
        <f>'🎛️ Premissas'!$D$31</f>
        <v>4000</v>
      </c>
      <c r="N75" s="79">
        <f>'🎛️ Premissas'!$D$32</f>
        <v>4500</v>
      </c>
      <c r="O75" s="79">
        <f>'🎛️ Premissas'!$D$32</f>
        <v>4500</v>
      </c>
      <c r="P75" s="79">
        <f>'🎛️ Premissas'!$D$32</f>
        <v>4500</v>
      </c>
      <c r="Q75" s="79">
        <f>'🎛️ Premissas'!$D$32</f>
        <v>4500</v>
      </c>
      <c r="R75" s="79">
        <f>'🎛️ Premissas'!$D$32</f>
        <v>4500</v>
      </c>
      <c r="S75" s="79">
        <f>'🎛️ Premissas'!$D$32</f>
        <v>4500</v>
      </c>
      <c r="T75" s="79">
        <f>'🎛️ Premissas'!$D$32</f>
        <v>4500</v>
      </c>
      <c r="U75" s="79">
        <f>'🎛️ Premissas'!$D$32</f>
        <v>4500</v>
      </c>
      <c r="V75" s="79">
        <f>'🎛️ Premissas'!$D$32</f>
        <v>4500</v>
      </c>
      <c r="W75" s="79">
        <f>'🎛️ Premissas'!$D$32</f>
        <v>4500</v>
      </c>
      <c r="X75" s="79">
        <f>'🎛️ Premissas'!$D$32</f>
        <v>4500</v>
      </c>
      <c r="Y75" s="79">
        <f>'🎛️ Premissas'!$D$32</f>
        <v>4500</v>
      </c>
      <c r="Z75" s="15"/>
    </row>
    <row r="76" spans="1:26" hidden="1" outlineLevel="1" x14ac:dyDescent="0.2">
      <c r="A76" s="323" t="s">
        <v>240</v>
      </c>
      <c r="B76" s="15">
        <f>ROUND(B75*'🎛️ Premissas'!$D$33,0)</f>
        <v>400</v>
      </c>
      <c r="C76" s="15">
        <f>ROUND(B76*(1-'🎛️ Premissas'!$D$36)+C75*'🎛️ Premissas'!$D$33,0)</f>
        <v>1180</v>
      </c>
      <c r="D76" s="15">
        <f>ROUND(C76*(1-'🎛️ Premissas'!$D$36)+D75*'🎛️ Premissas'!$D$33,0)</f>
        <v>1921</v>
      </c>
      <c r="E76" s="15">
        <f>ROUND(D76*(1-'🎛️ Premissas'!$D$36)+E75*'🎛️ Premissas'!$D$33,0)</f>
        <v>2625</v>
      </c>
      <c r="F76" s="15">
        <f>ROUND(E76*(1-'🎛️ Premissas'!$D$36)+F75*'🎛️ Premissas'!$D$33,0)</f>
        <v>3294</v>
      </c>
      <c r="G76" s="15">
        <f>ROUND(F76*(1-'🎛️ Premissas'!$D$36)+G75*'🎛️ Premissas'!$D$33,0)</f>
        <v>3929</v>
      </c>
      <c r="H76" s="15">
        <f>ROUND(G76*(1-'🎛️ Premissas'!$D$36)+H75*'🎛️ Premissas'!$D$33,0)</f>
        <v>4533</v>
      </c>
      <c r="I76" s="15">
        <f>ROUND(H76*(1-'🎛️ Premissas'!$D$36)+I75*'🎛️ Premissas'!$D$33,0)</f>
        <v>5106</v>
      </c>
      <c r="J76" s="15">
        <f>ROUND(I76*(1-'🎛️ Premissas'!$D$36)+J75*'🎛️ Premissas'!$D$33,0)</f>
        <v>5651</v>
      </c>
      <c r="K76" s="15">
        <f>ROUND(J76*(1-'🎛️ Premissas'!$D$36)+K75*'🎛️ Premissas'!$D$33,0)</f>
        <v>6168</v>
      </c>
      <c r="L76" s="15">
        <f>ROUND(K76*(1-'🎛️ Premissas'!$D$36)+L75*'🎛️ Premissas'!$D$33,0)</f>
        <v>6660</v>
      </c>
      <c r="M76" s="15">
        <f>ROUND(L76*(1-'🎛️ Premissas'!$D$36)+M75*'🎛️ Premissas'!$D$33,0)</f>
        <v>7127</v>
      </c>
      <c r="N76" s="15">
        <f>ROUND(M76*(1-'🎛️ Premissas'!$D$36)+N75*'🎛️ Premissas'!$D$33,0)</f>
        <v>7671</v>
      </c>
      <c r="O76" s="15">
        <f>ROUND(N76*(1-'🎛️ Premissas'!$D$36)+O75*'🎛️ Premissas'!$D$33,0)</f>
        <v>8187</v>
      </c>
      <c r="P76" s="15">
        <f>ROUND(O76*(1-'🎛️ Premissas'!$D$36)+P75*'🎛️ Premissas'!$D$33,0)</f>
        <v>8678</v>
      </c>
      <c r="Q76" s="15">
        <f>ROUND(P76*(1-'🎛️ Premissas'!$D$36)+Q75*'🎛️ Premissas'!$D$33,0)</f>
        <v>9144</v>
      </c>
      <c r="R76" s="15">
        <f>ROUND(Q76*(1-'🎛️ Premissas'!$D$36)+R75*'🎛️ Premissas'!$D$33,0)</f>
        <v>9587</v>
      </c>
      <c r="S76" s="15">
        <f>ROUND(R76*(1-'🎛️ Premissas'!$D$36)+S75*'🎛️ Premissas'!$D$33,0)</f>
        <v>10008</v>
      </c>
      <c r="T76" s="15">
        <f>ROUND(S76*(1-'🎛️ Premissas'!$D$36)+T75*'🎛️ Premissas'!$D$33,0)</f>
        <v>10408</v>
      </c>
      <c r="U76" s="15">
        <f>ROUND(T76*(1-'🎛️ Premissas'!$D$36)+U75*'🎛️ Premissas'!$D$33,0)</f>
        <v>10788</v>
      </c>
      <c r="V76" s="15">
        <f>ROUND(U76*(1-'🎛️ Premissas'!$D$36)+V75*'🎛️ Premissas'!$D$33,0)</f>
        <v>11149</v>
      </c>
      <c r="W76" s="15">
        <f>ROUND(V76*(1-'🎛️ Premissas'!$D$36)+W75*'🎛️ Premissas'!$D$33,0)</f>
        <v>11492</v>
      </c>
      <c r="X76" s="15">
        <f>ROUND(W76*(1-'🎛️ Premissas'!$D$36)+X75*'🎛️ Premissas'!$D$33,0)</f>
        <v>11817</v>
      </c>
      <c r="Y76" s="15">
        <f>ROUND(X76*(1-'🎛️ Premissas'!$D$36)+Y75*'🎛️ Premissas'!$D$33,0)</f>
        <v>12126</v>
      </c>
      <c r="Z76" s="15"/>
    </row>
    <row r="77" spans="1:26" hidden="1" outlineLevel="1" x14ac:dyDescent="0.2">
      <c r="A77" s="323" t="s">
        <v>241</v>
      </c>
      <c r="B77" s="15">
        <f>ROUND(B75*'🎛️ Premissas'!$D$34,0)</f>
        <v>140</v>
      </c>
      <c r="C77" s="15">
        <f>ROUND(B77*(1-'🎛️ Premissas'!$D$37)+C75*'🎛️ Premissas'!$D$34,0)</f>
        <v>412</v>
      </c>
      <c r="D77" s="15">
        <f>ROUND(C77*(1-'🎛️ Premissas'!$D$37)+D75*'🎛️ Premissas'!$D$34,0)</f>
        <v>667</v>
      </c>
      <c r="E77" s="15">
        <f>ROUND(D77*(1-'🎛️ Premissas'!$D$37)+E75*'🎛️ Premissas'!$D$34,0)</f>
        <v>907</v>
      </c>
      <c r="F77" s="15">
        <f>ROUND(E77*(1-'🎛️ Premissas'!$D$37)+F75*'🎛️ Premissas'!$D$34,0)</f>
        <v>1133</v>
      </c>
      <c r="G77" s="15">
        <f>ROUND(F77*(1-'🎛️ Premissas'!$D$37)+G75*'🎛️ Premissas'!$D$34,0)</f>
        <v>1345</v>
      </c>
      <c r="H77" s="15">
        <f>ROUND(G77*(1-'🎛️ Premissas'!$D$37)+H75*'🎛️ Premissas'!$D$34,0)</f>
        <v>1544</v>
      </c>
      <c r="I77" s="15">
        <f>ROUND(H77*(1-'🎛️ Premissas'!$D$37)+I75*'🎛️ Premissas'!$D$34,0)</f>
        <v>1731</v>
      </c>
      <c r="J77" s="15">
        <f>ROUND(I77*(1-'🎛️ Premissas'!$D$37)+J75*'🎛️ Premissas'!$D$34,0)</f>
        <v>1907</v>
      </c>
      <c r="K77" s="15">
        <f>ROUND(J77*(1-'🎛️ Premissas'!$D$37)+K75*'🎛️ Premissas'!$D$34,0)</f>
        <v>2073</v>
      </c>
      <c r="L77" s="15">
        <f>ROUND(K77*(1-'🎛️ Premissas'!$D$37)+L75*'🎛️ Premissas'!$D$34,0)</f>
        <v>2229</v>
      </c>
      <c r="M77" s="15">
        <f>ROUND(L77*(1-'🎛️ Premissas'!$D$37)+M75*'🎛️ Premissas'!$D$34,0)</f>
        <v>2375</v>
      </c>
      <c r="N77" s="15">
        <f>ROUND(M77*(1-'🎛️ Premissas'!$D$37)+N75*'🎛️ Premissas'!$D$34,0)</f>
        <v>2548</v>
      </c>
      <c r="O77" s="15">
        <f>ROUND(N77*(1-'🎛️ Premissas'!$D$37)+O75*'🎛️ Premissas'!$D$34,0)</f>
        <v>2710</v>
      </c>
      <c r="P77" s="15">
        <f>ROUND(O77*(1-'🎛️ Premissas'!$D$37)+P75*'🎛️ Premissas'!$D$34,0)</f>
        <v>2862</v>
      </c>
      <c r="Q77" s="15">
        <f>ROUND(P77*(1-'🎛️ Premissas'!$D$37)+Q75*'🎛️ Premissas'!$D$34,0)</f>
        <v>3005</v>
      </c>
      <c r="R77" s="15">
        <f>ROUND(Q77*(1-'🎛️ Premissas'!$D$37)+R75*'🎛️ Premissas'!$D$34,0)</f>
        <v>3140</v>
      </c>
      <c r="S77" s="15">
        <f>ROUND(R77*(1-'🎛️ Premissas'!$D$37)+S75*'🎛️ Premissas'!$D$34,0)</f>
        <v>3267</v>
      </c>
      <c r="T77" s="15">
        <f>ROUND(S77*(1-'🎛️ Premissas'!$D$37)+T75*'🎛️ Premissas'!$D$34,0)</f>
        <v>3386</v>
      </c>
      <c r="U77" s="15">
        <f>ROUND(T77*(1-'🎛️ Premissas'!$D$37)+U75*'🎛️ Premissas'!$D$34,0)</f>
        <v>3498</v>
      </c>
      <c r="V77" s="15">
        <f>ROUND(U77*(1-'🎛️ Premissas'!$D$37)+V75*'🎛️ Premissas'!$D$34,0)</f>
        <v>3603</v>
      </c>
      <c r="W77" s="15">
        <f>ROUND(V77*(1-'🎛️ Premissas'!$D$37)+W75*'🎛️ Premissas'!$D$34,0)</f>
        <v>3702</v>
      </c>
      <c r="X77" s="15">
        <f>ROUND(W77*(1-'🎛️ Premissas'!$D$37)+X75*'🎛️ Premissas'!$D$34,0)</f>
        <v>3795</v>
      </c>
      <c r="Y77" s="15">
        <f>ROUND(X77*(1-'🎛️ Premissas'!$D$37)+Y75*'🎛️ Premissas'!$D$34,0)</f>
        <v>3882</v>
      </c>
      <c r="Z77" s="15"/>
    </row>
    <row r="78" spans="1:26" hidden="1" outlineLevel="1" x14ac:dyDescent="0.2">
      <c r="A78" s="323" t="s">
        <v>242</v>
      </c>
      <c r="B78" s="15">
        <f>ROUND(B75*'🎛️ Premissas'!$D$35,0)</f>
        <v>60</v>
      </c>
      <c r="C78" s="15">
        <f>ROUND(B78*(1-'🎛️ Premissas'!$D$38)+C75*'🎛️ Premissas'!$D$35,0)</f>
        <v>179</v>
      </c>
      <c r="D78" s="15">
        <f>ROUND(C78*(1-'🎛️ Premissas'!$D$38)+D75*'🎛️ Premissas'!$D$35,0)</f>
        <v>295</v>
      </c>
      <c r="E78" s="15">
        <f>ROUND(D78*(1-'🎛️ Premissas'!$D$38)+E75*'🎛️ Premissas'!$D$35,0)</f>
        <v>409</v>
      </c>
      <c r="F78" s="15">
        <f>ROUND(E78*(1-'🎛️ Premissas'!$D$38)+F75*'🎛️ Premissas'!$D$35,0)</f>
        <v>521</v>
      </c>
      <c r="G78" s="15">
        <f>ROUND(F78*(1-'🎛️ Premissas'!$D$38)+G75*'🎛️ Premissas'!$D$35,0)</f>
        <v>631</v>
      </c>
      <c r="H78" s="15">
        <f>ROUND(G78*(1-'🎛️ Premissas'!$D$38)+H75*'🎛️ Premissas'!$D$35,0)</f>
        <v>738</v>
      </c>
      <c r="I78" s="15">
        <f>ROUND(H78*(1-'🎛️ Premissas'!$D$38)+I75*'🎛️ Premissas'!$D$35,0)</f>
        <v>843</v>
      </c>
      <c r="J78" s="15">
        <f>ROUND(I78*(1-'🎛️ Premissas'!$D$38)+J75*'🎛️ Premissas'!$D$35,0)</f>
        <v>946</v>
      </c>
      <c r="K78" s="15">
        <f>ROUND(J78*(1-'🎛️ Premissas'!$D$38)+K75*'🎛️ Premissas'!$D$35,0)</f>
        <v>1047</v>
      </c>
      <c r="L78" s="15">
        <f>ROUND(K78*(1-'🎛️ Premissas'!$D$38)+L75*'🎛️ Premissas'!$D$35,0)</f>
        <v>1146</v>
      </c>
      <c r="M78" s="15">
        <f>ROUND(L78*(1-'🎛️ Premissas'!$D$38)+M75*'🎛️ Premissas'!$D$35,0)</f>
        <v>1243</v>
      </c>
      <c r="N78" s="15">
        <f>ROUND(M78*(1-'🎛️ Premissas'!$D$38)+N75*'🎛️ Premissas'!$D$35,0)</f>
        <v>1353</v>
      </c>
      <c r="O78" s="15">
        <f>ROUND(N78*(1-'🎛️ Premissas'!$D$38)+O75*'🎛️ Premissas'!$D$35,0)</f>
        <v>1461</v>
      </c>
      <c r="P78" s="15">
        <f>ROUND(O78*(1-'🎛️ Premissas'!$D$38)+P75*'🎛️ Premissas'!$D$35,0)</f>
        <v>1567</v>
      </c>
      <c r="Q78" s="15">
        <f>ROUND(P78*(1-'🎛️ Premissas'!$D$38)+Q75*'🎛️ Premissas'!$D$35,0)</f>
        <v>1671</v>
      </c>
      <c r="R78" s="15">
        <f>ROUND(Q78*(1-'🎛️ Premissas'!$D$38)+R75*'🎛️ Premissas'!$D$35,0)</f>
        <v>1773</v>
      </c>
      <c r="S78" s="15">
        <f>ROUND(R78*(1-'🎛️ Premissas'!$D$38)+S75*'🎛️ Premissas'!$D$35,0)</f>
        <v>1873</v>
      </c>
      <c r="T78" s="15">
        <f>ROUND(S78*(1-'🎛️ Premissas'!$D$38)+T75*'🎛️ Premissas'!$D$35,0)</f>
        <v>1971</v>
      </c>
      <c r="U78" s="15">
        <f>ROUND(T78*(1-'🎛️ Premissas'!$D$38)+U75*'🎛️ Premissas'!$D$35,0)</f>
        <v>2067</v>
      </c>
      <c r="V78" s="15">
        <f>ROUND(U78*(1-'🎛️ Premissas'!$D$38)+V75*'🎛️ Premissas'!$D$35,0)</f>
        <v>2161</v>
      </c>
      <c r="W78" s="15">
        <f>ROUND(V78*(1-'🎛️ Premissas'!$D$38)+W75*'🎛️ Premissas'!$D$35,0)</f>
        <v>2253</v>
      </c>
      <c r="X78" s="15">
        <f>ROUND(W78*(1-'🎛️ Premissas'!$D$38)+X75*'🎛️ Premissas'!$D$35,0)</f>
        <v>2343</v>
      </c>
      <c r="Y78" s="15">
        <f>ROUND(X78*(1-'🎛️ Premissas'!$D$38)+Y75*'🎛️ Premissas'!$D$35,0)</f>
        <v>2431</v>
      </c>
      <c r="Z78" s="15"/>
    </row>
    <row r="79" spans="1:26" hidden="1" outlineLevel="1" x14ac:dyDescent="0.2">
      <c r="A79" s="323" t="s">
        <v>233</v>
      </c>
      <c r="B79" s="15">
        <f t="shared" ref="B79:Y79" si="4">SUM(B76:B78)</f>
        <v>600</v>
      </c>
      <c r="C79" s="15">
        <f t="shared" si="4"/>
        <v>1771</v>
      </c>
      <c r="D79" s="15">
        <f t="shared" si="4"/>
        <v>2883</v>
      </c>
      <c r="E79" s="15">
        <f t="shared" si="4"/>
        <v>3941</v>
      </c>
      <c r="F79" s="15">
        <f t="shared" si="4"/>
        <v>4948</v>
      </c>
      <c r="G79" s="15">
        <f t="shared" si="4"/>
        <v>5905</v>
      </c>
      <c r="H79" s="15">
        <f t="shared" si="4"/>
        <v>6815</v>
      </c>
      <c r="I79" s="15">
        <f t="shared" si="4"/>
        <v>7680</v>
      </c>
      <c r="J79" s="15">
        <f t="shared" si="4"/>
        <v>8504</v>
      </c>
      <c r="K79" s="15">
        <f t="shared" si="4"/>
        <v>9288</v>
      </c>
      <c r="L79" s="15">
        <f t="shared" si="4"/>
        <v>10035</v>
      </c>
      <c r="M79" s="15">
        <f t="shared" si="4"/>
        <v>10745</v>
      </c>
      <c r="N79" s="15">
        <f t="shared" si="4"/>
        <v>11572</v>
      </c>
      <c r="O79" s="15">
        <f t="shared" si="4"/>
        <v>12358</v>
      </c>
      <c r="P79" s="15">
        <f t="shared" si="4"/>
        <v>13107</v>
      </c>
      <c r="Q79" s="15">
        <f t="shared" si="4"/>
        <v>13820</v>
      </c>
      <c r="R79" s="15">
        <f t="shared" si="4"/>
        <v>14500</v>
      </c>
      <c r="S79" s="15">
        <f t="shared" si="4"/>
        <v>15148</v>
      </c>
      <c r="T79" s="15">
        <f t="shared" si="4"/>
        <v>15765</v>
      </c>
      <c r="U79" s="15">
        <f t="shared" si="4"/>
        <v>16353</v>
      </c>
      <c r="V79" s="15">
        <f t="shared" si="4"/>
        <v>16913</v>
      </c>
      <c r="W79" s="15">
        <f t="shared" si="4"/>
        <v>17447</v>
      </c>
      <c r="X79" s="15">
        <f t="shared" si="4"/>
        <v>17955</v>
      </c>
      <c r="Y79" s="15">
        <f t="shared" si="4"/>
        <v>18439</v>
      </c>
      <c r="Z79" s="15"/>
    </row>
    <row r="80" spans="1:26" hidden="1" outlineLevel="1" x14ac:dyDescent="0.2">
      <c r="A80" s="323" t="s">
        <v>234</v>
      </c>
      <c r="B80" s="15">
        <f>B76*('🎛️ Premissas'!$D$5+'🎛️ Premissas'!$D$8)+B77*'🎛️ Premissas'!$D$6+B78*'🎛️ Premissas'!$D$7</f>
        <v>33560</v>
      </c>
      <c r="C80" s="15">
        <f>C76*('🎛️ Premissas'!$D$5+'🎛️ Premissas'!$D$8)+C77*'🎛️ Premissas'!$D$6+C78*'🎛️ Premissas'!$D$7</f>
        <v>99098.900000000009</v>
      </c>
      <c r="D80" s="15">
        <f>D76*('🎛️ Premissas'!$D$5+'🎛️ Premissas'!$D$8)+D77*'🎛️ Premissas'!$D$6+D78*'🎛️ Premissas'!$D$7</f>
        <v>161382.69999999998</v>
      </c>
      <c r="E80" s="15">
        <f>E76*('🎛️ Premissas'!$D$5+'🎛️ Premissas'!$D$8)+E77*'🎛️ Premissas'!$D$6+E78*'🎛️ Premissas'!$D$7</f>
        <v>220716.9</v>
      </c>
      <c r="F80" s="15">
        <f>F76*('🎛️ Premissas'!$D$5+'🎛️ Premissas'!$D$8)+F77*'🎛️ Premissas'!$D$6+F78*'🎛️ Premissas'!$D$7</f>
        <v>277264.2</v>
      </c>
      <c r="G80" s="15">
        <f>G76*('🎛️ Premissas'!$D$5+'🎛️ Premissas'!$D$8)+G77*'🎛️ Premissas'!$D$6+G78*'🎛️ Premissas'!$D$7</f>
        <v>331074.5</v>
      </c>
      <c r="H80" s="15">
        <f>H76*('🎛️ Premissas'!$D$5+'🎛️ Premissas'!$D$8)+H77*'🎛️ Premissas'!$D$6+H78*'🎛️ Premissas'!$D$7</f>
        <v>382280.5</v>
      </c>
      <c r="I80" s="15">
        <f>I76*('🎛️ Premissas'!$D$5+'🎛️ Premissas'!$D$8)+I77*'🎛️ Premissas'!$D$6+I78*'🎛️ Premissas'!$D$7</f>
        <v>431025</v>
      </c>
      <c r="J80" s="15">
        <f>J76*('🎛️ Premissas'!$D$5+'🎛️ Premissas'!$D$8)+J77*'🎛️ Premissas'!$D$6+J78*'🎛️ Premissas'!$D$7</f>
        <v>477520.6</v>
      </c>
      <c r="K80" s="15">
        <f>K76*('🎛️ Premissas'!$D$5+'🎛️ Premissas'!$D$8)+K77*'🎛️ Premissas'!$D$6+K78*'🎛️ Premissas'!$D$7</f>
        <v>521830.2</v>
      </c>
      <c r="L80" s="15">
        <f>L76*('🎛️ Premissas'!$D$5+'🎛️ Premissas'!$D$8)+L77*'🎛️ Premissas'!$D$6+L78*'🎛️ Premissas'!$D$7</f>
        <v>564103.5</v>
      </c>
      <c r="M80" s="15">
        <f>M76*('🎛️ Premissas'!$D$5+'🎛️ Premissas'!$D$8)+M77*'🎛️ Premissas'!$D$6+M78*'🎛️ Premissas'!$D$7</f>
        <v>604340.5</v>
      </c>
      <c r="N80" s="15">
        <f>N76*('🎛️ Premissas'!$D$5+'🎛️ Premissas'!$D$8)+N77*'🎛️ Premissas'!$D$6+N78*'🎛️ Premissas'!$D$7</f>
        <v>651156.80000000005</v>
      </c>
      <c r="O80" s="15">
        <f>O76*('🎛️ Premissas'!$D$5+'🎛️ Premissas'!$D$8)+O77*'🎛️ Premissas'!$D$6+O78*'🎛️ Premissas'!$D$7</f>
        <v>695724.20000000007</v>
      </c>
      <c r="P80" s="15">
        <f>P76*('🎛️ Premissas'!$D$5+'🎛️ Premissas'!$D$8)+P77*'🎛️ Premissas'!$D$6+P78*'🎛️ Premissas'!$D$7</f>
        <v>738255.3</v>
      </c>
      <c r="Q80" s="15">
        <f>Q76*('🎛️ Premissas'!$D$5+'🎛️ Premissas'!$D$8)+Q77*'🎛️ Premissas'!$D$6+Q78*'🎛️ Premissas'!$D$7</f>
        <v>778813</v>
      </c>
      <c r="R80" s="15">
        <f>R76*('🎛️ Premissas'!$D$5+'🎛️ Premissas'!$D$8)+R77*'🎛️ Premissas'!$D$6+R78*'🎛️ Premissas'!$D$7</f>
        <v>817560</v>
      </c>
      <c r="S80" s="15">
        <f>S76*('🎛️ Premissas'!$D$5+'🎛️ Premissas'!$D$8)+S77*'🎛️ Premissas'!$D$6+S78*'🎛️ Premissas'!$D$7</f>
        <v>854546.2</v>
      </c>
      <c r="T80" s="15">
        <f>T76*('🎛️ Premissas'!$D$5+'🎛️ Premissas'!$D$8)+T77*'🎛️ Premissas'!$D$6+T78*'🎛️ Premissas'!$D$7</f>
        <v>889821.5</v>
      </c>
      <c r="U80" s="15">
        <f>U76*('🎛️ Premissas'!$D$5+'🎛️ Premissas'!$D$8)+U77*'🎛️ Premissas'!$D$6+U78*'🎛️ Premissas'!$D$7</f>
        <v>923498.7</v>
      </c>
      <c r="V80" s="15">
        <f>V76*('🎛️ Premissas'!$D$5+'🎛️ Premissas'!$D$8)+V77*'🎛️ Premissas'!$D$6+V78*'🎛️ Premissas'!$D$7</f>
        <v>955627.7</v>
      </c>
      <c r="W80" s="15">
        <f>W76*('🎛️ Premissas'!$D$5+'🎛️ Premissas'!$D$8)+W77*'🎛️ Premissas'!$D$6+W78*'🎛️ Premissas'!$D$7</f>
        <v>986321.29999999981</v>
      </c>
      <c r="X80" s="15">
        <f>X76*('🎛️ Premissas'!$D$5+'🎛️ Premissas'!$D$8)+X77*'🎛️ Premissas'!$D$6+X78*'🎛️ Premissas'!$D$7</f>
        <v>1015579.5</v>
      </c>
      <c r="Y80" s="15">
        <f>Y76*('🎛️ Premissas'!$D$5+'🎛️ Premissas'!$D$8)+Y77*'🎛️ Premissas'!$D$6+Y78*'🎛️ Premissas'!$D$7</f>
        <v>1043502.1</v>
      </c>
      <c r="Z80" s="15"/>
    </row>
    <row r="81" spans="1:26" hidden="1" outlineLevel="1" x14ac:dyDescent="0.2">
      <c r="A81" s="323" t="s">
        <v>243</v>
      </c>
      <c r="B81" s="15">
        <f>B75*('🎛️ Premissas'!$D$17*('🎛️ Premissas'!$D$18*('🎛️ Premissas'!$G$10/1000000)+'🎛️ Premissas'!$D$19*('🎛️ Premissas'!$G$13/1000000))*(1-'🎛️ Premissas'!$D$15)*'🎛️ Premissas'!$D$10*'🎛️ Premissas'!$D$20)+B76*('🎛️ Premissas'!$D$21*('🎛️ Premissas'!$D$22*('🎛️ Premissas'!$D$13/1000000)+'🎛️ Premissas'!$D$23*('🎛️ Premissas'!$D$14/1000000))*(1-'🎛️ Premissas'!$D$15)*'🎛️ Premissas'!$D$10)+B77*(('🎛️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Premissas'!$D$10))+B78*(('🎛️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6145.9860000000017</v>
      </c>
      <c r="C81" s="15">
        <f>C75*('🎛️ Premissas'!$D$17*('🎛️ Premissas'!$D$18*('🎛️ Premissas'!$G$10/1000000)+'🎛️ Premissas'!$D$19*('🎛️ Premissas'!$G$13/1000000))*(1-'🎛️ Premissas'!$D$15)*'🎛️ Premissas'!$D$10*'🎛️ Premissas'!$D$20)+C76*('🎛️ Premissas'!$D$21*('🎛️ Premissas'!$D$22*('🎛️ Premissas'!$D$13/1000000)+'🎛️ Premissas'!$D$23*('🎛️ Premissas'!$D$14/1000000))*(1-'🎛️ Premissas'!$D$15)*'🎛️ Premissas'!$D$10)+C77*(('🎛️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Premissas'!$D$10))+C78*(('🎛️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18151.839090000001</v>
      </c>
      <c r="D81" s="15">
        <f>D75*('🎛️ Premissas'!$D$17*('🎛️ Premissas'!$D$18*('🎛️ Premissas'!$G$10/1000000)+'🎛️ Premissas'!$D$19*('🎛️ Premissas'!$G$13/1000000))*(1-'🎛️ Premissas'!$D$15)*'🎛️ Premissas'!$D$10*'🎛️ Premissas'!$D$20)+D76*('🎛️ Premissas'!$D$21*('🎛️ Premissas'!$D$22*('🎛️ Premissas'!$D$13/1000000)+'🎛️ Premissas'!$D$23*('🎛️ Premissas'!$D$14/1000000))*(1-'🎛️ Premissas'!$D$15)*'🎛️ Premissas'!$D$10)+D77*(('🎛️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Premissas'!$D$10))+D78*(('🎛️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29564.029110000007</v>
      </c>
      <c r="E81" s="15">
        <f>E75*('🎛️ Premissas'!$D$17*('🎛️ Premissas'!$D$18*('🎛️ Premissas'!$G$10/1000000)+'🎛️ Premissas'!$D$19*('🎛️ Premissas'!$G$13/1000000))*(1-'🎛️ Premissas'!$D$15)*'🎛️ Premissas'!$D$10*'🎛️ Premissas'!$D$20)+E76*('🎛️ Premissas'!$D$21*('🎛️ Premissas'!$D$22*('🎛️ Premissas'!$D$13/1000000)+'🎛️ Premissas'!$D$23*('🎛️ Premissas'!$D$14/1000000))*(1-'🎛️ Premissas'!$D$15)*'🎛️ Premissas'!$D$10)+E77*(('🎛️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Premissas'!$D$10))+E78*(('🎛️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40441.79469000001</v>
      </c>
      <c r="F81" s="15">
        <f>F75*('🎛️ Premissas'!$D$17*('🎛️ Premissas'!$D$18*('🎛️ Premissas'!$G$10/1000000)+'🎛️ Premissas'!$D$19*('🎛️ Premissas'!$G$13/1000000))*(1-'🎛️ Premissas'!$D$15)*'🎛️ Premissas'!$D$10*'🎛️ Premissas'!$D$20)+F76*('🎛️ Premissas'!$D$21*('🎛️ Premissas'!$D$22*('🎛️ Premissas'!$D$13/1000000)+'🎛️ Premissas'!$D$23*('🎛️ Premissas'!$D$14/1000000))*(1-'🎛️ Premissas'!$D$15)*'🎛️ Premissas'!$D$10)+F77*(('🎛️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Premissas'!$D$10))+F78*(('🎛️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50814.606480000002</v>
      </c>
      <c r="G81" s="15">
        <f>G75*('🎛️ Premissas'!$D$17*('🎛️ Premissas'!$D$18*('🎛️ Premissas'!$G$10/1000000)+'🎛️ Premissas'!$D$19*('🎛️ Premissas'!$G$13/1000000))*(1-'🎛️ Premissas'!$D$15)*'🎛️ Premissas'!$D$10*'🎛️ Premissas'!$D$20)+G76*('🎛️ Premissas'!$D$21*('🎛️ Premissas'!$D$22*('🎛️ Premissas'!$D$13/1000000)+'🎛️ Premissas'!$D$23*('🎛️ Premissas'!$D$14/1000000))*(1-'🎛️ Premissas'!$D$15)*'🎛️ Premissas'!$D$10)+G77*(('🎛️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Premissas'!$D$10))+G78*(('🎛️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60690.807210000014</v>
      </c>
      <c r="H81" s="15">
        <f>H75*('🎛️ Premissas'!$D$17*('🎛️ Premissas'!$D$18*('🎛️ Premissas'!$G$10/1000000)+'🎛️ Premissas'!$D$19*('🎛️ Premissas'!$G$13/1000000))*(1-'🎛️ Premissas'!$D$15)*'🎛️ Premissas'!$D$10*'🎛️ Premissas'!$D$20)+H76*('🎛️ Premissas'!$D$21*('🎛️ Premissas'!$D$22*('🎛️ Premissas'!$D$13/1000000)+'🎛️ Premissas'!$D$23*('🎛️ Premissas'!$D$14/1000000))*(1-'🎛️ Premissas'!$D$15)*'🎛️ Premissas'!$D$10)+H77*(('🎛️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Premissas'!$D$10))+H78*(('🎛️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70091.227470000013</v>
      </c>
      <c r="I81" s="15">
        <f>I75*('🎛️ Premissas'!$D$17*('🎛️ Premissas'!$D$18*('🎛️ Premissas'!$G$10/1000000)+'🎛️ Premissas'!$D$19*('🎛️ Premissas'!$G$13/1000000))*(1-'🎛️ Premissas'!$D$15)*'🎛️ Premissas'!$D$10*'🎛️ Premissas'!$D$20)+I76*('🎛️ Premissas'!$D$21*('🎛️ Premissas'!$D$22*('🎛️ Premissas'!$D$13/1000000)+'🎛️ Premissas'!$D$23*('🎛️ Premissas'!$D$14/1000000))*(1-'🎛️ Premissas'!$D$15)*'🎛️ Premissas'!$D$10)+I77*(('🎛️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Premissas'!$D$10))+I78*(('🎛️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79045.635240000003</v>
      </c>
      <c r="J81" s="15">
        <f>J75*('🎛️ Premissas'!$D$17*('🎛️ Premissas'!$D$18*('🎛️ Premissas'!$G$10/1000000)+'🎛️ Premissas'!$D$19*('🎛️ Premissas'!$G$13/1000000))*(1-'🎛️ Premissas'!$D$15)*'🎛️ Premissas'!$D$10*'🎛️ Premissas'!$D$20)+J76*('🎛️ Premissas'!$D$21*('🎛️ Premissas'!$D$22*('🎛️ Premissas'!$D$13/1000000)+'🎛️ Premissas'!$D$23*('🎛️ Premissas'!$D$14/1000000))*(1-'🎛️ Premissas'!$D$15)*'🎛️ Premissas'!$D$10)+J77*(('🎛️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Premissas'!$D$10))+J78*(('🎛️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87591.843900000007</v>
      </c>
      <c r="K81" s="15">
        <f>K75*('🎛️ Premissas'!$D$17*('🎛️ Premissas'!$D$18*('🎛️ Premissas'!$G$10/1000000)+'🎛️ Premissas'!$D$19*('🎛️ Premissas'!$G$13/1000000))*(1-'🎛️ Premissas'!$D$15)*'🎛️ Premissas'!$D$10*'🎛️ Premissas'!$D$20)+K76*('🎛️ Premissas'!$D$21*('🎛️ Premissas'!$D$22*('🎛️ Premissas'!$D$13/1000000)+'🎛️ Premissas'!$D$23*('🎛️ Premissas'!$D$14/1000000))*(1-'🎛️ Premissas'!$D$15)*'🎛️ Premissas'!$D$10)+K77*(('🎛️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Premissas'!$D$10))+K78*(('🎛️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95742.638640000019</v>
      </c>
      <c r="L81" s="15">
        <f>L75*('🎛️ Premissas'!$D$17*('🎛️ Premissas'!$D$18*('🎛️ Premissas'!$G$10/1000000)+'🎛️ Premissas'!$D$19*('🎛️ Premissas'!$G$13/1000000))*(1-'🎛️ Premissas'!$D$15)*'🎛️ Premissas'!$D$10*'🎛️ Premissas'!$D$20)+L76*('🎛️ Premissas'!$D$21*('🎛️ Premissas'!$D$22*('🎛️ Premissas'!$D$13/1000000)+'🎛️ Premissas'!$D$23*('🎛️ Premissas'!$D$14/1000000))*(1-'🎛️ Premissas'!$D$15)*'🎛️ Premissas'!$D$10)+L77*(('🎛️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Premissas'!$D$10))+L78*(('🎛️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103523.04765000001</v>
      </c>
      <c r="M81" s="15">
        <f>M75*('🎛️ Premissas'!$D$17*('🎛️ Premissas'!$D$18*('🎛️ Premissas'!$G$10/1000000)+'🎛️ Premissas'!$D$19*('🎛️ Premissas'!$G$13/1000000))*(1-'🎛️ Premissas'!$D$15)*'🎛️ Premissas'!$D$10*'🎛️ Premissas'!$D$20)+M76*('🎛️ Premissas'!$D$21*('🎛️ Premissas'!$D$22*('🎛️ Premissas'!$D$13/1000000)+'🎛️ Premissas'!$D$23*('🎛️ Premissas'!$D$14/1000000))*(1-'🎛️ Premissas'!$D$15)*'🎛️ Premissas'!$D$10)+M77*(('🎛️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Premissas'!$D$10))+M78*(('🎛️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110933.07093</v>
      </c>
      <c r="N81" s="15">
        <f>N75*('🎛️ Premissas'!$D$17*('🎛️ Premissas'!$D$18*('🎛️ Premissas'!$G$10/1000000)+'🎛️ Premissas'!$D$19*('🎛️ Premissas'!$G$13/1000000))*(1-'🎛️ Premissas'!$D$15)*'🎛️ Premissas'!$D$10*'🎛️ Premissas'!$D$20)+N76*('🎛️ Premissas'!$D$21*('🎛️ Premissas'!$D$22*('🎛️ Premissas'!$D$13/1000000)+'🎛️ Premissas'!$D$23*('🎛️ Premissas'!$D$14/1000000))*(1-'🎛️ Premissas'!$D$15)*'🎛️ Premissas'!$D$10)+N77*(('🎛️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Premissas'!$D$10))+N78*(('🎛️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119551.46082000001</v>
      </c>
      <c r="O81" s="15">
        <f>O75*('🎛️ Premissas'!$D$17*('🎛️ Premissas'!$D$18*('🎛️ Premissas'!$G$10/1000000)+'🎛️ Premissas'!$D$19*('🎛️ Premissas'!$G$13/1000000))*(1-'🎛️ Premissas'!$D$15)*'🎛️ Premissas'!$D$10*'🎛️ Premissas'!$D$20)+O76*('🎛️ Premissas'!$D$21*('🎛️ Premissas'!$D$22*('🎛️ Premissas'!$D$13/1000000)+'🎛️ Premissas'!$D$23*('🎛️ Premissas'!$D$14/1000000))*(1-'🎛️ Premissas'!$D$15)*'🎛️ Premissas'!$D$10)+O77*(('🎛️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Premissas'!$D$10))+O78*(('🎛️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127761.65160000003</v>
      </c>
      <c r="P81" s="15">
        <f>P75*('🎛️ Premissas'!$D$17*('🎛️ Premissas'!$D$18*('🎛️ Premissas'!$G$10/1000000)+'🎛️ Premissas'!$D$19*('🎛️ Premissas'!$G$13/1000000))*(1-'🎛️ Premissas'!$D$15)*'🎛️ Premissas'!$D$10*'🎛️ Premissas'!$D$20)+P76*('🎛️ Premissas'!$D$21*('🎛️ Premissas'!$D$22*('🎛️ Premissas'!$D$13/1000000)+'🎛️ Premissas'!$D$23*('🎛️ Premissas'!$D$14/1000000))*(1-'🎛️ Premissas'!$D$15)*'🎛️ Premissas'!$D$10)+P77*(('🎛️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Premissas'!$D$10))+P78*(('🎛️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135601.45665000001</v>
      </c>
      <c r="Q81" s="15">
        <f>Q75*('🎛️ Premissas'!$D$17*('🎛️ Premissas'!$D$18*('🎛️ Premissas'!$G$10/1000000)+'🎛️ Premissas'!$D$19*('🎛️ Premissas'!$G$13/1000000))*(1-'🎛️ Premissas'!$D$15)*'🎛️ Premissas'!$D$10*'🎛️ Premissas'!$D$20)+Q76*('🎛️ Premissas'!$D$21*('🎛️ Premissas'!$D$22*('🎛️ Premissas'!$D$13/1000000)+'🎛️ Premissas'!$D$23*('🎛️ Premissas'!$D$14/1000000))*(1-'🎛️ Premissas'!$D$15)*'🎛️ Premissas'!$D$10)+Q77*(('🎛️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Premissas'!$D$10))+Q78*(('🎛️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143083.66116000002</v>
      </c>
      <c r="R81" s="15">
        <f>R75*('🎛️ Premissas'!$D$17*('🎛️ Premissas'!$D$18*('🎛️ Premissas'!$G$10/1000000)+'🎛️ Premissas'!$D$19*('🎛️ Premissas'!$G$13/1000000))*(1-'🎛️ Premissas'!$D$15)*'🎛️ Premissas'!$D$10*'🎛️ Premissas'!$D$20)+R76*('🎛️ Premissas'!$D$21*('🎛️ Premissas'!$D$22*('🎛️ Premissas'!$D$13/1000000)+'🎛️ Premissas'!$D$23*('🎛️ Premissas'!$D$14/1000000))*(1-'🎛️ Premissas'!$D$15)*'🎛️ Premissas'!$D$10)+R77*(('🎛️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Premissas'!$D$10))+R78*(('🎛️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150237.73578000002</v>
      </c>
      <c r="S81" s="15">
        <f>S75*('🎛️ Premissas'!$D$17*('🎛️ Premissas'!$D$18*('🎛️ Premissas'!$G$10/1000000)+'🎛️ Premissas'!$D$19*('🎛️ Premissas'!$G$13/1000000))*(1-'🎛️ Premissas'!$D$15)*'🎛️ Premissas'!$D$10*'🎛️ Premissas'!$D$20)+S76*('🎛️ Premissas'!$D$21*('🎛️ Premissas'!$D$22*('🎛️ Premissas'!$D$13/1000000)+'🎛️ Premissas'!$D$23*('🎛️ Premissas'!$D$14/1000000))*(1-'🎛️ Premissas'!$D$15)*'🎛️ Premissas'!$D$10)+S77*(('🎛️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Premissas'!$D$10))+S78*(('🎛️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157072.02324000001</v>
      </c>
      <c r="T81" s="15">
        <f>T75*('🎛️ Premissas'!$D$17*('🎛️ Premissas'!$D$18*('🎛️ Premissas'!$G$10/1000000)+'🎛️ Premissas'!$D$19*('🎛️ Premissas'!$G$13/1000000))*(1-'🎛️ Premissas'!$D$15)*'🎛️ Premissas'!$D$10*'🎛️ Premissas'!$D$20)+T76*('🎛️ Premissas'!$D$21*('🎛️ Premissas'!$D$22*('🎛️ Premissas'!$D$13/1000000)+'🎛️ Premissas'!$D$23*('🎛️ Premissas'!$D$14/1000000))*(1-'🎛️ Premissas'!$D$15)*'🎛️ Premissas'!$D$10)+T77*(('🎛️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Premissas'!$D$10))+T78*(('🎛️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163594.86627</v>
      </c>
      <c r="U81" s="15">
        <f>U75*('🎛️ Premissas'!$D$17*('🎛️ Premissas'!$D$18*('🎛️ Premissas'!$G$10/1000000)+'🎛️ Premissas'!$D$19*('🎛️ Premissas'!$G$13/1000000))*(1-'🎛️ Premissas'!$D$15)*'🎛️ Premissas'!$D$10*'🎛️ Premissas'!$D$20)+U76*('🎛️ Premissas'!$D$21*('🎛️ Premissas'!$D$22*('🎛️ Premissas'!$D$13/1000000)+'🎛️ Premissas'!$D$23*('🎛️ Premissas'!$D$14/1000000))*(1-'🎛️ Premissas'!$D$15)*'🎛️ Premissas'!$D$10)+U77*(('🎛️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Premissas'!$D$10))+U78*(('🎛️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169827.39279000001</v>
      </c>
      <c r="V81" s="15">
        <f>V75*('🎛️ Premissas'!$D$17*('🎛️ Premissas'!$D$18*('🎛️ Premissas'!$G$10/1000000)+'🎛️ Premissas'!$D$19*('🎛️ Premissas'!$G$13/1000000))*(1-'🎛️ Premissas'!$D$15)*'🎛️ Premissas'!$D$10*'🎛️ Premissas'!$D$20)+V76*('🎛️ Premissas'!$D$21*('🎛️ Premissas'!$D$22*('🎛️ Premissas'!$D$13/1000000)+'🎛️ Premissas'!$D$23*('🎛️ Premissas'!$D$14/1000000))*(1-'🎛️ Premissas'!$D$15)*'🎛️ Premissas'!$D$10)+V77*(('🎛️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Premissas'!$D$10))+V78*(('🎛️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175777.94553000003</v>
      </c>
      <c r="W81" s="15">
        <f>W75*('🎛️ Premissas'!$D$17*('🎛️ Premissas'!$D$18*('🎛️ Premissas'!$G$10/1000000)+'🎛️ Premissas'!$D$19*('🎛️ Premissas'!$G$13/1000000))*(1-'🎛️ Premissas'!$D$15)*'🎛️ Premissas'!$D$10*'🎛️ Premissas'!$D$20)+W76*('🎛️ Premissas'!$D$21*('🎛️ Premissas'!$D$22*('🎛️ Premissas'!$D$13/1000000)+'🎛️ Premissas'!$D$23*('🎛️ Premissas'!$D$14/1000000))*(1-'🎛️ Premissas'!$D$15)*'🎛️ Premissas'!$D$10)+W77*(('🎛️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Premissas'!$D$10))+W78*(('🎛️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181467.65241000001</v>
      </c>
      <c r="X81" s="15">
        <f>X75*('🎛️ Premissas'!$D$17*('🎛️ Premissas'!$D$18*('🎛️ Premissas'!$G$10/1000000)+'🎛️ Premissas'!$D$19*('🎛️ Premissas'!$G$13/1000000))*(1-'🎛️ Premissas'!$D$15)*'🎛️ Premissas'!$D$10*'🎛️ Premissas'!$D$20)+X76*('🎛️ Premissas'!$D$21*('🎛️ Premissas'!$D$22*('🎛️ Premissas'!$D$13/1000000)+'🎛️ Premissas'!$D$23*('🎛️ Premissas'!$D$14/1000000))*(1-'🎛️ Premissas'!$D$15)*'🎛️ Premissas'!$D$10)+X77*(('🎛️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Premissas'!$D$10))+X78*(('🎛️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186896.51343000002</v>
      </c>
      <c r="Y81" s="15">
        <f>Y75*('🎛️ Premissas'!$D$17*('🎛️ Premissas'!$D$18*('🎛️ Premissas'!$G$10/1000000)+'🎛️ Premissas'!$D$19*('🎛️ Premissas'!$G$13/1000000))*(1-'🎛️ Premissas'!$D$15)*'🎛️ Premissas'!$D$10*'🎛️ Premissas'!$D$20)+Y76*('🎛️ Premissas'!$D$21*('🎛️ Premissas'!$D$22*('🎛️ Premissas'!$D$13/1000000)+'🎛️ Premissas'!$D$23*('🎛️ Premissas'!$D$14/1000000))*(1-'🎛️ Premissas'!$D$15)*'🎛️ Premissas'!$D$10)+Y77*(('🎛️ Premissas'!$D$24*('🎛️ Premissas'!$D$22*('🎛️ Premissas'!$D$13/1000000)+'🎛️ Premissas'!$D$23*('🎛️ Premissas'!$D$14/1000000))*(1-'🎛️ Premissas'!$D$15)*'🎛️ Premissas'!$D$10)+('🎛️ Premissas'!$D$25*('🎛️ Premissas'!$D$26*('🎛️ Premissas'!$D$13/1000000)+'🎛️ Premissas'!$D$27*('🎛️ Premissas'!$D$14/1000000))*(1-'🎛️ Premissas'!$D$15)*'🎛️ Premissas'!$D$10))+Y78*(('🎛️ Premissas'!$D$28*('🎛️ Premissas'!$D$22*('🎛️ Premissas'!$D$13/1000000)+'🎛️ Premissas'!$D$23*('🎛️ Premissas'!$D$14/1000000))*(1-'🎛️ Premissas'!$D$15)*'🎛️ Premissas'!$D$10)+('🎛️ Premissas'!$D$29*('🎛️ Premissas'!$D$26*('🎛️ Premissas'!$D$13/1000000)+'🎛️ Premissas'!$D$27*('🎛️ Premissas'!$D$14/1000000))*(1-'🎛️ Premissas'!$D$15)*'🎛️ Premissas'!$D$10))</f>
        <v>192081.21405000001</v>
      </c>
      <c r="Z81" s="15"/>
    </row>
    <row r="82" spans="1:26" hidden="1" outlineLevel="1" x14ac:dyDescent="0.2">
      <c r="A82" s="323" t="s">
        <v>244</v>
      </c>
      <c r="B82" s="15">
        <f>'🎛️ Premissas'!$D$40+'🎛️ Premissas'!$D$42+'🎛️ Premissas'!$D$44+'🎛️ Premissas'!$D$46</f>
        <v>74000</v>
      </c>
      <c r="C82" s="15">
        <f>'🎛️ Premissas'!$D$40+'🎛️ Premissas'!$D$42+'🎛️ Premissas'!$D$44+'🎛️ Premissas'!$D$46</f>
        <v>74000</v>
      </c>
      <c r="D82" s="15">
        <f>'🎛️ Premissas'!$D$40+'🎛️ Premissas'!$D$42+'🎛️ Premissas'!$D$44+'🎛️ Premissas'!$D$46</f>
        <v>74000</v>
      </c>
      <c r="E82" s="15">
        <f>'🎛️ Premissas'!$D$40+'🎛️ Premissas'!$D$42+'🎛️ Premissas'!$D$44+'🎛️ Premissas'!$D$46</f>
        <v>74000</v>
      </c>
      <c r="F82" s="15">
        <f>'🎛️ Premissas'!$D$40+'🎛️ Premissas'!$D$42+'🎛️ Premissas'!$D$44+'🎛️ Premissas'!$D$46</f>
        <v>74000</v>
      </c>
      <c r="G82" s="15">
        <f>'🎛️ Premissas'!$D$40+'🎛️ Premissas'!$D$42+'🎛️ Premissas'!$D$44+'🎛️ Premissas'!$D$46</f>
        <v>74000</v>
      </c>
      <c r="H82" s="15">
        <f>'🎛️ Premissas'!$D$40+'🎛️ Premissas'!$D$42+'🎛️ Premissas'!$D$44+'🎛️ Premissas'!$D$46</f>
        <v>74000</v>
      </c>
      <c r="I82" s="15">
        <f>'🎛️ Premissas'!$D$40+'🎛️ Premissas'!$D$42+'🎛️ Premissas'!$D$44+'🎛️ Premissas'!$D$46</f>
        <v>74000</v>
      </c>
      <c r="J82" s="15">
        <f>'🎛️ Premissas'!$D$40+'🎛️ Premissas'!$D$42+'🎛️ Premissas'!$D$44+'🎛️ Premissas'!$D$46</f>
        <v>74000</v>
      </c>
      <c r="K82" s="15">
        <f>'🎛️ Premissas'!$D$40+'🎛️ Premissas'!$D$42+'🎛️ Premissas'!$D$44+'🎛️ Premissas'!$D$46</f>
        <v>74000</v>
      </c>
      <c r="L82" s="15">
        <f>'🎛️ Premissas'!$D$40+'🎛️ Premissas'!$D$42+'🎛️ Premissas'!$D$44+'🎛️ Premissas'!$D$46</f>
        <v>74000</v>
      </c>
      <c r="M82" s="15">
        <f>'🎛️ Premissas'!$D$40+'🎛️ Premissas'!$D$42+'🎛️ Premissas'!$D$44+'🎛️ Premissas'!$D$46</f>
        <v>74000</v>
      </c>
      <c r="N82" s="15">
        <f>'🎛️ Premissas'!$D$41+'🎛️ Premissas'!$D$43+'🎛️ Premissas'!$D$45+'🎛️ Premissas'!$D$46</f>
        <v>103000</v>
      </c>
      <c r="O82" s="15">
        <f>'🎛️ Premissas'!$D$41+'🎛️ Premissas'!$D$43+'🎛️ Premissas'!$D$45+'🎛️ Premissas'!$D$46</f>
        <v>103000</v>
      </c>
      <c r="P82" s="15">
        <f>'🎛️ Premissas'!$D$41+'🎛️ Premissas'!$D$43+'🎛️ Premissas'!$D$45+'🎛️ Premissas'!$D$46</f>
        <v>103000</v>
      </c>
      <c r="Q82" s="15">
        <f>'🎛️ Premissas'!$D$41+'🎛️ Premissas'!$D$43+'🎛️ Premissas'!$D$45+'🎛️ Premissas'!$D$46</f>
        <v>103000</v>
      </c>
      <c r="R82" s="15">
        <f>'🎛️ Premissas'!$D$41+'🎛️ Premissas'!$D$43+'🎛️ Premissas'!$D$45+'🎛️ Premissas'!$D$46</f>
        <v>103000</v>
      </c>
      <c r="S82" s="15">
        <f>'🎛️ Premissas'!$D$41+'🎛️ Premissas'!$D$43+'🎛️ Premissas'!$D$45+'🎛️ Premissas'!$D$46</f>
        <v>103000</v>
      </c>
      <c r="T82" s="15">
        <f>'🎛️ Premissas'!$D$41+'🎛️ Premissas'!$D$43+'🎛️ Premissas'!$D$45+'🎛️ Premissas'!$D$46</f>
        <v>103000</v>
      </c>
      <c r="U82" s="15">
        <f>'🎛️ Premissas'!$D$41+'🎛️ Premissas'!$D$43+'🎛️ Premissas'!$D$45+'🎛️ Premissas'!$D$46</f>
        <v>103000</v>
      </c>
      <c r="V82" s="15">
        <f>'🎛️ Premissas'!$D$41+'🎛️ Premissas'!$D$43+'🎛️ Premissas'!$D$45+'🎛️ Premissas'!$D$46</f>
        <v>103000</v>
      </c>
      <c r="W82" s="15">
        <f>'🎛️ Premissas'!$D$41+'🎛️ Premissas'!$D$43+'🎛️ Premissas'!$D$45+'🎛️ Premissas'!$D$46</f>
        <v>103000</v>
      </c>
      <c r="X82" s="15">
        <f>'🎛️ Premissas'!$D$41+'🎛️ Premissas'!$D$43+'🎛️ Premissas'!$D$45+'🎛️ Premissas'!$D$46</f>
        <v>103000</v>
      </c>
      <c r="Y82" s="15">
        <f>'🎛️ Premissas'!$D$41+'🎛️ Premissas'!$D$43+'🎛️ Premissas'!$D$45+'🎛️ Premissas'!$D$46</f>
        <v>103000</v>
      </c>
      <c r="Z82" s="15"/>
    </row>
    <row r="83" spans="1:26" hidden="1" outlineLevel="1" x14ac:dyDescent="0.2">
      <c r="A83" s="323" t="s">
        <v>319</v>
      </c>
      <c r="B83" s="15">
        <f>B80*'🎛️ Premissas'!$D$70</f>
        <v>5034</v>
      </c>
      <c r="C83" s="15">
        <f>C80*'🎛️ Premissas'!$D$70</f>
        <v>14864.835000000001</v>
      </c>
      <c r="D83" s="15">
        <f>D80*'🎛️ Premissas'!$D$70</f>
        <v>24207.404999999995</v>
      </c>
      <c r="E83" s="15">
        <f>E80*'🎛️ Premissas'!$D$70</f>
        <v>33107.534999999996</v>
      </c>
      <c r="F83" s="15">
        <f>F80*'🎛️ Premissas'!$D$70</f>
        <v>41589.629999999997</v>
      </c>
      <c r="G83" s="15">
        <f>G80*'🎛️ Premissas'!$D$70</f>
        <v>49661.174999999996</v>
      </c>
      <c r="H83" s="15">
        <f>H80*'🎛️ Premissas'!$D$70</f>
        <v>57342.074999999997</v>
      </c>
      <c r="I83" s="15">
        <f>I80*'🎛️ Premissas'!$D$70</f>
        <v>64653.75</v>
      </c>
      <c r="J83" s="15">
        <f>J80*'🎛️ Premissas'!$D$70</f>
        <v>71628.09</v>
      </c>
      <c r="K83" s="15">
        <f>K80*'🎛️ Premissas'!$D$70</f>
        <v>78274.53</v>
      </c>
      <c r="L83" s="15">
        <f>L80*'🎛️ Premissas'!$D$70</f>
        <v>84615.524999999994</v>
      </c>
      <c r="M83" s="15">
        <f>M80*'🎛️ Premissas'!$D$70</f>
        <v>90651.074999999997</v>
      </c>
      <c r="N83" s="15">
        <f>N80*'🎛️ Premissas'!$D$70</f>
        <v>97673.52</v>
      </c>
      <c r="O83" s="15">
        <f>O80*'🎛️ Premissas'!$D$70</f>
        <v>104358.63</v>
      </c>
      <c r="P83" s="15">
        <f>P80*'🎛️ Premissas'!$D$70</f>
        <v>110738.295</v>
      </c>
      <c r="Q83" s="15">
        <f>Q80*'🎛️ Premissas'!$D$70</f>
        <v>116821.95</v>
      </c>
      <c r="R83" s="15">
        <f>R80*'🎛️ Premissas'!$D$70</f>
        <v>122634</v>
      </c>
      <c r="S83" s="15">
        <f>S80*'🎛️ Premissas'!$D$70</f>
        <v>128181.93</v>
      </c>
      <c r="T83" s="15">
        <f>T80*'🎛️ Premissas'!$D$70</f>
        <v>133473.22500000001</v>
      </c>
      <c r="U83" s="15">
        <f>U80*'🎛️ Premissas'!$D$70</f>
        <v>138524.80499999999</v>
      </c>
      <c r="V83" s="15">
        <f>V80*'🎛️ Premissas'!$D$70</f>
        <v>143344.155</v>
      </c>
      <c r="W83" s="15">
        <f>W80*'🎛️ Premissas'!$D$70</f>
        <v>147948.19499999998</v>
      </c>
      <c r="X83" s="15">
        <f>X80*'🎛️ Premissas'!$D$70</f>
        <v>152336.92499999999</v>
      </c>
      <c r="Y83" s="15">
        <f>Y80*'🎛️ Premissas'!$D$70</f>
        <v>156525.315</v>
      </c>
      <c r="Z83" s="15"/>
    </row>
    <row r="84" spans="1:26" hidden="1" outlineLevel="1" x14ac:dyDescent="0.2">
      <c r="A84" s="323" t="s">
        <v>263</v>
      </c>
      <c r="B84" s="15">
        <f t="shared" ref="B84:Y84" si="5">B80-B81-B82-B83</f>
        <v>-51619.986000000004</v>
      </c>
      <c r="C84" s="15">
        <f t="shared" si="5"/>
        <v>-7917.7740900000008</v>
      </c>
      <c r="D84" s="15">
        <f t="shared" si="5"/>
        <v>33611.265889999981</v>
      </c>
      <c r="E84" s="15">
        <f t="shared" si="5"/>
        <v>73167.570309999981</v>
      </c>
      <c r="F84" s="15">
        <f t="shared" si="5"/>
        <v>110859.96351999999</v>
      </c>
      <c r="G84" s="15">
        <f t="shared" si="5"/>
        <v>146722.51779000001</v>
      </c>
      <c r="H84" s="15">
        <f t="shared" si="5"/>
        <v>180847.19752999995</v>
      </c>
      <c r="I84" s="15">
        <f t="shared" si="5"/>
        <v>213325.61476000003</v>
      </c>
      <c r="J84" s="15">
        <f t="shared" si="5"/>
        <v>244300.6661</v>
      </c>
      <c r="K84" s="15">
        <f t="shared" si="5"/>
        <v>273813.03136000002</v>
      </c>
      <c r="L84" s="15">
        <f t="shared" si="5"/>
        <v>301964.92735000001</v>
      </c>
      <c r="M84" s="15">
        <f t="shared" si="5"/>
        <v>328756.35407</v>
      </c>
      <c r="N84" s="15">
        <f t="shared" si="5"/>
        <v>330931.81917999999</v>
      </c>
      <c r="O84" s="15">
        <f t="shared" si="5"/>
        <v>360603.91840000008</v>
      </c>
      <c r="P84" s="15">
        <f t="shared" si="5"/>
        <v>388915.54835</v>
      </c>
      <c r="Q84" s="15">
        <f t="shared" si="5"/>
        <v>415907.38883999997</v>
      </c>
      <c r="R84" s="15">
        <f t="shared" si="5"/>
        <v>441688.26422000001</v>
      </c>
      <c r="S84" s="15">
        <f t="shared" si="5"/>
        <v>466292.24675999995</v>
      </c>
      <c r="T84" s="15">
        <f t="shared" si="5"/>
        <v>489753.40873000002</v>
      </c>
      <c r="U84" s="15">
        <f t="shared" si="5"/>
        <v>512146.50221000001</v>
      </c>
      <c r="V84" s="15">
        <f t="shared" si="5"/>
        <v>533505.5994699999</v>
      </c>
      <c r="W84" s="15">
        <f t="shared" si="5"/>
        <v>553905.45258999988</v>
      </c>
      <c r="X84" s="15">
        <f t="shared" si="5"/>
        <v>573346.0615699999</v>
      </c>
      <c r="Y84" s="15">
        <f t="shared" si="5"/>
        <v>591895.57095000008</v>
      </c>
      <c r="Z84" s="15"/>
    </row>
    <row r="85" spans="1:26" collapsed="1" x14ac:dyDescent="0.2">
      <c r="A85" s="323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idden="1" outlineLevel="1" x14ac:dyDescent="0.2">
      <c r="A86" s="323" t="s">
        <v>328</v>
      </c>
      <c r="B86" s="15">
        <f>-'🎛️ Premissas'!$B$58</f>
        <v>-1000000</v>
      </c>
      <c r="C86" s="15">
        <f t="shared" ref="C86:Z86" si="6">B60</f>
        <v>-39536.271399999998</v>
      </c>
      <c r="D86" s="15">
        <f t="shared" si="6"/>
        <v>-17284.09792</v>
      </c>
      <c r="E86" s="15">
        <f t="shared" si="6"/>
        <v>3583.3807399999951</v>
      </c>
      <c r="F86" s="15">
        <f t="shared" si="6"/>
        <v>23141.332699999999</v>
      </c>
      <c r="G86" s="15">
        <f t="shared" si="6"/>
        <v>41561.169320000001</v>
      </c>
      <c r="H86" s="15">
        <f t="shared" si="6"/>
        <v>58862.787349999999</v>
      </c>
      <c r="I86" s="15">
        <f t="shared" si="6"/>
        <v>75087.158659999986</v>
      </c>
      <c r="J86" s="15">
        <f t="shared" si="6"/>
        <v>90364.722739999997</v>
      </c>
      <c r="K86" s="15">
        <f t="shared" si="6"/>
        <v>104774.03552000003</v>
      </c>
      <c r="L86" s="15">
        <f t="shared" si="6"/>
        <v>118334.99374999997</v>
      </c>
      <c r="M86" s="15">
        <f t="shared" si="6"/>
        <v>131102.8688</v>
      </c>
      <c r="N86" s="15">
        <f t="shared" si="6"/>
        <v>143100.94522999995</v>
      </c>
      <c r="O86" s="15">
        <f t="shared" si="6"/>
        <v>143284.62280999997</v>
      </c>
      <c r="P86" s="15">
        <f t="shared" si="6"/>
        <v>157600.04909000004</v>
      </c>
      <c r="Q86" s="15">
        <f t="shared" si="6"/>
        <v>171067.12081999995</v>
      </c>
      <c r="R86" s="15">
        <f t="shared" si="6"/>
        <v>183778.69343000001</v>
      </c>
      <c r="S86" s="15">
        <f t="shared" si="6"/>
        <v>195758.05147999994</v>
      </c>
      <c r="T86" s="15">
        <f t="shared" si="6"/>
        <v>207057.07853000003</v>
      </c>
      <c r="U86" s="15">
        <f t="shared" si="6"/>
        <v>217702.44695000001</v>
      </c>
      <c r="V86" s="15">
        <f t="shared" si="6"/>
        <v>227746.04030000005</v>
      </c>
      <c r="W86" s="15">
        <f t="shared" si="6"/>
        <v>237266.41451</v>
      </c>
      <c r="X86" s="15">
        <f t="shared" si="6"/>
        <v>246263.56958000001</v>
      </c>
      <c r="Y86" s="15">
        <f t="shared" si="6"/>
        <v>254719.81820000004</v>
      </c>
      <c r="Z86" s="15">
        <f t="shared" si="6"/>
        <v>262768.98767</v>
      </c>
    </row>
    <row r="87" spans="1:26" hidden="1" outlineLevel="1" x14ac:dyDescent="0.2">
      <c r="A87" s="323" t="s">
        <v>329</v>
      </c>
      <c r="B87" s="15">
        <f>-'🎛️ Premissas'!$B$58</f>
        <v>-1000000</v>
      </c>
      <c r="C87" s="15">
        <f t="shared" ref="C87:Z87" si="7">B72</f>
        <v>-43052.448000000004</v>
      </c>
      <c r="D87" s="15">
        <f t="shared" si="7"/>
        <v>-9309.0107999999982</v>
      </c>
      <c r="E87" s="15">
        <f t="shared" si="7"/>
        <v>22497.592799999988</v>
      </c>
      <c r="F87" s="15">
        <f t="shared" si="7"/>
        <v>52481.516879999966</v>
      </c>
      <c r="G87" s="15">
        <f t="shared" si="7"/>
        <v>80716.498559999993</v>
      </c>
      <c r="H87" s="15">
        <f t="shared" si="7"/>
        <v>107353.56048</v>
      </c>
      <c r="I87" s="15">
        <f t="shared" si="7"/>
        <v>132520.24991999997</v>
      </c>
      <c r="J87" s="15">
        <f t="shared" si="7"/>
        <v>156240.04223999998</v>
      </c>
      <c r="K87" s="15">
        <f t="shared" si="7"/>
        <v>178586.67456000001</v>
      </c>
      <c r="L87" s="15">
        <f t="shared" si="7"/>
        <v>199728.11111999996</v>
      </c>
      <c r="M87" s="15">
        <f t="shared" si="7"/>
        <v>219647.41032</v>
      </c>
      <c r="N87" s="15">
        <f t="shared" si="7"/>
        <v>238512.53639999995</v>
      </c>
      <c r="O87" s="15">
        <f t="shared" si="7"/>
        <v>240306.82895999996</v>
      </c>
      <c r="P87" s="15">
        <f t="shared" si="7"/>
        <v>261842.11559999999</v>
      </c>
      <c r="Q87" s="15">
        <f t="shared" si="7"/>
        <v>282209.07503999997</v>
      </c>
      <c r="R87" s="15">
        <f t="shared" si="7"/>
        <v>301427.63423999993</v>
      </c>
      <c r="S87" s="15">
        <f t="shared" si="7"/>
        <v>319628.88888000004</v>
      </c>
      <c r="T87" s="15">
        <f t="shared" si="7"/>
        <v>336795.89735999989</v>
      </c>
      <c r="U87" s="15">
        <f t="shared" si="7"/>
        <v>353019.33840000001</v>
      </c>
      <c r="V87" s="15">
        <f t="shared" si="7"/>
        <v>368413.36607999995</v>
      </c>
      <c r="W87" s="15">
        <f t="shared" si="7"/>
        <v>382977.9804</v>
      </c>
      <c r="X87" s="15">
        <f t="shared" si="7"/>
        <v>396750.04992000002</v>
      </c>
      <c r="Y87" s="15">
        <f t="shared" si="7"/>
        <v>409753.05000000005</v>
      </c>
      <c r="Z87" s="15">
        <f t="shared" si="7"/>
        <v>422131.46951999993</v>
      </c>
    </row>
    <row r="88" spans="1:26" hidden="1" outlineLevel="1" x14ac:dyDescent="0.2">
      <c r="A88" s="323" t="s">
        <v>330</v>
      </c>
      <c r="B88" s="15">
        <f>-'🎛️ Premissas'!$B$58</f>
        <v>-1000000</v>
      </c>
      <c r="C88" s="15">
        <f t="shared" ref="C88:Z88" si="8">B84</f>
        <v>-51619.986000000004</v>
      </c>
      <c r="D88" s="15">
        <f t="shared" si="8"/>
        <v>-7917.7740900000008</v>
      </c>
      <c r="E88" s="15">
        <f t="shared" si="8"/>
        <v>33611.265889999981</v>
      </c>
      <c r="F88" s="15">
        <f t="shared" si="8"/>
        <v>73167.570309999981</v>
      </c>
      <c r="G88" s="15">
        <f t="shared" si="8"/>
        <v>110859.96351999999</v>
      </c>
      <c r="H88" s="15">
        <f t="shared" si="8"/>
        <v>146722.51779000001</v>
      </c>
      <c r="I88" s="15">
        <f t="shared" si="8"/>
        <v>180847.19752999995</v>
      </c>
      <c r="J88" s="15">
        <f t="shared" si="8"/>
        <v>213325.61476000003</v>
      </c>
      <c r="K88" s="15">
        <f t="shared" si="8"/>
        <v>244300.6661</v>
      </c>
      <c r="L88" s="15">
        <f t="shared" si="8"/>
        <v>273813.03136000002</v>
      </c>
      <c r="M88" s="15">
        <f t="shared" si="8"/>
        <v>301964.92735000001</v>
      </c>
      <c r="N88" s="15">
        <f t="shared" si="8"/>
        <v>328756.35407</v>
      </c>
      <c r="O88" s="15">
        <f t="shared" si="8"/>
        <v>330931.81917999999</v>
      </c>
      <c r="P88" s="15">
        <f t="shared" si="8"/>
        <v>360603.91840000008</v>
      </c>
      <c r="Q88" s="15">
        <f t="shared" si="8"/>
        <v>388915.54835</v>
      </c>
      <c r="R88" s="15">
        <f t="shared" si="8"/>
        <v>415907.38883999997</v>
      </c>
      <c r="S88" s="15">
        <f t="shared" si="8"/>
        <v>441688.26422000001</v>
      </c>
      <c r="T88" s="15">
        <f t="shared" si="8"/>
        <v>466292.24675999995</v>
      </c>
      <c r="U88" s="15">
        <f t="shared" si="8"/>
        <v>489753.40873000002</v>
      </c>
      <c r="V88" s="15">
        <f t="shared" si="8"/>
        <v>512146.50221000001</v>
      </c>
      <c r="W88" s="15">
        <f t="shared" si="8"/>
        <v>533505.5994699999</v>
      </c>
      <c r="X88" s="15">
        <f t="shared" si="8"/>
        <v>553905.45258999988</v>
      </c>
      <c r="Y88" s="15">
        <f t="shared" si="8"/>
        <v>573346.0615699999</v>
      </c>
      <c r="Z88" s="15">
        <f t="shared" si="8"/>
        <v>591895.57095000008</v>
      </c>
    </row>
    <row r="89" spans="1:26" collapsed="1" x14ac:dyDescent="0.2">
      <c r="A89" s="323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</sheetData>
  <mergeCells count="9">
    <mergeCell ref="A37:E38"/>
    <mergeCell ref="A24:E24"/>
    <mergeCell ref="A29:E29"/>
    <mergeCell ref="A34:E34"/>
    <mergeCell ref="A1:E1"/>
    <mergeCell ref="A2:E2"/>
    <mergeCell ref="A4:E4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🚀 Dashboard Investidor</vt:lpstr>
      <vt:lpstr>📋 Sumário Executivo</vt:lpstr>
      <vt:lpstr>🌎 Mercado &amp; GTM</vt:lpstr>
      <vt:lpstr>💎 Resumo Anjo</vt:lpstr>
      <vt:lpstr>📈 DRE Anual</vt:lpstr>
      <vt:lpstr>💰 Caixa &amp; Runway</vt:lpstr>
      <vt:lpstr>⚠️ Riscos &amp; Roadmap</vt:lpstr>
      <vt:lpstr>🔧 Cenário Ativo</vt:lpstr>
      <vt:lpstr>🎛️ Premissas</vt:lpstr>
      <vt:lpstr>📊 Base Mensal</vt:lpstr>
      <vt:lpstr>📊 Resumo Cenários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Luiz Claudio Angulski de Souza</cp:lastModifiedBy>
  <cp:revision>4</cp:revision>
  <dcterms:created xsi:type="dcterms:W3CDTF">2026-04-15T14:12:42Z</dcterms:created>
  <dcterms:modified xsi:type="dcterms:W3CDTF">2026-06-12T01:30:36Z</dcterms:modified>
  <dc:language>en-US</dc:language>
</cp:coreProperties>
</file>